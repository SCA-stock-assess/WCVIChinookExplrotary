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OURFARAJV\Desktop\"/>
    </mc:Choice>
  </mc:AlternateContent>
  <xr:revisionPtr revIDLastSave="0" documentId="13_ncr:1_{2E78BF28-1F01-4FFD-AEC6-999D3BA706E3}" xr6:coauthVersionLast="47" xr6:coauthVersionMax="47" xr10:uidLastSave="{00000000-0000-0000-0000-000000000000}"/>
  <bookViews>
    <workbookView xWindow="-120" yWindow="-120" windowWidth="29040" windowHeight="15720" activeTab="2" xr2:uid="{432A58D5-49CA-443C-BF5A-52C1197B8CFD}"/>
  </bookViews>
  <sheets>
    <sheet name="NaturalEscapement" sheetId="1" r:id="rId1"/>
    <sheet name="Calculator (2)" sheetId="6" r:id="rId2"/>
    <sheet name="Sheet1" sheetId="7" r:id="rId3"/>
  </sheets>
  <calcPr calcId="191029" iterateDelta="1E-4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8" i="7" l="1"/>
  <c r="C67" i="7"/>
  <c r="D44" i="7"/>
  <c r="C63" i="7" s="1"/>
  <c r="E63" i="7" s="1"/>
  <c r="D43" i="7"/>
  <c r="E50" i="7" s="1"/>
  <c r="D42" i="7"/>
  <c r="C61" i="7" s="1"/>
  <c r="C34" i="7"/>
  <c r="C32" i="7"/>
  <c r="B15" i="7"/>
  <c r="B16" i="7" s="1"/>
  <c r="B11" i="7"/>
  <c r="X12" i="1"/>
  <c r="W12" i="1"/>
  <c r="V12" i="1"/>
  <c r="X9" i="1"/>
  <c r="Y9" i="1"/>
  <c r="Z9" i="1"/>
  <c r="W9" i="1"/>
  <c r="X10" i="1"/>
  <c r="Y10" i="1"/>
  <c r="Z10" i="1"/>
  <c r="W10" i="1"/>
  <c r="D21" i="7" l="1"/>
  <c r="D20" i="7"/>
  <c r="D19" i="7"/>
  <c r="D50" i="7"/>
  <c r="C49" i="7"/>
  <c r="D49" i="7"/>
  <c r="C62" i="7"/>
  <c r="C64" i="7" s="1"/>
  <c r="E49" i="7"/>
  <c r="C50" i="7"/>
  <c r="F50" i="7" l="1"/>
  <c r="D62" i="7" s="1"/>
  <c r="E62" i="7" s="1"/>
  <c r="F49" i="7"/>
  <c r="D24" i="7"/>
  <c r="C65" i="7" s="1"/>
  <c r="F36" i="7"/>
  <c r="F37" i="7" s="1"/>
  <c r="D23" i="7"/>
  <c r="E36" i="7"/>
  <c r="E37" i="7" s="1"/>
  <c r="D36" i="7"/>
  <c r="D37" i="7" s="1"/>
  <c r="C36" i="7"/>
  <c r="C37" i="7" s="1"/>
  <c r="C38" i="7"/>
  <c r="C39" i="7" s="1"/>
  <c r="F38" i="7"/>
  <c r="F39" i="7" s="1"/>
  <c r="E38" i="7"/>
  <c r="E39" i="7" s="1"/>
  <c r="D38" i="7"/>
  <c r="D39" i="7" s="1"/>
  <c r="D61" i="7" l="1"/>
  <c r="F52" i="7"/>
  <c r="F57" i="7" s="1"/>
  <c r="E61" i="7" l="1"/>
  <c r="D64" i="7"/>
</calcChain>
</file>

<file path=xl/sharedStrings.xml><?xml version="1.0" encoding="utf-8"?>
<sst xmlns="http://schemas.openxmlformats.org/spreadsheetml/2006/main" count="82" uniqueCount="72">
  <si>
    <t>RetrunYear</t>
  </si>
  <si>
    <t>Age</t>
  </si>
  <si>
    <t>ReconstructedEst</t>
  </si>
  <si>
    <t>Sum of ReconstructedEst</t>
  </si>
  <si>
    <t>Row Labels</t>
  </si>
  <si>
    <t>Grand Total</t>
  </si>
  <si>
    <t>Column Labels</t>
  </si>
  <si>
    <t>Desired precision (margin of error, d)</t>
  </si>
  <si>
    <t>z (95% confidence, fixed)</t>
  </si>
  <si>
    <t>n₀: fish needed per group (worst case, p=0.5)</t>
  </si>
  <si>
    <t xml:space="preserve">  Male</t>
  </si>
  <si>
    <t xml:space="preserve">  Female</t>
  </si>
  <si>
    <t xml:space="preserve">  Jack</t>
  </si>
  <si>
    <t>Total fish to HANDLE, IF sampling at random (not pre-sorted)</t>
  </si>
  <si>
    <t>2025 run reconstruction -Natural escapement</t>
  </si>
  <si>
    <t>Male</t>
  </si>
  <si>
    <t>Female</t>
  </si>
  <si>
    <t>Deadpitch Sampling Plan — Unmarked Spawners: Sex, Age &amp; Otolith Targets</t>
  </si>
  <si>
    <t>Edit only the yellow input cells. Everything else recalculates automatically. Built for the Stamp/Sproat unmarked (unclipped) deadpitch component.</t>
  </si>
  <si>
    <t>1. INPUTS</t>
  </si>
  <si>
    <t>Tighter (5%) = more fish to sample; looser (10–15%) = fewer.</t>
  </si>
  <si>
    <t>Expected UNMARKED spawners this year (N)</t>
  </si>
  <si>
    <t>The unclipped portion of the run (natural + unclipped hatchery) — the pool the deadpitch actually draws from. Not the same as “natural escapement,” which is what this plan is trying to help you estimate.</t>
  </si>
  <si>
    <t>Run composition (source: 2025 run reconstruction, NaturalEscapement tab)</t>
  </si>
  <si>
    <t>Male proportion of unmarked run</t>
  </si>
  <si>
    <t>Female proportion of unmarked run</t>
  </si>
  <si>
    <t>Jack (age-2) proportion (= 1 − Male − Female)</t>
  </si>
  <si>
    <t xml:space="preserve"> Update these three cells if you have a better in-season estimate.</t>
  </si>
  <si>
    <t>2. SCALE SAMPLE TARGETS (age + sex ID) — needed from unmarked fish of ALL ages</t>
  </si>
  <si>
    <t>Scale sample target, finite-population corrected</t>
  </si>
  <si>
    <t>Target n</t>
  </si>
  <si>
    <t>Total scale samples, IF crews can sort by sex/jack at capture</t>
  </si>
  <si>
    <t>“Sort” total assumes crews can classify sex/jack in the field and sample each group to its own target. “Handle” total is the realistic random-subsample number — driven by the rarest group (usually jacks) — needed so every group still reaches its target.</t>
  </si>
  <si>
    <t>3. AGE-CLASS MINIMUMS — keeps rare ages (5/6) from being under-sampled</t>
  </si>
  <si>
    <t>Minimums below apply to scale sampling (age ID), shared across Male and Female. Age proportions are each sex's own age split, from last year's reconstruction.</t>
  </si>
  <si>
    <t>Age-2 (Jack)</t>
  </si>
  <si>
    <t>Age-3</t>
  </si>
  <si>
    <t>Age-4</t>
  </si>
  <si>
    <t>Age-5</t>
  </si>
  <si>
    <t>Age-6</t>
  </si>
  <si>
    <t>Minimum scale samples wanted (input)</t>
  </si>
  <si>
    <t>Male: proportion of Male sample, by age (input)</t>
  </si>
  <si>
    <t xml:space="preserve">  check: proportions sum to 1</t>
  </si>
  <si>
    <t>Female: proportion of Female sample, by age (input)</t>
  </si>
  <si>
    <t>Male: expected scale samples by age (from Section 2 target)</t>
  </si>
  <si>
    <t xml:space="preserve">  status vs. minimum</t>
  </si>
  <si>
    <t>Female: expected scale samples by age (from Section 2 target)</t>
  </si>
  <si>
    <t>Revised target so EVERY age hits its own minimum:</t>
  </si>
  <si>
    <t xml:space="preserve">  Male (= max over ages of minimum ÷ that age's proportion)</t>
  </si>
  <si>
    <t xml:space="preserve">  Jack (age-2 only — just its own minimum, no age split needed)</t>
  </si>
  <si>
    <t>4. OTOLITH READS NEEDED — unmarked AGE-4/5/6 ONLY</t>
  </si>
  <si>
    <t>All hatchery fish returning at age ≤3 are fin-clipped, so an unmarked age-2 (jack) or age-3 fish cannot be hatchery — no otolith read is needed to determine its origin. Otoliths are only needed to sort hatchery vs. natural among unmarked age-4/5/6 fish, where some hatchery fish are unclipped.</t>
  </si>
  <si>
    <t>Otolith READS needed (from the revised age-class targets above):</t>
  </si>
  <si>
    <t>Total</t>
  </si>
  <si>
    <t xml:space="preserve">  Male (revised target × age proportion, ages 4–6 only)</t>
  </si>
  <si>
    <t xml:space="preserve">  Female (revised target × age proportion, ages 4–6 only)</t>
  </si>
  <si>
    <t xml:space="preserve">  Jack — not applicable (all age-2, unmarked = natural, no otolith needed)</t>
  </si>
  <si>
    <t>Grand total otolith reads needed (Male + Female, ages 4–6)</t>
  </si>
  <si>
    <t>Field extraction vs. lab reading</t>
  </si>
  <si>
    <t>Crews can't reliably tell an age-3 fish from an age-4 fish by size at capture, so otoliths must be EXTRACTED from every unmarked adult (non-jack) fish that could plausibly be age-4+, not only the ones that turn out to be. Scale-read age later determines which extracted otoliths are actually READ for hatchery/natural origin — the target above (row 52) is the READ count. Field EXTRACTIONS will run higher because some age-3 fish get pulled in by mistake.</t>
  </si>
  <si>
    <t>Planning buffer: extra age-3 fish likely extracted by mistake (%)</t>
  </si>
  <si>
    <t>A rough placeholder — refine once you have length-at-age data for this system telling you how often age-3 and age-4 fish overlap in size.</t>
  </si>
  <si>
    <t>Budgeted otolith EXTRACTIONS in the field (reads needed × (1 + buffer))</t>
  </si>
  <si>
    <t>5. BOTTOM LINE — revised sampling targets</t>
  </si>
  <si>
    <t>Scale samples
(target)</t>
  </si>
  <si>
    <t>Otolith reads
needed</t>
  </si>
  <si>
    <t>% of that group's
total unmarked escapement</t>
  </si>
  <si>
    <t xml:space="preserve">  Jack (age-2)</t>
  </si>
  <si>
    <t>Total fish to HANDLE, at random (from Section 2, driven by rarest group)</t>
  </si>
  <si>
    <t>Estimated total age-6 males in the whole unmarked run</t>
  </si>
  <si>
    <t>Estimated total age-6 females in the whole unmarked run</t>
  </si>
  <si>
    <t>Rare ages (5/6) will always carry a wider confidence interval than common ages (3/4) at a feasible sample size — that's expected, and fine to report as such. If a % row above looks impractically high, lower that age's minimum in Section 3, or plan to pool age-5+age-6 for any summary statistic that needs a bigger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</si>
</sst>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Aptos Narrow"/>
      <family val="2"/>
      <charset val="1"/>
    </font>
    <font>
      <sz val="11"/>
      <name val="Arial"/>
      <family val="2"/>
    </font>
    <font>
      <i/>
      <sz val="9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sz val="11"/>
      <name val="Cambria"/>
      <family val="1"/>
    </font>
    <font>
      <i/>
      <sz val="10"/>
      <name val="Arial"/>
      <family val="2"/>
    </font>
    <font>
      <b/>
      <sz val="14"/>
      <name val="Arial"/>
      <family val="2"/>
    </font>
    <font>
      <i/>
      <sz val="10"/>
      <color rgb="FF555555"/>
      <name val="Arial"/>
      <family val="2"/>
    </font>
    <font>
      <i/>
      <sz val="10"/>
      <color rgb="FF9C000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56082"/>
      </patternFill>
    </fill>
    <fill>
      <patternFill patternType="solid">
        <fgColor rgb="FFD9E1F2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</cellStyleXfs>
  <cellXfs count="7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3" fillId="5" borderId="0" xfId="0" applyFont="1" applyFill="1" applyAlignment="1">
      <alignment vertical="center"/>
    </xf>
    <xf numFmtId="3" fontId="3" fillId="5" borderId="0" xfId="0" applyNumberFormat="1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5" fillId="0" borderId="0" xfId="3"/>
    <xf numFmtId="0" fontId="6" fillId="0" borderId="0" xfId="3" applyFont="1"/>
    <xf numFmtId="0" fontId="7" fillId="0" borderId="0" xfId="3" applyFont="1" applyAlignment="1">
      <alignment vertical="top" wrapText="1"/>
    </xf>
    <xf numFmtId="1" fontId="6" fillId="0" borderId="0" xfId="3" applyNumberFormat="1" applyFont="1"/>
    <xf numFmtId="0" fontId="8" fillId="0" borderId="0" xfId="3" applyFont="1"/>
    <xf numFmtId="9" fontId="6" fillId="0" borderId="0" xfId="3" applyNumberFormat="1" applyFont="1"/>
    <xf numFmtId="0" fontId="6" fillId="3" borderId="0" xfId="3" applyFont="1" applyFill="1"/>
    <xf numFmtId="0" fontId="9" fillId="3" borderId="0" xfId="3" applyFont="1" applyFill="1"/>
    <xf numFmtId="0" fontId="6" fillId="4" borderId="0" xfId="3" applyFont="1" applyFill="1"/>
    <xf numFmtId="0" fontId="10" fillId="4" borderId="0" xfId="3" applyFont="1" applyFill="1" applyAlignment="1">
      <alignment vertical="top" wrapText="1"/>
    </xf>
    <xf numFmtId="9" fontId="11" fillId="2" borderId="0" xfId="3" applyNumberFormat="1" applyFont="1" applyFill="1"/>
    <xf numFmtId="1" fontId="11" fillId="2" borderId="0" xfId="3" applyNumberFormat="1" applyFont="1" applyFill="1"/>
    <xf numFmtId="0" fontId="7" fillId="4" borderId="1" xfId="3" applyFont="1" applyFill="1" applyBorder="1" applyAlignment="1">
      <alignment vertical="top" wrapText="1"/>
    </xf>
    <xf numFmtId="1" fontId="10" fillId="4" borderId="1" xfId="3" applyNumberFormat="1" applyFont="1" applyFill="1" applyBorder="1" applyAlignment="1">
      <alignment horizontal="center"/>
    </xf>
    <xf numFmtId="0" fontId="10" fillId="4" borderId="1" xfId="3" applyFont="1" applyFill="1" applyBorder="1" applyAlignment="1">
      <alignment vertical="top" wrapText="1"/>
    </xf>
    <xf numFmtId="0" fontId="13" fillId="4" borderId="1" xfId="3" applyFont="1" applyFill="1" applyBorder="1"/>
    <xf numFmtId="1" fontId="8" fillId="0" borderId="1" xfId="3" applyNumberFormat="1" applyFont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vertical="top" wrapText="1"/>
    </xf>
    <xf numFmtId="164" fontId="8" fillId="0" borderId="1" xfId="3" applyNumberFormat="1" applyFont="1" applyBorder="1" applyAlignment="1">
      <alignment horizontal="center"/>
    </xf>
    <xf numFmtId="9" fontId="5" fillId="0" borderId="0" xfId="3" applyNumberFormat="1"/>
    <xf numFmtId="9" fontId="8" fillId="0" borderId="1" xfId="3" applyNumberFormat="1" applyFont="1" applyBorder="1" applyAlignment="1">
      <alignment horizontal="center"/>
    </xf>
    <xf numFmtId="9" fontId="11" fillId="2" borderId="1" xfId="3" applyNumberFormat="1" applyFont="1" applyFill="1" applyBorder="1" applyAlignment="1">
      <alignment horizontal="center"/>
    </xf>
    <xf numFmtId="1" fontId="5" fillId="0" borderId="0" xfId="3" applyNumberFormat="1"/>
    <xf numFmtId="3" fontId="11" fillId="2" borderId="1" xfId="3" applyNumberFormat="1" applyFont="1" applyFill="1" applyBorder="1" applyAlignment="1">
      <alignment horizontal="center"/>
    </xf>
    <xf numFmtId="0" fontId="15" fillId="0" borderId="0" xfId="3" applyFont="1"/>
    <xf numFmtId="0" fontId="14" fillId="0" borderId="0" xfId="3" applyFont="1"/>
    <xf numFmtId="0" fontId="9" fillId="3" borderId="0" xfId="3" applyFont="1" applyFill="1"/>
    <xf numFmtId="0" fontId="10" fillId="4" borderId="1" xfId="3" applyFont="1" applyFill="1" applyBorder="1"/>
    <xf numFmtId="0" fontId="7" fillId="0" borderId="0" xfId="3" applyFont="1" applyAlignment="1">
      <alignment vertical="top" wrapText="1"/>
    </xf>
    <xf numFmtId="0" fontId="10" fillId="0" borderId="1" xfId="3" applyFont="1" applyBorder="1"/>
    <xf numFmtId="0" fontId="12" fillId="0" borderId="0" xfId="3" applyFont="1" applyAlignment="1">
      <alignment vertical="top" wrapText="1"/>
    </xf>
    <xf numFmtId="0" fontId="15" fillId="0" borderId="0" xfId="0" applyFont="1"/>
    <xf numFmtId="0" fontId="16" fillId="0" borderId="0" xfId="0" applyFont="1" applyAlignment="1">
      <alignment vertical="top" wrapText="1"/>
    </xf>
    <xf numFmtId="0" fontId="10" fillId="4" borderId="0" xfId="0" applyFont="1" applyFill="1"/>
    <xf numFmtId="0" fontId="6" fillId="0" borderId="0" xfId="0" applyFont="1"/>
    <xf numFmtId="9" fontId="11" fillId="2" borderId="3" xfId="0" applyNumberFormat="1" applyFont="1" applyFill="1" applyBorder="1" applyAlignment="1">
      <alignment horizontal="center" vertical="center"/>
    </xf>
    <xf numFmtId="0" fontId="16" fillId="0" borderId="0" xfId="0" applyFont="1"/>
    <xf numFmtId="3" fontId="11" fillId="2" borderId="3" xfId="0" applyNumberFormat="1" applyFont="1" applyFill="1" applyBorder="1" applyAlignment="1">
      <alignment horizontal="center" vertical="center"/>
    </xf>
    <xf numFmtId="0" fontId="10" fillId="0" borderId="0" xfId="0" applyFont="1"/>
    <xf numFmtId="9" fontId="6" fillId="0" borderId="3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10" fillId="6" borderId="0" xfId="0" applyFont="1" applyFill="1"/>
    <xf numFmtId="0" fontId="0" fillId="6" borderId="0" xfId="0" applyFill="1"/>
    <xf numFmtId="165" fontId="10" fillId="6" borderId="0" xfId="0" applyNumberFormat="1" applyFont="1" applyFill="1" applyAlignment="1">
      <alignment horizontal="center" vertical="center"/>
    </xf>
    <xf numFmtId="0" fontId="10" fillId="4" borderId="0" xfId="0" applyFont="1" applyFill="1"/>
    <xf numFmtId="0" fontId="10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top" wrapText="1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/>
    <xf numFmtId="0" fontId="0" fillId="7" borderId="0" xfId="0" applyFill="1"/>
    <xf numFmtId="165" fontId="10" fillId="7" borderId="3" xfId="0" applyNumberFormat="1" applyFont="1" applyFill="1" applyBorder="1" applyAlignment="1">
      <alignment horizontal="center" vertical="center"/>
    </xf>
    <xf numFmtId="0" fontId="0" fillId="4" borderId="0" xfId="0" applyFill="1"/>
    <xf numFmtId="0" fontId="10" fillId="4" borderId="3" xfId="0" applyFont="1" applyFill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694EBC66-2A0D-416E-A632-B5384C0ED3AA}"/>
    <cellStyle name="Normal 3" xfId="3" xr:uid="{D636C702-E000-45BE-8A02-0DB516CA7D4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[StampDeadpitchPlanner.xlsx]NaturalEscapement!PivotTable1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Reconstructed Naturatal</a:t>
            </a:r>
            <a:r>
              <a:rPr lang="en-US" baseline="0"/>
              <a:t> Chinook escapement to Stamp River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NaturalEscapement!$M$6:$M$7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NaturalEscapement!$L$8:$L$14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NaturalEscapement!$M$8:$M$14</c:f>
              <c:numCache>
                <c:formatCode>0</c:formatCode>
                <c:ptCount val="6"/>
                <c:pt idx="0">
                  <c:v>168.19569999999976</c:v>
                </c:pt>
                <c:pt idx="1">
                  <c:v>2268.9976519473239</c:v>
                </c:pt>
                <c:pt idx="3">
                  <c:v>641.10000000000014</c:v>
                </c:pt>
                <c:pt idx="4">
                  <c:v>134.42235587796745</c:v>
                </c:pt>
                <c:pt idx="5">
                  <c:v>847.23311732659204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3-4A50-BC1D-27DE5B77E688}"/>
            </c:ext>
          </c:extLst>
        </c:ser>
        <c:ser>
          <c:idx val="1"/>
          <c:order val="1"/>
          <c:tx>
            <c:strRef>
              <c:f>NaturalEscapement!$N$6:$N$7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NaturalEscapement!$L$8:$L$14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NaturalEscapement!$N$8:$N$14</c:f>
              <c:numCache>
                <c:formatCode>0</c:formatCode>
                <c:ptCount val="6"/>
                <c:pt idx="0">
                  <c:v>1851.6871824756693</c:v>
                </c:pt>
                <c:pt idx="1">
                  <c:v>1663.5041999999994</c:v>
                </c:pt>
                <c:pt idx="2">
                  <c:v>2277.171313933236</c:v>
                </c:pt>
                <c:pt idx="3">
                  <c:v>1759.279070000005</c:v>
                </c:pt>
                <c:pt idx="4">
                  <c:v>1736.2908374264025</c:v>
                </c:pt>
                <c:pt idx="5">
                  <c:v>4641.6737370948822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3-4A50-BC1D-27DE5B77E688}"/>
            </c:ext>
          </c:extLst>
        </c:ser>
        <c:ser>
          <c:idx val="2"/>
          <c:order val="2"/>
          <c:tx>
            <c:strRef>
              <c:f>NaturalEscapement!$O$6:$O$7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NaturalEscapement!$L$8:$L$14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NaturalEscapement!$O$8:$O$14</c:f>
              <c:numCache>
                <c:formatCode>0</c:formatCode>
                <c:ptCount val="6"/>
                <c:pt idx="0">
                  <c:v>1357.86727835538</c:v>
                </c:pt>
                <c:pt idx="1">
                  <c:v>3235.9126999999989</c:v>
                </c:pt>
                <c:pt idx="2">
                  <c:v>8067.2777246159458</c:v>
                </c:pt>
                <c:pt idx="3">
                  <c:v>10720.212819999997</c:v>
                </c:pt>
                <c:pt idx="4">
                  <c:v>3886.6875700300898</c:v>
                </c:pt>
                <c:pt idx="5">
                  <c:v>3341.3734759324757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3-4A50-BC1D-27DE5B77E688}"/>
            </c:ext>
          </c:extLst>
        </c:ser>
        <c:ser>
          <c:idx val="3"/>
          <c:order val="3"/>
          <c:tx>
            <c:strRef>
              <c:f>NaturalEscapement!$P$6:$P$7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NaturalEscapement!$L$8:$L$14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NaturalEscapement!$P$8:$P$14</c:f>
              <c:numCache>
                <c:formatCode>0</c:formatCode>
                <c:ptCount val="6"/>
                <c:pt idx="0">
                  <c:v>718.73105252746927</c:v>
                </c:pt>
                <c:pt idx="1">
                  <c:v>212.75439999999995</c:v>
                </c:pt>
                <c:pt idx="2">
                  <c:v>145.58226245721639</c:v>
                </c:pt>
                <c:pt idx="3">
                  <c:v>508.02800000000002</c:v>
                </c:pt>
                <c:pt idx="4">
                  <c:v>1120.5347584482788</c:v>
                </c:pt>
                <c:pt idx="5">
                  <c:v>1780.8935330454356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3-4A50-BC1D-27DE5B77E688}"/>
            </c:ext>
          </c:extLst>
        </c:ser>
        <c:ser>
          <c:idx val="4"/>
          <c:order val="4"/>
          <c:tx>
            <c:strRef>
              <c:f>NaturalEscapement!$Q$6:$Q$7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NaturalEscapement!$L$8:$L$14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NaturalEscapement!$Q$8:$Q$14</c:f>
              <c:numCache>
                <c:formatCode>0</c:formatCode>
                <c:ptCount val="6"/>
                <c:pt idx="0">
                  <c:v>8.4701086956521738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3-4A50-BC1D-27DE5B77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5757920"/>
        <c:axId val="1782225040"/>
      </c:barChart>
      <c:catAx>
        <c:axId val="19957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25040"/>
        <c:crosses val="autoZero"/>
        <c:auto val="1"/>
        <c:lblAlgn val="ctr"/>
        <c:lblOffset val="100"/>
        <c:noMultiLvlLbl val="0"/>
      </c:catAx>
      <c:valAx>
        <c:axId val="17822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200024</xdr:colOff>
      <xdr:row>14</xdr:row>
      <xdr:rowOff>71436</xdr:rowOff>
    </xdr:from>
    <xdr:to>
      <xdr:col>23</xdr:col>
      <xdr:colOff>590550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19152-C613-9E8A-3B70-80CC3E0E7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urfaraj, Vahab (DFO/MPO)" refreshedDate="46279.467369444443" createdVersion="8" refreshedVersion="8" minRefreshableVersion="3" recordCount="25" xr:uid="{1EFDE6F3-FD9D-4BA2-93D7-A0FAA2B3BC60}">
  <cacheSource type="worksheet">
    <worksheetSource ref="A1:C26" sheet="NaturalEscapement"/>
  </cacheSource>
  <cacheFields count="3">
    <cacheField name="Retrun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Age" numFmtId="0">
      <sharedItems containsSemiMixedTypes="0" containsString="0" containsNumber="1" containsInteger="1" minValue="2" maxValue="6" count="5">
        <n v="2"/>
        <n v="3"/>
        <n v="4"/>
        <n v="5"/>
        <n v="6"/>
      </sharedItems>
    </cacheField>
    <cacheField name="ReconstructedEst" numFmtId="1">
      <sharedItems containsSemiMixedTypes="0" containsString="0" containsNumber="1" minValue="8.4701086956521738" maxValue="10720.21281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68.19569999999976"/>
  </r>
  <r>
    <x v="0"/>
    <x v="1"/>
    <n v="1851.6871824756693"/>
  </r>
  <r>
    <x v="0"/>
    <x v="2"/>
    <n v="1357.86727835538"/>
  </r>
  <r>
    <x v="0"/>
    <x v="3"/>
    <n v="718.73105252746927"/>
  </r>
  <r>
    <x v="0"/>
    <x v="4"/>
    <n v="8.4701086956521738"/>
  </r>
  <r>
    <x v="1"/>
    <x v="0"/>
    <n v="2268.9976519473239"/>
  </r>
  <r>
    <x v="1"/>
    <x v="1"/>
    <n v="1663.5041999999994"/>
  </r>
  <r>
    <x v="1"/>
    <x v="2"/>
    <n v="3235.9126999999989"/>
  </r>
  <r>
    <x v="1"/>
    <x v="3"/>
    <n v="212.75439999999995"/>
  </r>
  <r>
    <x v="2"/>
    <x v="1"/>
    <n v="2277.171313933236"/>
  </r>
  <r>
    <x v="2"/>
    <x v="2"/>
    <n v="8067.2777246159458"/>
  </r>
  <r>
    <x v="2"/>
    <x v="3"/>
    <n v="145.58226245721639"/>
  </r>
  <r>
    <x v="3"/>
    <x v="0"/>
    <n v="641.10000000000014"/>
  </r>
  <r>
    <x v="3"/>
    <x v="1"/>
    <n v="1759.279070000005"/>
  </r>
  <r>
    <x v="3"/>
    <x v="2"/>
    <n v="10720.212819999997"/>
  </r>
  <r>
    <x v="3"/>
    <x v="3"/>
    <n v="508.02800000000002"/>
  </r>
  <r>
    <x v="4"/>
    <x v="0"/>
    <n v="134.42235587796745"/>
  </r>
  <r>
    <x v="4"/>
    <x v="1"/>
    <n v="1736.2908374264025"/>
  </r>
  <r>
    <x v="4"/>
    <x v="2"/>
    <n v="3886.6875700300898"/>
  </r>
  <r>
    <x v="4"/>
    <x v="3"/>
    <n v="1120.5347584482788"/>
  </r>
  <r>
    <x v="4"/>
    <x v="4"/>
    <n v="10"/>
  </r>
  <r>
    <x v="5"/>
    <x v="0"/>
    <n v="847.23311732659204"/>
  </r>
  <r>
    <x v="5"/>
    <x v="1"/>
    <n v="4641.6737370948822"/>
  </r>
  <r>
    <x v="5"/>
    <x v="2"/>
    <n v="3341.3734759324757"/>
  </r>
  <r>
    <x v="5"/>
    <x v="3"/>
    <n v="1780.8935330454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C9823-00C3-434F-A5F8-F7808CE144E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6:R14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constructedEst" fld="2" baseField="0" baseItem="0" numFmtId="1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DC07-A928-4068-AD9D-9B1BD8B62E02}">
  <dimension ref="A1:AA26"/>
  <sheetViews>
    <sheetView workbookViewId="0">
      <selection activeCell="AB20" sqref="AB20"/>
    </sheetView>
  </sheetViews>
  <sheetFormatPr defaultRowHeight="15" x14ac:dyDescent="0.25"/>
  <cols>
    <col min="12" max="12" width="24.28515625" bestFit="1" customWidth="1"/>
    <col min="13" max="13" width="16.85546875" bestFit="1" customWidth="1"/>
    <col min="14" max="15" width="6" bestFit="1" customWidth="1"/>
    <col min="16" max="16" width="5" bestFit="1" customWidth="1"/>
    <col min="17" max="17" width="3" bestFit="1" customWidth="1"/>
    <col min="18" max="1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</row>
    <row r="2" spans="1:27" x14ac:dyDescent="0.25">
      <c r="A2">
        <v>2020</v>
      </c>
      <c r="B2">
        <v>2</v>
      </c>
      <c r="C2" s="1">
        <v>168.19569999999976</v>
      </c>
    </row>
    <row r="3" spans="1:27" x14ac:dyDescent="0.25">
      <c r="A3">
        <v>2020</v>
      </c>
      <c r="B3">
        <v>3</v>
      </c>
      <c r="C3" s="1">
        <v>1851.6871824756693</v>
      </c>
      <c r="U3" t="s">
        <v>14</v>
      </c>
    </row>
    <row r="4" spans="1:27" x14ac:dyDescent="0.25">
      <c r="A4">
        <v>2020</v>
      </c>
      <c r="B4">
        <v>4</v>
      </c>
      <c r="C4" s="1">
        <v>1357.86727835538</v>
      </c>
      <c r="V4">
        <v>2</v>
      </c>
      <c r="W4">
        <v>3</v>
      </c>
      <c r="X4">
        <v>4</v>
      </c>
      <c r="Y4">
        <v>5</v>
      </c>
      <c r="Z4">
        <v>6</v>
      </c>
    </row>
    <row r="5" spans="1:27" x14ac:dyDescent="0.25">
      <c r="A5">
        <v>2020</v>
      </c>
      <c r="B5">
        <v>5</v>
      </c>
      <c r="C5" s="1">
        <v>718.73105252746927</v>
      </c>
      <c r="U5" t="s">
        <v>15</v>
      </c>
      <c r="V5" s="5">
        <v>847</v>
      </c>
      <c r="W5" s="6">
        <v>3041</v>
      </c>
      <c r="X5" s="6">
        <v>1670</v>
      </c>
      <c r="Y5" s="5">
        <v>155</v>
      </c>
      <c r="Z5" s="5">
        <v>0</v>
      </c>
    </row>
    <row r="6" spans="1:27" x14ac:dyDescent="0.25">
      <c r="A6">
        <v>2020</v>
      </c>
      <c r="B6">
        <v>6</v>
      </c>
      <c r="C6" s="1">
        <v>8.4701086956521738</v>
      </c>
      <c r="L6" s="2" t="s">
        <v>3</v>
      </c>
      <c r="M6" s="2" t="s">
        <v>6</v>
      </c>
      <c r="U6" t="s">
        <v>16</v>
      </c>
      <c r="V6" s="7">
        <v>0</v>
      </c>
      <c r="W6" s="8">
        <v>1601</v>
      </c>
      <c r="X6" s="8">
        <v>1671</v>
      </c>
      <c r="Y6" s="8">
        <v>1480</v>
      </c>
      <c r="Z6" s="7">
        <v>0</v>
      </c>
    </row>
    <row r="7" spans="1:27" x14ac:dyDescent="0.25">
      <c r="A7">
        <v>2021</v>
      </c>
      <c r="B7">
        <v>2</v>
      </c>
      <c r="C7" s="1">
        <v>2268.9976519473239</v>
      </c>
      <c r="L7" s="2" t="s">
        <v>4</v>
      </c>
      <c r="M7">
        <v>2</v>
      </c>
      <c r="N7">
        <v>3</v>
      </c>
      <c r="O7">
        <v>4</v>
      </c>
      <c r="P7">
        <v>5</v>
      </c>
      <c r="Q7">
        <v>6</v>
      </c>
      <c r="R7" t="s">
        <v>5</v>
      </c>
      <c r="V7" s="9">
        <v>847</v>
      </c>
      <c r="W7" s="10">
        <v>4642</v>
      </c>
      <c r="X7" s="10">
        <v>3341</v>
      </c>
      <c r="Y7" s="10">
        <v>1635</v>
      </c>
      <c r="Z7" s="9">
        <v>0</v>
      </c>
    </row>
    <row r="8" spans="1:27" x14ac:dyDescent="0.25">
      <c r="A8">
        <v>2021</v>
      </c>
      <c r="B8">
        <v>3</v>
      </c>
      <c r="C8" s="1">
        <v>1663.5041999999994</v>
      </c>
      <c r="L8" s="3">
        <v>2020</v>
      </c>
      <c r="M8" s="1">
        <v>168.19569999999976</v>
      </c>
      <c r="N8" s="1">
        <v>1851.6871824756693</v>
      </c>
      <c r="O8" s="1">
        <v>1357.86727835538</v>
      </c>
      <c r="P8" s="1">
        <v>718.73105252746927</v>
      </c>
      <c r="Q8" s="1">
        <v>8.4701086956521738</v>
      </c>
      <c r="R8" s="1">
        <v>4104.9513220541703</v>
      </c>
      <c r="U8" s="1"/>
    </row>
    <row r="9" spans="1:27" x14ac:dyDescent="0.25">
      <c r="A9">
        <v>2021</v>
      </c>
      <c r="B9">
        <v>4</v>
      </c>
      <c r="C9" s="1">
        <v>3235.9126999999989</v>
      </c>
      <c r="L9" s="3">
        <v>2021</v>
      </c>
      <c r="M9" s="1">
        <v>2268.9976519473239</v>
      </c>
      <c r="N9" s="1">
        <v>1663.5041999999994</v>
      </c>
      <c r="O9" s="1">
        <v>3235.9126999999989</v>
      </c>
      <c r="P9" s="1">
        <v>212.75439999999995</v>
      </c>
      <c r="Q9" s="1"/>
      <c r="R9" s="1">
        <v>7381.1689519473221</v>
      </c>
      <c r="V9" s="4"/>
      <c r="W9" s="4">
        <f>W5/SUM($W$5:$Z$5)</f>
        <v>0.62494862309905463</v>
      </c>
      <c r="X9" s="4">
        <f t="shared" ref="X9:Z9" si="0">X5/SUM($W$5:$Z$5)</f>
        <v>0.34319769831483765</v>
      </c>
      <c r="Y9" s="4">
        <f t="shared" si="0"/>
        <v>3.1853678586107687E-2</v>
      </c>
      <c r="Z9" s="4">
        <f t="shared" si="0"/>
        <v>0</v>
      </c>
    </row>
    <row r="10" spans="1:27" x14ac:dyDescent="0.25">
      <c r="A10">
        <v>2021</v>
      </c>
      <c r="B10">
        <v>5</v>
      </c>
      <c r="C10" s="1">
        <v>212.75439999999995</v>
      </c>
      <c r="L10" s="3">
        <v>2022</v>
      </c>
      <c r="M10" s="1"/>
      <c r="N10" s="1">
        <v>2277.171313933236</v>
      </c>
      <c r="O10" s="1">
        <v>8067.2777246159458</v>
      </c>
      <c r="P10" s="1">
        <v>145.58226245721639</v>
      </c>
      <c r="Q10" s="1"/>
      <c r="R10" s="1">
        <v>10490.031301006396</v>
      </c>
      <c r="W10" s="4">
        <f>W6/SUM($W$6:$Z$6)</f>
        <v>0.33691077441077444</v>
      </c>
      <c r="X10" s="4">
        <f t="shared" ref="X10:Z10" si="1">X6/SUM($W$6:$Z$6)</f>
        <v>0.35164141414141414</v>
      </c>
      <c r="Y10" s="4">
        <f t="shared" si="1"/>
        <v>0.31144781144781147</v>
      </c>
      <c r="Z10" s="4">
        <f t="shared" si="1"/>
        <v>0</v>
      </c>
    </row>
    <row r="11" spans="1:27" x14ac:dyDescent="0.25">
      <c r="A11">
        <v>2022</v>
      </c>
      <c r="B11">
        <v>3</v>
      </c>
      <c r="C11" s="1">
        <v>2277.171313933236</v>
      </c>
      <c r="L11" s="3">
        <v>2023</v>
      </c>
      <c r="M11" s="1">
        <v>641.10000000000014</v>
      </c>
      <c r="N11" s="1">
        <v>1759.279070000005</v>
      </c>
      <c r="O11" s="1">
        <v>10720.212819999997</v>
      </c>
      <c r="P11" s="1">
        <v>508.02800000000002</v>
      </c>
      <c r="Q11" s="1"/>
      <c r="R11" s="1">
        <v>13628.619890000004</v>
      </c>
    </row>
    <row r="12" spans="1:27" x14ac:dyDescent="0.25">
      <c r="A12">
        <v>2022</v>
      </c>
      <c r="B12">
        <v>4</v>
      </c>
      <c r="C12" s="1">
        <v>8067.2777246159458</v>
      </c>
      <c r="L12" s="3">
        <v>2024</v>
      </c>
      <c r="M12" s="1">
        <v>134.42235587796745</v>
      </c>
      <c r="N12" s="1">
        <v>1736.2908374264025</v>
      </c>
      <c r="O12" s="1">
        <v>3886.6875700300898</v>
      </c>
      <c r="P12" s="1">
        <v>1120.5347584482788</v>
      </c>
      <c r="Q12" s="1">
        <v>10</v>
      </c>
      <c r="R12" s="1">
        <v>6887.9355217827388</v>
      </c>
      <c r="V12" s="4">
        <f>V5/AA12</f>
        <v>8.0936454849498324E-2</v>
      </c>
      <c r="W12" s="4">
        <f>(W5+X5+Y5)/AA12</f>
        <v>0.46497849976110844</v>
      </c>
      <c r="X12" s="4">
        <f>SUM(W6:Y6)/AA12</f>
        <v>0.4540850453893932</v>
      </c>
      <c r="AA12" s="10">
        <v>10465</v>
      </c>
    </row>
    <row r="13" spans="1:27" x14ac:dyDescent="0.25">
      <c r="A13">
        <v>2022</v>
      </c>
      <c r="B13">
        <v>5</v>
      </c>
      <c r="C13" s="1">
        <v>145.58226245721639</v>
      </c>
      <c r="L13" s="3">
        <v>2025</v>
      </c>
      <c r="M13" s="1">
        <v>847.23311732659204</v>
      </c>
      <c r="N13" s="1">
        <v>4641.6737370948822</v>
      </c>
      <c r="O13" s="1">
        <v>3341.3734759324757</v>
      </c>
      <c r="P13" s="1">
        <v>1780.8935330454356</v>
      </c>
      <c r="Q13" s="1"/>
      <c r="R13" s="1">
        <v>10611.173863399385</v>
      </c>
    </row>
    <row r="14" spans="1:27" x14ac:dyDescent="0.25">
      <c r="A14">
        <v>2023</v>
      </c>
      <c r="B14">
        <v>2</v>
      </c>
      <c r="C14" s="1">
        <v>641.10000000000014</v>
      </c>
      <c r="L14" s="3" t="s">
        <v>5</v>
      </c>
      <c r="M14" s="1">
        <v>4059.9488251518833</v>
      </c>
      <c r="N14" s="1">
        <v>13929.606340930193</v>
      </c>
      <c r="O14" s="1">
        <v>30609.331568933889</v>
      </c>
      <c r="P14" s="1">
        <v>4486.5240064783993</v>
      </c>
      <c r="Q14" s="1">
        <v>18.470108695652172</v>
      </c>
      <c r="R14" s="1">
        <v>53103.88085019002</v>
      </c>
    </row>
    <row r="15" spans="1:27" x14ac:dyDescent="0.25">
      <c r="A15">
        <v>2023</v>
      </c>
      <c r="B15">
        <v>3</v>
      </c>
      <c r="C15" s="1">
        <v>1759.279070000005</v>
      </c>
      <c r="O15" s="1"/>
      <c r="P15" s="1"/>
      <c r="Q15" s="1"/>
    </row>
    <row r="16" spans="1:27" x14ac:dyDescent="0.25">
      <c r="A16">
        <v>2023</v>
      </c>
      <c r="B16">
        <v>4</v>
      </c>
      <c r="C16" s="1">
        <v>10720.212819999997</v>
      </c>
    </row>
    <row r="17" spans="1:3" x14ac:dyDescent="0.25">
      <c r="A17">
        <v>2023</v>
      </c>
      <c r="B17">
        <v>5</v>
      </c>
      <c r="C17" s="1">
        <v>508.02800000000002</v>
      </c>
    </row>
    <row r="18" spans="1:3" x14ac:dyDescent="0.25">
      <c r="A18">
        <v>2024</v>
      </c>
      <c r="B18">
        <v>2</v>
      </c>
      <c r="C18" s="1">
        <v>134.42235587796745</v>
      </c>
    </row>
    <row r="19" spans="1:3" x14ac:dyDescent="0.25">
      <c r="A19">
        <v>2024</v>
      </c>
      <c r="B19">
        <v>3</v>
      </c>
      <c r="C19" s="1">
        <v>1736.2908374264025</v>
      </c>
    </row>
    <row r="20" spans="1:3" x14ac:dyDescent="0.25">
      <c r="A20">
        <v>2024</v>
      </c>
      <c r="B20">
        <v>4</v>
      </c>
      <c r="C20" s="1">
        <v>3886.6875700300898</v>
      </c>
    </row>
    <row r="21" spans="1:3" x14ac:dyDescent="0.25">
      <c r="A21">
        <v>2024</v>
      </c>
      <c r="B21">
        <v>5</v>
      </c>
      <c r="C21" s="1">
        <v>1120.5347584482788</v>
      </c>
    </row>
    <row r="22" spans="1:3" x14ac:dyDescent="0.25">
      <c r="A22">
        <v>2024</v>
      </c>
      <c r="B22">
        <v>6</v>
      </c>
      <c r="C22" s="1">
        <v>10</v>
      </c>
    </row>
    <row r="23" spans="1:3" x14ac:dyDescent="0.25">
      <c r="A23">
        <v>2025</v>
      </c>
      <c r="B23">
        <v>2</v>
      </c>
      <c r="C23" s="1">
        <v>847.23311732659204</v>
      </c>
    </row>
    <row r="24" spans="1:3" x14ac:dyDescent="0.25">
      <c r="A24">
        <v>2025</v>
      </c>
      <c r="B24">
        <v>3</v>
      </c>
      <c r="C24" s="1">
        <v>4641.6737370948822</v>
      </c>
    </row>
    <row r="25" spans="1:3" x14ac:dyDescent="0.25">
      <c r="A25">
        <v>2025</v>
      </c>
      <c r="B25">
        <v>4</v>
      </c>
      <c r="C25" s="1">
        <v>3341.3734759324757</v>
      </c>
    </row>
    <row r="26" spans="1:3" x14ac:dyDescent="0.25">
      <c r="A26">
        <v>2025</v>
      </c>
      <c r="B26">
        <v>5</v>
      </c>
      <c r="C26" s="1">
        <v>1780.8935330454356</v>
      </c>
    </row>
  </sheetData>
  <pageMargins left="0.7" right="0.7" top="0.75" bottom="0.75" header="0.3" footer="0.3"/>
  <headerFooter>
    <oddHeader>&amp;R&amp;"Aptos"&amp;12&amp;K000000 Unclassified - Non-Classifié&amp;1#_x000D_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CBEF-3495-4124-B15B-28A5DD4DF774}">
  <dimension ref="A1:P90"/>
  <sheetViews>
    <sheetView zoomScale="110" zoomScaleNormal="110" workbookViewId="0">
      <selection activeCell="F67" sqref="A1:XFD1048576"/>
    </sheetView>
  </sheetViews>
  <sheetFormatPr defaultColWidth="8.5703125" defaultRowHeight="15" x14ac:dyDescent="0.25"/>
  <cols>
    <col min="1" max="1" width="55.140625" style="11" customWidth="1"/>
    <col min="2" max="2" width="37.42578125" style="11" customWidth="1"/>
    <col min="3" max="3" width="48.42578125" style="11" customWidth="1"/>
    <col min="4" max="16384" width="8.5703125" style="11"/>
  </cols>
  <sheetData>
    <row r="1" spans="1:16" ht="18" customHeight="1" x14ac:dyDescent="0.25">
      <c r="A1" s="36"/>
      <c r="B1" s="36"/>
      <c r="C1" s="36"/>
    </row>
    <row r="2" spans="1:16" ht="15" customHeight="1" x14ac:dyDescent="0.25">
      <c r="A2" s="37"/>
      <c r="B2" s="37"/>
      <c r="C2" s="37"/>
    </row>
    <row r="4" spans="1:16" ht="15" customHeight="1" x14ac:dyDescent="0.25">
      <c r="A4" s="38"/>
      <c r="B4" s="38"/>
      <c r="C4" s="38"/>
    </row>
    <row r="5" spans="1:16" ht="28.5" customHeight="1" x14ac:dyDescent="0.25">
      <c r="A5" s="29"/>
      <c r="B5" s="33"/>
      <c r="C5" s="13"/>
      <c r="L5" s="34"/>
      <c r="M5" s="34"/>
      <c r="N5" s="34"/>
      <c r="O5" s="34"/>
      <c r="P5" s="34"/>
    </row>
    <row r="6" spans="1:16" ht="15" customHeight="1" x14ac:dyDescent="0.25">
      <c r="A6" s="29"/>
      <c r="B6" s="35"/>
      <c r="C6" s="13"/>
      <c r="L6" s="34"/>
      <c r="M6" s="34"/>
      <c r="N6" s="34"/>
      <c r="O6" s="34"/>
      <c r="P6" s="34"/>
    </row>
    <row r="8" spans="1:16" ht="15" customHeight="1" x14ac:dyDescent="0.25">
      <c r="A8" s="39"/>
      <c r="B8" s="39"/>
      <c r="C8" s="39"/>
    </row>
    <row r="9" spans="1:16" ht="15" customHeight="1" x14ac:dyDescent="0.25">
      <c r="A9" s="28"/>
      <c r="B9" s="33"/>
      <c r="K9" s="31"/>
    </row>
    <row r="10" spans="1:16" ht="15" customHeight="1" x14ac:dyDescent="0.25">
      <c r="A10" s="28"/>
      <c r="B10" s="33"/>
      <c r="K10" s="31"/>
    </row>
    <row r="11" spans="1:16" ht="15" customHeight="1" x14ac:dyDescent="0.25">
      <c r="A11" s="28"/>
      <c r="B11" s="32"/>
      <c r="K11" s="31"/>
    </row>
    <row r="13" spans="1:16" ht="15" customHeight="1" x14ac:dyDescent="0.25">
      <c r="A13" s="38"/>
      <c r="B13" s="38"/>
      <c r="C13" s="38"/>
    </row>
    <row r="14" spans="1:16" ht="15" customHeight="1" x14ac:dyDescent="0.25">
      <c r="A14" s="28"/>
      <c r="B14" s="30"/>
    </row>
    <row r="15" spans="1:16" ht="99.75" customHeight="1" x14ac:dyDescent="0.25">
      <c r="A15" s="29"/>
      <c r="B15" s="27"/>
    </row>
    <row r="17" spans="1:5" ht="15" customHeight="1" x14ac:dyDescent="0.25">
      <c r="A17" s="41"/>
      <c r="B17" s="41"/>
      <c r="C17" s="41"/>
    </row>
    <row r="18" spans="1:5" ht="15" customHeight="1" x14ac:dyDescent="0.25">
      <c r="A18" s="28"/>
      <c r="B18" s="27"/>
    </row>
    <row r="19" spans="1:5" ht="15" customHeight="1" x14ac:dyDescent="0.25">
      <c r="A19" s="28"/>
      <c r="B19" s="27"/>
    </row>
    <row r="20" spans="1:5" ht="15" customHeight="1" x14ac:dyDescent="0.25">
      <c r="A20" s="28"/>
      <c r="B20" s="27"/>
    </row>
    <row r="22" spans="1:5" ht="120" customHeight="1" x14ac:dyDescent="0.25">
      <c r="A22" s="25"/>
      <c r="B22" s="24"/>
      <c r="C22" s="26"/>
    </row>
    <row r="23" spans="1:5" ht="168" customHeight="1" x14ac:dyDescent="0.25">
      <c r="A23" s="25"/>
      <c r="B23" s="24"/>
      <c r="C23" s="23"/>
    </row>
    <row r="26" spans="1:5" ht="15" customHeight="1" x14ac:dyDescent="0.25">
      <c r="A26" s="42"/>
      <c r="B26" s="42"/>
      <c r="C26" s="42"/>
    </row>
    <row r="27" spans="1:5" ht="15" customHeight="1" x14ac:dyDescent="0.25">
      <c r="A27" s="42"/>
      <c r="B27" s="42"/>
      <c r="C27" s="42"/>
    </row>
    <row r="28" spans="1:5" ht="23.25" customHeight="1" x14ac:dyDescent="0.25">
      <c r="A28" s="42"/>
      <c r="B28" s="42"/>
      <c r="C28" s="42"/>
    </row>
    <row r="29" spans="1:5" ht="23.25" customHeight="1" x14ac:dyDescent="0.25">
      <c r="A29" s="42"/>
      <c r="B29" s="42"/>
      <c r="C29" s="42"/>
    </row>
    <row r="30" spans="1:5" x14ac:dyDescent="0.25">
      <c r="A30" s="12"/>
      <c r="B30" s="12"/>
      <c r="C30" s="12"/>
      <c r="D30" s="12"/>
      <c r="E30" s="12"/>
    </row>
    <row r="31" spans="1:5" x14ac:dyDescent="0.25">
      <c r="A31" s="12"/>
      <c r="B31" s="12"/>
      <c r="C31" s="12"/>
      <c r="D31" s="12"/>
      <c r="E31" s="12"/>
    </row>
    <row r="32" spans="1:5" x14ac:dyDescent="0.25">
      <c r="A32" s="18"/>
      <c r="B32" s="17"/>
      <c r="C32" s="17"/>
      <c r="D32" s="12"/>
      <c r="E32" s="12"/>
    </row>
    <row r="33" spans="1:5" ht="48" customHeight="1" x14ac:dyDescent="0.25">
      <c r="A33" s="40"/>
      <c r="B33" s="40"/>
      <c r="C33" s="40"/>
      <c r="D33" s="12"/>
      <c r="E33" s="12"/>
    </row>
    <row r="34" spans="1:5" x14ac:dyDescent="0.25">
      <c r="A34" s="12"/>
      <c r="B34" s="12"/>
      <c r="C34" s="12"/>
      <c r="D34" s="12"/>
      <c r="E34" s="12"/>
    </row>
    <row r="35" spans="1:5" x14ac:dyDescent="0.25">
      <c r="A35" s="20"/>
      <c r="B35" s="19"/>
      <c r="C35" s="19"/>
      <c r="D35" s="12"/>
      <c r="E35" s="12"/>
    </row>
    <row r="36" spans="1:5" x14ac:dyDescent="0.25">
      <c r="A36" s="15"/>
      <c r="B36" s="22"/>
      <c r="C36" s="12"/>
      <c r="D36" s="12"/>
      <c r="E36" s="12"/>
    </row>
    <row r="37" spans="1:5" x14ac:dyDescent="0.25">
      <c r="A37" s="15"/>
      <c r="B37" s="22"/>
      <c r="C37" s="12"/>
      <c r="D37" s="12"/>
      <c r="E37" s="12"/>
    </row>
    <row r="38" spans="1:5" x14ac:dyDescent="0.25">
      <c r="A38" s="15"/>
      <c r="B38" s="22"/>
      <c r="C38" s="12"/>
      <c r="D38" s="12"/>
      <c r="E38" s="12"/>
    </row>
    <row r="39" spans="1:5" x14ac:dyDescent="0.25">
      <c r="A39" s="15"/>
      <c r="B39" s="22"/>
      <c r="C39" s="12"/>
      <c r="D39" s="12"/>
      <c r="E39" s="12"/>
    </row>
    <row r="40" spans="1:5" x14ac:dyDescent="0.25">
      <c r="A40" s="15"/>
      <c r="B40" s="22"/>
      <c r="C40" s="12"/>
      <c r="D40" s="12"/>
      <c r="E40" s="12"/>
    </row>
    <row r="41" spans="1:5" x14ac:dyDescent="0.25">
      <c r="A41" s="12"/>
      <c r="B41" s="12"/>
      <c r="C41" s="12"/>
      <c r="D41" s="12"/>
      <c r="E41" s="12"/>
    </row>
    <row r="42" spans="1:5" x14ac:dyDescent="0.25">
      <c r="A42" s="20"/>
      <c r="B42" s="19"/>
      <c r="C42" s="19"/>
      <c r="D42" s="12"/>
      <c r="E42" s="12"/>
    </row>
    <row r="43" spans="1:5" x14ac:dyDescent="0.25">
      <c r="A43" s="15"/>
      <c r="B43" s="21"/>
      <c r="C43" s="12"/>
      <c r="D43" s="12"/>
      <c r="E43" s="12"/>
    </row>
    <row r="44" spans="1:5" x14ac:dyDescent="0.25">
      <c r="A44" s="15"/>
      <c r="B44" s="21"/>
      <c r="C44" s="12"/>
      <c r="D44" s="12"/>
      <c r="E44" s="12"/>
    </row>
    <row r="45" spans="1:5" x14ac:dyDescent="0.25">
      <c r="A45" s="15"/>
      <c r="B45" s="21"/>
      <c r="C45" s="12"/>
      <c r="D45" s="12"/>
      <c r="E45" s="12"/>
    </row>
    <row r="46" spans="1:5" x14ac:dyDescent="0.25">
      <c r="A46" s="15"/>
      <c r="B46" s="21"/>
      <c r="C46" s="12"/>
      <c r="D46" s="12"/>
      <c r="E46" s="12"/>
    </row>
    <row r="47" spans="1:5" x14ac:dyDescent="0.25">
      <c r="A47" s="15"/>
      <c r="B47" s="16"/>
      <c r="C47" s="13"/>
      <c r="D47" s="12"/>
      <c r="E47" s="12"/>
    </row>
    <row r="48" spans="1:5" x14ac:dyDescent="0.25">
      <c r="A48" s="12"/>
      <c r="B48" s="12"/>
      <c r="C48" s="12"/>
      <c r="D48" s="12"/>
      <c r="E48" s="12"/>
    </row>
    <row r="49" spans="1:5" x14ac:dyDescent="0.25">
      <c r="A49" s="20"/>
      <c r="B49" s="19"/>
      <c r="C49" s="19"/>
      <c r="D49" s="12"/>
      <c r="E49" s="12"/>
    </row>
    <row r="50" spans="1:5" x14ac:dyDescent="0.25">
      <c r="A50" s="15"/>
      <c r="B50" s="14"/>
      <c r="C50" s="13"/>
      <c r="D50" s="12"/>
      <c r="E50" s="12"/>
    </row>
    <row r="51" spans="1:5" x14ac:dyDescent="0.25">
      <c r="A51" s="15"/>
      <c r="B51" s="14"/>
      <c r="C51" s="13"/>
      <c r="D51" s="12"/>
      <c r="E51" s="12"/>
    </row>
    <row r="52" spans="1:5" x14ac:dyDescent="0.25">
      <c r="A52" s="15"/>
      <c r="B52" s="14"/>
      <c r="C52" s="13"/>
      <c r="D52" s="12"/>
      <c r="E52" s="12"/>
    </row>
    <row r="53" spans="1:5" x14ac:dyDescent="0.25">
      <c r="A53" s="15"/>
      <c r="B53" s="14"/>
      <c r="C53" s="13"/>
      <c r="D53" s="12"/>
      <c r="E53" s="12"/>
    </row>
    <row r="54" spans="1:5" x14ac:dyDescent="0.25">
      <c r="A54" s="15"/>
      <c r="B54" s="14"/>
      <c r="C54" s="13"/>
      <c r="D54" s="12"/>
      <c r="E54" s="12"/>
    </row>
    <row r="55" spans="1:5" x14ac:dyDescent="0.25">
      <c r="A55" s="12"/>
      <c r="B55" s="12"/>
      <c r="C55" s="12"/>
      <c r="D55" s="12"/>
      <c r="E55" s="12"/>
    </row>
    <row r="56" spans="1:5" x14ac:dyDescent="0.25">
      <c r="A56" s="20"/>
      <c r="B56" s="19"/>
      <c r="C56" s="19"/>
      <c r="D56" s="12"/>
      <c r="E56" s="12"/>
    </row>
    <row r="57" spans="1:5" x14ac:dyDescent="0.25">
      <c r="A57" s="15"/>
      <c r="B57" s="21"/>
      <c r="C57" s="12"/>
      <c r="D57" s="12"/>
      <c r="E57" s="12"/>
    </row>
    <row r="58" spans="1:5" x14ac:dyDescent="0.25">
      <c r="A58" s="15"/>
      <c r="B58" s="21"/>
      <c r="C58" s="12"/>
      <c r="D58" s="12"/>
      <c r="E58" s="12"/>
    </row>
    <row r="59" spans="1:5" x14ac:dyDescent="0.25">
      <c r="A59" s="15"/>
      <c r="B59" s="21"/>
      <c r="C59" s="12"/>
      <c r="D59" s="12"/>
      <c r="E59" s="12"/>
    </row>
    <row r="60" spans="1:5" x14ac:dyDescent="0.25">
      <c r="A60" s="15"/>
      <c r="B60" s="21"/>
      <c r="C60" s="12"/>
      <c r="D60" s="12"/>
      <c r="E60" s="12"/>
    </row>
    <row r="61" spans="1:5" x14ac:dyDescent="0.25">
      <c r="A61" s="15"/>
      <c r="B61" s="16"/>
      <c r="C61" s="13"/>
      <c r="D61" s="12"/>
      <c r="E61" s="12"/>
    </row>
    <row r="62" spans="1:5" x14ac:dyDescent="0.25">
      <c r="A62" s="12"/>
      <c r="B62" s="12"/>
      <c r="C62" s="12"/>
      <c r="D62" s="12"/>
      <c r="E62" s="12"/>
    </row>
    <row r="63" spans="1:5" x14ac:dyDescent="0.25">
      <c r="A63" s="20"/>
      <c r="B63" s="19"/>
      <c r="C63" s="19"/>
      <c r="D63" s="12"/>
      <c r="E63" s="12"/>
    </row>
    <row r="64" spans="1:5" x14ac:dyDescent="0.25">
      <c r="A64" s="15"/>
      <c r="B64" s="14"/>
      <c r="C64" s="13"/>
      <c r="D64" s="12"/>
      <c r="E64" s="12"/>
    </row>
    <row r="65" spans="1:5" x14ac:dyDescent="0.25">
      <c r="A65" s="15"/>
      <c r="B65" s="14"/>
      <c r="C65" s="13"/>
      <c r="D65" s="12"/>
      <c r="E65" s="12"/>
    </row>
    <row r="66" spans="1:5" x14ac:dyDescent="0.25">
      <c r="A66" s="15"/>
      <c r="B66" s="14"/>
      <c r="C66" s="13"/>
      <c r="D66" s="12"/>
      <c r="E66" s="12"/>
    </row>
    <row r="67" spans="1:5" x14ac:dyDescent="0.25">
      <c r="A67" s="15"/>
      <c r="B67" s="14"/>
      <c r="C67" s="13"/>
      <c r="D67" s="12"/>
      <c r="E67" s="12"/>
    </row>
    <row r="68" spans="1:5" x14ac:dyDescent="0.25">
      <c r="A68" s="15"/>
      <c r="B68" s="14"/>
      <c r="C68" s="13"/>
      <c r="D68" s="12"/>
      <c r="E68" s="12"/>
    </row>
    <row r="69" spans="1:5" x14ac:dyDescent="0.25">
      <c r="A69" s="12"/>
      <c r="B69" s="12"/>
      <c r="C69" s="12"/>
      <c r="D69" s="12"/>
      <c r="E69" s="12"/>
    </row>
    <row r="70" spans="1:5" x14ac:dyDescent="0.25">
      <c r="A70" s="20"/>
      <c r="B70" s="19"/>
      <c r="C70" s="19"/>
      <c r="D70" s="12"/>
      <c r="E70" s="12"/>
    </row>
    <row r="71" spans="1:5" x14ac:dyDescent="0.25">
      <c r="A71" s="15"/>
      <c r="B71" s="14"/>
      <c r="C71" s="12"/>
      <c r="D71" s="12"/>
      <c r="E71" s="12"/>
    </row>
    <row r="72" spans="1:5" x14ac:dyDescent="0.25">
      <c r="A72" s="15"/>
      <c r="B72" s="12"/>
      <c r="C72" s="12"/>
      <c r="D72" s="12"/>
      <c r="E72" s="12"/>
    </row>
    <row r="73" spans="1:5" x14ac:dyDescent="0.25">
      <c r="A73" s="15"/>
      <c r="B73" s="14"/>
      <c r="C73" s="13"/>
      <c r="D73" s="12"/>
      <c r="E73" s="12"/>
    </row>
    <row r="74" spans="1:5" x14ac:dyDescent="0.25">
      <c r="A74" s="12"/>
      <c r="B74" s="12"/>
      <c r="C74" s="12"/>
      <c r="D74" s="12"/>
      <c r="E74" s="12"/>
    </row>
    <row r="75" spans="1:5" x14ac:dyDescent="0.25">
      <c r="A75" s="18"/>
      <c r="B75" s="17"/>
      <c r="C75" s="17"/>
      <c r="D75" s="12"/>
      <c r="E75" s="12"/>
    </row>
    <row r="76" spans="1:5" x14ac:dyDescent="0.25">
      <c r="A76" s="15"/>
      <c r="B76" s="14"/>
      <c r="C76" s="12"/>
      <c r="D76" s="12"/>
      <c r="E76" s="12"/>
    </row>
    <row r="77" spans="1:5" x14ac:dyDescent="0.25">
      <c r="A77" s="15"/>
      <c r="B77" s="14"/>
      <c r="C77" s="12"/>
      <c r="D77" s="12"/>
      <c r="E77" s="12"/>
    </row>
    <row r="78" spans="1:5" x14ac:dyDescent="0.25">
      <c r="A78" s="15"/>
      <c r="B78" s="14"/>
      <c r="C78" s="12"/>
      <c r="D78" s="12"/>
      <c r="E78" s="12"/>
    </row>
    <row r="79" spans="1:5" x14ac:dyDescent="0.25">
      <c r="A79" s="15"/>
      <c r="B79" s="14"/>
      <c r="C79" s="12"/>
      <c r="D79" s="12"/>
      <c r="E79" s="12"/>
    </row>
    <row r="80" spans="1:5" x14ac:dyDescent="0.25">
      <c r="A80" s="15"/>
      <c r="B80" s="14"/>
      <c r="C80" s="13"/>
      <c r="D80" s="12"/>
      <c r="E80" s="12"/>
    </row>
    <row r="81" spans="1:5" x14ac:dyDescent="0.25">
      <c r="A81" s="12"/>
      <c r="B81" s="12"/>
      <c r="C81" s="12"/>
      <c r="D81" s="12"/>
      <c r="E81" s="12"/>
    </row>
    <row r="82" spans="1:5" x14ac:dyDescent="0.25">
      <c r="A82" s="18"/>
      <c r="B82" s="17"/>
      <c r="C82" s="17"/>
      <c r="D82" s="12"/>
      <c r="E82" s="12"/>
    </row>
    <row r="83" spans="1:5" x14ac:dyDescent="0.25">
      <c r="A83" s="15"/>
      <c r="B83" s="16"/>
      <c r="C83" s="12"/>
      <c r="D83" s="12"/>
      <c r="E83" s="12"/>
    </row>
    <row r="84" spans="1:5" x14ac:dyDescent="0.25">
      <c r="A84" s="15"/>
      <c r="B84" s="16"/>
      <c r="C84" s="12"/>
      <c r="D84" s="12"/>
      <c r="E84" s="12"/>
    </row>
    <row r="85" spans="1:5" x14ac:dyDescent="0.25">
      <c r="A85" s="15"/>
      <c r="B85" s="16"/>
      <c r="C85" s="12"/>
      <c r="D85" s="12"/>
      <c r="E85" s="12"/>
    </row>
    <row r="86" spans="1:5" x14ac:dyDescent="0.25">
      <c r="A86" s="15"/>
      <c r="B86" s="14"/>
      <c r="C86" s="12"/>
      <c r="D86" s="12"/>
      <c r="E86" s="12"/>
    </row>
    <row r="87" spans="1:5" x14ac:dyDescent="0.25">
      <c r="A87" s="15"/>
      <c r="B87" s="14"/>
      <c r="C87" s="12"/>
      <c r="D87" s="12"/>
      <c r="E87" s="12"/>
    </row>
    <row r="88" spans="1:5" x14ac:dyDescent="0.25">
      <c r="A88" s="12"/>
      <c r="B88" s="12"/>
      <c r="C88" s="12"/>
      <c r="D88" s="12"/>
      <c r="E88" s="12"/>
    </row>
    <row r="89" spans="1:5" ht="63.75" customHeight="1" x14ac:dyDescent="0.25">
      <c r="A89" s="40"/>
      <c r="B89" s="40"/>
      <c r="C89" s="40"/>
      <c r="D89" s="12"/>
      <c r="E89" s="12"/>
    </row>
    <row r="90" spans="1:5" x14ac:dyDescent="0.25">
      <c r="A90" s="12"/>
      <c r="B90" s="12"/>
      <c r="C90" s="12"/>
      <c r="D90" s="12"/>
      <c r="E90" s="12"/>
    </row>
  </sheetData>
  <mergeCells count="12">
    <mergeCell ref="A33:C33"/>
    <mergeCell ref="A89:C89"/>
    <mergeCell ref="A17:C17"/>
    <mergeCell ref="A26:C26"/>
    <mergeCell ref="A27:C27"/>
    <mergeCell ref="A28:C28"/>
    <mergeCell ref="A29:C29"/>
    <mergeCell ref="A1:C1"/>
    <mergeCell ref="A2:C2"/>
    <mergeCell ref="A4:C4"/>
    <mergeCell ref="A8:C8"/>
    <mergeCell ref="A13:C13"/>
  </mergeCells>
  <pageMargins left="0.7" right="0.7" top="0.75" bottom="0.75" header="0.3" footer="0.511811023622047"/>
  <pageSetup paperSize="9" orientation="portrait" horizontalDpi="300" verticalDpi="300"/>
  <headerFooter>
    <oddHeader>&amp;R&amp;"Aptos,Regular"&amp;1  Unclassified - Non-Classifié#_x005F_x000d_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7D6A-402B-4332-8912-905D8C33FAAC}">
  <dimension ref="A1:F70"/>
  <sheetViews>
    <sheetView tabSelected="1" topLeftCell="A60" workbookViewId="0">
      <selection activeCell="L75" sqref="L75"/>
    </sheetView>
  </sheetViews>
  <sheetFormatPr defaultRowHeight="15" x14ac:dyDescent="0.25"/>
  <cols>
    <col min="1" max="1" width="105.85546875" bestFit="1" customWidth="1"/>
  </cols>
  <sheetData>
    <row r="1" spans="1:6" ht="18" x14ac:dyDescent="0.25">
      <c r="A1" s="43" t="s">
        <v>17</v>
      </c>
    </row>
    <row r="2" spans="1:6" x14ac:dyDescent="0.25">
      <c r="A2" s="44" t="s">
        <v>18</v>
      </c>
      <c r="B2" s="44"/>
      <c r="C2" s="44"/>
      <c r="D2" s="44"/>
      <c r="E2" s="44"/>
      <c r="F2" s="44"/>
    </row>
    <row r="4" spans="1:6" x14ac:dyDescent="0.25">
      <c r="A4" s="45" t="s">
        <v>19</v>
      </c>
      <c r="B4" s="45"/>
      <c r="C4" s="45"/>
      <c r="D4" s="45"/>
      <c r="E4" s="45"/>
      <c r="F4" s="45"/>
    </row>
    <row r="5" spans="1:6" x14ac:dyDescent="0.25">
      <c r="A5" s="46" t="s">
        <v>7</v>
      </c>
      <c r="B5" s="47">
        <v>0.1</v>
      </c>
      <c r="C5" s="48" t="s">
        <v>20</v>
      </c>
      <c r="D5" s="48"/>
      <c r="E5" s="48"/>
      <c r="F5" s="48"/>
    </row>
    <row r="6" spans="1:6" x14ac:dyDescent="0.25">
      <c r="A6" s="46" t="s">
        <v>21</v>
      </c>
      <c r="B6" s="49">
        <v>10000</v>
      </c>
      <c r="C6" s="44" t="s">
        <v>22</v>
      </c>
      <c r="D6" s="44"/>
      <c r="E6" s="44"/>
      <c r="F6" s="44"/>
    </row>
    <row r="8" spans="1:6" x14ac:dyDescent="0.25">
      <c r="A8" s="50" t="s">
        <v>23</v>
      </c>
    </row>
    <row r="9" spans="1:6" x14ac:dyDescent="0.25">
      <c r="A9" s="46" t="s">
        <v>24</v>
      </c>
      <c r="B9" s="47">
        <v>0.46</v>
      </c>
    </row>
    <row r="10" spans="1:6" x14ac:dyDescent="0.25">
      <c r="A10" s="46" t="s">
        <v>25</v>
      </c>
      <c r="B10" s="47">
        <v>0.45</v>
      </c>
    </row>
    <row r="11" spans="1:6" x14ac:dyDescent="0.25">
      <c r="A11" s="46" t="s">
        <v>26</v>
      </c>
      <c r="B11" s="51">
        <f>1-B9-B10</f>
        <v>9.0000000000000024E-2</v>
      </c>
    </row>
    <row r="12" spans="1:6" x14ac:dyDescent="0.25">
      <c r="A12" s="44" t="s">
        <v>27</v>
      </c>
      <c r="B12" s="44"/>
      <c r="C12" s="44"/>
      <c r="D12" s="44"/>
      <c r="E12" s="44"/>
      <c r="F12" s="44"/>
    </row>
    <row r="14" spans="1:6" x14ac:dyDescent="0.25">
      <c r="A14" s="45" t="s">
        <v>28</v>
      </c>
      <c r="B14" s="45"/>
      <c r="C14" s="45"/>
      <c r="D14" s="45"/>
      <c r="E14" s="45"/>
      <c r="F14" s="45"/>
    </row>
    <row r="15" spans="1:6" x14ac:dyDescent="0.25">
      <c r="A15" s="46" t="s">
        <v>8</v>
      </c>
      <c r="B15" s="52">
        <f>_xlfn.NORM.S.INV(0.975)</f>
        <v>1.9599639845400536</v>
      </c>
    </row>
    <row r="16" spans="1:6" x14ac:dyDescent="0.25">
      <c r="A16" s="46" t="s">
        <v>9</v>
      </c>
      <c r="B16" s="53">
        <f>B15^2*0.25/B5^2</f>
        <v>96.036470517353067</v>
      </c>
    </row>
    <row r="18" spans="1:6" x14ac:dyDescent="0.25">
      <c r="A18" s="50" t="s">
        <v>29</v>
      </c>
      <c r="D18" s="54" t="s">
        <v>30</v>
      </c>
    </row>
    <row r="19" spans="1:6" x14ac:dyDescent="0.25">
      <c r="A19" s="46" t="s">
        <v>10</v>
      </c>
      <c r="D19" s="55">
        <f>B16/(1+(B16-1)/(B6*B9))</f>
        <v>94.09250964373129</v>
      </c>
    </row>
    <row r="20" spans="1:6" x14ac:dyDescent="0.25">
      <c r="A20" s="46" t="s">
        <v>11</v>
      </c>
      <c r="D20" s="55">
        <f>B16/(1+(B16-1)/(B6*B10))</f>
        <v>94.050203975732899</v>
      </c>
    </row>
    <row r="21" spans="1:6" x14ac:dyDescent="0.25">
      <c r="A21" s="46" t="s">
        <v>12</v>
      </c>
      <c r="D21" s="55">
        <f>B16/(1+(B16-1)/(B6*B11))</f>
        <v>86.86397536833843</v>
      </c>
    </row>
    <row r="23" spans="1:6" x14ac:dyDescent="0.25">
      <c r="A23" s="56" t="s">
        <v>31</v>
      </c>
      <c r="B23" s="57"/>
      <c r="C23" s="57"/>
      <c r="D23" s="58">
        <f>D19+D20+D21</f>
        <v>275.00668898780259</v>
      </c>
      <c r="E23" s="57"/>
      <c r="F23" s="57"/>
    </row>
    <row r="24" spans="1:6" x14ac:dyDescent="0.25">
      <c r="A24" s="56" t="s">
        <v>13</v>
      </c>
      <c r="B24" s="57"/>
      <c r="C24" s="57"/>
      <c r="D24" s="58">
        <f>MAX(D19/B9,D20/B10,D21/B11)</f>
        <v>965.15528187042673</v>
      </c>
      <c r="E24" s="57"/>
      <c r="F24" s="57"/>
    </row>
    <row r="25" spans="1:6" x14ac:dyDescent="0.25">
      <c r="A25" s="44" t="s">
        <v>32</v>
      </c>
      <c r="B25" s="44"/>
      <c r="C25" s="44"/>
      <c r="D25" s="44"/>
      <c r="E25" s="44"/>
      <c r="F25" s="44"/>
    </row>
    <row r="27" spans="1:6" x14ac:dyDescent="0.25">
      <c r="A27" s="45" t="s">
        <v>33</v>
      </c>
      <c r="B27" s="45"/>
      <c r="C27" s="45"/>
      <c r="D27" s="45"/>
      <c r="E27" s="45"/>
      <c r="F27" s="45"/>
    </row>
    <row r="28" spans="1:6" x14ac:dyDescent="0.25">
      <c r="A28" s="44" t="s">
        <v>34</v>
      </c>
      <c r="B28" s="44"/>
      <c r="C28" s="44"/>
      <c r="D28" s="44"/>
      <c r="E28" s="44"/>
      <c r="F28" s="44"/>
    </row>
    <row r="29" spans="1:6" x14ac:dyDescent="0.25">
      <c r="A29" s="59"/>
      <c r="B29" s="60" t="s">
        <v>35</v>
      </c>
      <c r="C29" s="60" t="s">
        <v>36</v>
      </c>
      <c r="D29" s="60" t="s">
        <v>37</v>
      </c>
      <c r="E29" s="60" t="s">
        <v>38</v>
      </c>
      <c r="F29" s="60" t="s">
        <v>39</v>
      </c>
    </row>
    <row r="30" spans="1:6" x14ac:dyDescent="0.25">
      <c r="A30" s="46" t="s">
        <v>40</v>
      </c>
      <c r="B30" s="61">
        <v>30</v>
      </c>
      <c r="C30" s="61">
        <v>30</v>
      </c>
      <c r="D30" s="61">
        <v>30</v>
      </c>
      <c r="E30" s="61">
        <v>6</v>
      </c>
      <c r="F30" s="61">
        <v>3</v>
      </c>
    </row>
    <row r="31" spans="1:6" x14ac:dyDescent="0.25">
      <c r="A31" s="46" t="s">
        <v>41</v>
      </c>
      <c r="C31" s="47">
        <v>0.62</v>
      </c>
      <c r="D31" s="47">
        <v>0.34</v>
      </c>
      <c r="E31" s="47">
        <v>0.03</v>
      </c>
      <c r="F31" s="47">
        <v>0.01</v>
      </c>
    </row>
    <row r="32" spans="1:6" x14ac:dyDescent="0.25">
      <c r="A32" s="62" t="s">
        <v>42</v>
      </c>
      <c r="C32" s="63" t="str">
        <f>IF(ROUND(SUM(C31:F31),2)=1,"OK","Adjust to sum to 100%")</f>
        <v>OK</v>
      </c>
      <c r="D32" s="63"/>
      <c r="E32" s="63"/>
      <c r="F32" s="63"/>
    </row>
    <row r="33" spans="1:6" x14ac:dyDescent="0.25">
      <c r="A33" s="46" t="s">
        <v>43</v>
      </c>
      <c r="C33" s="47">
        <v>0.34</v>
      </c>
      <c r="D33" s="47">
        <v>0.35</v>
      </c>
      <c r="E33" s="47">
        <v>0.3</v>
      </c>
      <c r="F33" s="47">
        <v>0.01</v>
      </c>
    </row>
    <row r="34" spans="1:6" x14ac:dyDescent="0.25">
      <c r="A34" s="62" t="s">
        <v>42</v>
      </c>
      <c r="C34" s="63" t="str">
        <f>IF(ROUND(SUM(C33:F33),2)=1,"OK","Adjust to sum to 100%")</f>
        <v>OK</v>
      </c>
      <c r="D34" s="63"/>
      <c r="E34" s="63"/>
      <c r="F34" s="63"/>
    </row>
    <row r="36" spans="1:6" x14ac:dyDescent="0.25">
      <c r="A36" s="46" t="s">
        <v>44</v>
      </c>
      <c r="C36" s="55">
        <f>$D$19*C31</f>
        <v>58.337355979113397</v>
      </c>
      <c r="D36" s="55">
        <f>$D$19*D31</f>
        <v>31.99145327886864</v>
      </c>
      <c r="E36" s="55">
        <f>$D$19*E31</f>
        <v>2.8227752893119384</v>
      </c>
      <c r="F36" s="55">
        <f>$D$19*F31</f>
        <v>0.94092509643731292</v>
      </c>
    </row>
    <row r="37" spans="1:6" x14ac:dyDescent="0.25">
      <c r="A37" s="62" t="s">
        <v>45</v>
      </c>
      <c r="C37" s="64" t="str">
        <f>IF(C36&gt;=C30,"OK","short")</f>
        <v>OK</v>
      </c>
      <c r="D37" s="64" t="str">
        <f>IF(D36&gt;=D30,"OK","short")</f>
        <v>OK</v>
      </c>
      <c r="E37" s="64" t="str">
        <f>IF(E36&gt;=E30,"OK","short")</f>
        <v>short</v>
      </c>
      <c r="F37" s="64" t="str">
        <f>IF(F36&gt;=F30,"OK","short")</f>
        <v>short</v>
      </c>
    </row>
    <row r="38" spans="1:6" x14ac:dyDescent="0.25">
      <c r="A38" s="46" t="s">
        <v>46</v>
      </c>
      <c r="C38" s="55">
        <f>$D$20*C33</f>
        <v>31.977069351749186</v>
      </c>
      <c r="D38" s="55">
        <f>$D$20*D33</f>
        <v>32.917571391506513</v>
      </c>
      <c r="E38" s="55">
        <f>$D$20*E33</f>
        <v>28.215061192719869</v>
      </c>
      <c r="F38" s="55">
        <f>$D$20*F33</f>
        <v>0.94050203975732904</v>
      </c>
    </row>
    <row r="39" spans="1:6" x14ac:dyDescent="0.25">
      <c r="A39" s="62" t="s">
        <v>45</v>
      </c>
      <c r="C39" s="64" t="str">
        <f>IF(C38&gt;=C30,"OK","short")</f>
        <v>OK</v>
      </c>
      <c r="D39" s="64" t="str">
        <f>IF(D38&gt;=D30,"OK","short")</f>
        <v>OK</v>
      </c>
      <c r="E39" s="64" t="str">
        <f>IF(E38&gt;=E30,"OK","short")</f>
        <v>OK</v>
      </c>
      <c r="F39" s="64" t="str">
        <f>IF(F38&gt;=F30,"OK","short")</f>
        <v>short</v>
      </c>
    </row>
    <row r="41" spans="1:6" x14ac:dyDescent="0.25">
      <c r="A41" s="50" t="s">
        <v>47</v>
      </c>
    </row>
    <row r="42" spans="1:6" x14ac:dyDescent="0.25">
      <c r="A42" s="46" t="s">
        <v>48</v>
      </c>
      <c r="D42" s="55">
        <f>MAX(C30/C31,D30/D31,E30/E31,F30/F31)</f>
        <v>300</v>
      </c>
    </row>
    <row r="43" spans="1:6" x14ac:dyDescent="0.25">
      <c r="A43" s="46" t="s">
        <v>11</v>
      </c>
      <c r="D43" s="55">
        <f>MAX(C30/C33,D30/D33,E30/E33,F30/F33)</f>
        <v>300</v>
      </c>
    </row>
    <row r="44" spans="1:6" x14ac:dyDescent="0.25">
      <c r="A44" s="46" t="s">
        <v>49</v>
      </c>
      <c r="D44" s="55">
        <f>B30</f>
        <v>30</v>
      </c>
    </row>
    <row r="46" spans="1:6" x14ac:dyDescent="0.25">
      <c r="A46" s="45" t="s">
        <v>50</v>
      </c>
      <c r="B46" s="45"/>
      <c r="C46" s="45"/>
      <c r="D46" s="45"/>
      <c r="E46" s="45"/>
      <c r="F46" s="45"/>
    </row>
    <row r="47" spans="1:6" x14ac:dyDescent="0.25">
      <c r="A47" s="65" t="s">
        <v>51</v>
      </c>
      <c r="B47" s="65"/>
      <c r="C47" s="65"/>
      <c r="D47" s="65"/>
      <c r="E47" s="65"/>
      <c r="F47" s="65"/>
    </row>
    <row r="48" spans="1:6" x14ac:dyDescent="0.25">
      <c r="A48" s="50" t="s">
        <v>52</v>
      </c>
      <c r="C48" s="66" t="s">
        <v>37</v>
      </c>
      <c r="D48" s="66" t="s">
        <v>38</v>
      </c>
      <c r="E48" s="66" t="s">
        <v>39</v>
      </c>
      <c r="F48" s="66" t="s">
        <v>53</v>
      </c>
    </row>
    <row r="49" spans="1:6" x14ac:dyDescent="0.25">
      <c r="A49" s="46" t="s">
        <v>54</v>
      </c>
      <c r="C49" s="55">
        <f>$D$42*D31</f>
        <v>102.00000000000001</v>
      </c>
      <c r="D49" s="55">
        <f>$D$42*E31</f>
        <v>9</v>
      </c>
      <c r="E49" s="55">
        <f>$D$42*F31</f>
        <v>3</v>
      </c>
      <c r="F49" s="55">
        <f>SUM(C49:E49)</f>
        <v>114.00000000000001</v>
      </c>
    </row>
    <row r="50" spans="1:6" x14ac:dyDescent="0.25">
      <c r="A50" s="46" t="s">
        <v>55</v>
      </c>
      <c r="C50" s="55">
        <f>$D$43*D33</f>
        <v>105</v>
      </c>
      <c r="D50" s="55">
        <f>$D$43*E33</f>
        <v>90</v>
      </c>
      <c r="E50" s="55">
        <f>$D$43*F33</f>
        <v>3</v>
      </c>
      <c r="F50" s="55">
        <f>SUM(C50:E50)</f>
        <v>198</v>
      </c>
    </row>
    <row r="51" spans="1:6" x14ac:dyDescent="0.25">
      <c r="A51" s="62" t="s">
        <v>56</v>
      </c>
    </row>
    <row r="52" spans="1:6" x14ac:dyDescent="0.25">
      <c r="A52" s="67" t="s">
        <v>57</v>
      </c>
      <c r="B52" s="68"/>
      <c r="C52" s="68"/>
      <c r="D52" s="68"/>
      <c r="E52" s="68"/>
      <c r="F52" s="69">
        <f>F49+F50</f>
        <v>312</v>
      </c>
    </row>
    <row r="54" spans="1:6" x14ac:dyDescent="0.25">
      <c r="A54" s="50" t="s">
        <v>58</v>
      </c>
    </row>
    <row r="55" spans="1:6" x14ac:dyDescent="0.25">
      <c r="A55" s="44" t="s">
        <v>59</v>
      </c>
      <c r="B55" s="44"/>
      <c r="C55" s="44"/>
      <c r="D55" s="44"/>
      <c r="E55" s="44"/>
      <c r="F55" s="44"/>
    </row>
    <row r="56" spans="1:6" x14ac:dyDescent="0.25">
      <c r="A56" s="46" t="s">
        <v>60</v>
      </c>
      <c r="B56" s="47">
        <v>0.2</v>
      </c>
      <c r="C56" s="44" t="s">
        <v>61</v>
      </c>
      <c r="D56" s="44"/>
      <c r="E56" s="44"/>
      <c r="F56" s="44"/>
    </row>
    <row r="57" spans="1:6" x14ac:dyDescent="0.25">
      <c r="A57" s="67" t="s">
        <v>62</v>
      </c>
      <c r="B57" s="68"/>
      <c r="C57" s="68"/>
      <c r="D57" s="68"/>
      <c r="E57" s="68"/>
      <c r="F57" s="69">
        <f>F52*(1+B56)</f>
        <v>374.4</v>
      </c>
    </row>
    <row r="59" spans="1:6" x14ac:dyDescent="0.25">
      <c r="A59" s="45" t="s">
        <v>63</v>
      </c>
      <c r="B59" s="45"/>
      <c r="C59" s="45"/>
      <c r="D59" s="45"/>
      <c r="E59" s="45"/>
      <c r="F59" s="45"/>
    </row>
    <row r="60" spans="1:6" ht="120" x14ac:dyDescent="0.25">
      <c r="A60" s="50"/>
      <c r="B60" s="70"/>
      <c r="C60" s="71" t="s">
        <v>64</v>
      </c>
      <c r="D60" s="71" t="s">
        <v>65</v>
      </c>
      <c r="E60" s="71" t="s">
        <v>66</v>
      </c>
    </row>
    <row r="61" spans="1:6" x14ac:dyDescent="0.25">
      <c r="A61" s="46" t="s">
        <v>10</v>
      </c>
      <c r="C61" s="55">
        <f>D42</f>
        <v>300</v>
      </c>
      <c r="D61" s="55">
        <f>F49</f>
        <v>114.00000000000001</v>
      </c>
      <c r="E61" s="72">
        <f>D61/(B6*B9)</f>
        <v>2.4782608695652176E-2</v>
      </c>
    </row>
    <row r="62" spans="1:6" x14ac:dyDescent="0.25">
      <c r="A62" s="46" t="s">
        <v>11</v>
      </c>
      <c r="C62" s="55">
        <f>D43</f>
        <v>300</v>
      </c>
      <c r="D62" s="55">
        <f>F50</f>
        <v>198</v>
      </c>
      <c r="E62" s="72">
        <f>D62/(B6*B10)</f>
        <v>4.3999999999999997E-2</v>
      </c>
    </row>
    <row r="63" spans="1:6" x14ac:dyDescent="0.25">
      <c r="A63" s="46" t="s">
        <v>67</v>
      </c>
      <c r="C63" s="55">
        <f>D44</f>
        <v>30</v>
      </c>
      <c r="D63" s="55">
        <v>0</v>
      </c>
      <c r="E63" s="72">
        <f>C63/(B6*B11)</f>
        <v>3.3333333333333326E-2</v>
      </c>
    </row>
    <row r="64" spans="1:6" x14ac:dyDescent="0.25">
      <c r="A64" s="56" t="s">
        <v>53</v>
      </c>
      <c r="B64" s="57"/>
      <c r="C64" s="73">
        <f>SUM(C61:C63)</f>
        <v>630</v>
      </c>
      <c r="D64" s="73">
        <f>SUM(D61:D63)</f>
        <v>312</v>
      </c>
      <c r="E64" s="57"/>
    </row>
    <row r="65" spans="1:6" x14ac:dyDescent="0.25">
      <c r="A65" s="56" t="s">
        <v>68</v>
      </c>
      <c r="B65" s="57"/>
      <c r="C65" s="73">
        <f>D24</f>
        <v>965.15528187042673</v>
      </c>
      <c r="D65" s="57"/>
      <c r="E65" s="57"/>
    </row>
    <row r="67" spans="1:6" x14ac:dyDescent="0.25">
      <c r="A67" s="46" t="s">
        <v>69</v>
      </c>
      <c r="C67" s="74">
        <f>B6*B9*F31</f>
        <v>46</v>
      </c>
    </row>
    <row r="68" spans="1:6" x14ac:dyDescent="0.25">
      <c r="A68" s="46" t="s">
        <v>70</v>
      </c>
      <c r="C68" s="74">
        <f>B6*B10*F33</f>
        <v>45</v>
      </c>
    </row>
    <row r="70" spans="1:6" x14ac:dyDescent="0.25">
      <c r="A70" s="44" t="s">
        <v>71</v>
      </c>
      <c r="B70" s="44"/>
      <c r="C70" s="44"/>
      <c r="D70" s="44"/>
      <c r="E70" s="44"/>
      <c r="F70" s="44"/>
    </row>
  </sheetData>
  <mergeCells count="17">
    <mergeCell ref="A47:F47"/>
    <mergeCell ref="A55:F55"/>
    <mergeCell ref="C56:F56"/>
    <mergeCell ref="A59:F59"/>
    <mergeCell ref="A70:F70"/>
    <mergeCell ref="A25:F25"/>
    <mergeCell ref="A27:F27"/>
    <mergeCell ref="A28:F28"/>
    <mergeCell ref="C32:F32"/>
    <mergeCell ref="C34:F34"/>
    <mergeCell ref="A46:F46"/>
    <mergeCell ref="A2:F2"/>
    <mergeCell ref="A4:F4"/>
    <mergeCell ref="C5:F5"/>
    <mergeCell ref="C6:F6"/>
    <mergeCell ref="A12:F12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NaturalEscapement</vt:lpstr>
      <vt:lpstr>Calculator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Pourfaraj, Vahab (DFO/MPO)</dc:creator>
  <cp:lastModifiedBy>Pourfaraj, Vahab (DFO/MPO)</cp:lastModifiedBy>
  <dcterms:created xsi:type="dcterms:W3CDTF">2026-09-14T18:06:46Z</dcterms:created>
  <dcterms:modified xsi:type="dcterms:W3CDTF">2026-09-16T17:35:24Z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2026-09-14T18:49:22Z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3ea4287e-4183-423d-b2e2-2d4d4e110836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