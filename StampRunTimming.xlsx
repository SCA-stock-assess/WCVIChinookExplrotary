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Users\POURFARAJV\Documents\GitHub\WCVIChinookExplrotaryVahab\"/>
    </mc:Choice>
  </mc:AlternateContent>
  <xr:revisionPtr revIDLastSave="0" documentId="13_ncr:1_{CF9DADD4-0368-4D2B-B5CE-24A2DE090340}" xr6:coauthVersionLast="47" xr6:coauthVersionMax="47" xr10:uidLastSave="{00000000-0000-0000-0000-000000000000}"/>
  <bookViews>
    <workbookView xWindow="-120" yWindow="-120" windowWidth="29040" windowHeight="15720" activeTab="2" xr2:uid="{EE93E614-1FC8-41B2-B58E-55478453DE4E}"/>
  </bookViews>
  <sheets>
    <sheet name="STAMP Escapement Data" sheetId="2" r:id="rId1"/>
    <sheet name="PIVOT" sheetId="3" r:id="rId2"/>
    <sheet name="Plots" sheetId="4" r:id="rId3"/>
  </sheets>
  <definedNames>
    <definedName name="ExternalData_1" localSheetId="0" hidden="1">'STAMP Escapement Data'!$A$1:$G$3066</definedName>
  </definedNames>
  <calcPr calcId="191029"/>
  <pivotCaches>
    <pivotCache cacheId="14" r:id="rId4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2" i="2" l="1"/>
  <c r="I3" i="2"/>
  <c r="I4" i="2"/>
  <c r="I5" i="2"/>
  <c r="I6" i="2"/>
  <c r="I7" i="2"/>
  <c r="I8" i="2"/>
  <c r="I9" i="2"/>
  <c r="I10" i="2"/>
  <c r="I11" i="2"/>
  <c r="I12" i="2"/>
  <c r="I13" i="2"/>
  <c r="I14" i="2"/>
  <c r="I15" i="2"/>
  <c r="I16" i="2"/>
  <c r="I17" i="2"/>
  <c r="I18" i="2"/>
  <c r="I19" i="2"/>
  <c r="I20" i="2"/>
  <c r="I21" i="2"/>
  <c r="I22" i="2"/>
  <c r="I23" i="2"/>
  <c r="I24" i="2"/>
  <c r="I25" i="2"/>
  <c r="I26" i="2"/>
  <c r="I27" i="2"/>
  <c r="I28" i="2"/>
  <c r="I29" i="2"/>
  <c r="I30" i="2"/>
  <c r="I31" i="2"/>
  <c r="I32" i="2"/>
  <c r="I33" i="2"/>
  <c r="I34" i="2"/>
  <c r="I35" i="2"/>
  <c r="I36" i="2"/>
  <c r="I37" i="2"/>
  <c r="I38" i="2"/>
  <c r="I39" i="2"/>
  <c r="I40" i="2"/>
  <c r="I41" i="2"/>
  <c r="I42" i="2"/>
  <c r="I43" i="2"/>
  <c r="I44" i="2"/>
  <c r="I45" i="2"/>
  <c r="I46" i="2"/>
  <c r="I47" i="2"/>
  <c r="I48" i="2"/>
  <c r="I49" i="2"/>
  <c r="I50" i="2"/>
  <c r="I51" i="2"/>
  <c r="I52" i="2"/>
  <c r="I53" i="2"/>
  <c r="I54" i="2"/>
  <c r="I55" i="2"/>
  <c r="I56" i="2"/>
  <c r="I57" i="2"/>
  <c r="I58" i="2"/>
  <c r="I59" i="2"/>
  <c r="I60" i="2"/>
  <c r="I61" i="2"/>
  <c r="I62" i="2"/>
  <c r="I63" i="2"/>
  <c r="I64" i="2"/>
  <c r="I65" i="2"/>
  <c r="I66" i="2"/>
  <c r="I67" i="2"/>
  <c r="I68" i="2"/>
  <c r="I69" i="2"/>
  <c r="I70" i="2"/>
  <c r="I71" i="2"/>
  <c r="I72" i="2"/>
  <c r="I73" i="2"/>
  <c r="I74" i="2"/>
  <c r="I75" i="2"/>
  <c r="I76" i="2"/>
  <c r="I77" i="2"/>
  <c r="I78" i="2"/>
  <c r="I79" i="2"/>
  <c r="I80" i="2"/>
  <c r="I81" i="2"/>
  <c r="I82" i="2"/>
  <c r="I83" i="2"/>
  <c r="I84" i="2"/>
  <c r="I85" i="2"/>
  <c r="I86" i="2"/>
  <c r="I87" i="2"/>
  <c r="I88" i="2"/>
  <c r="I89" i="2"/>
  <c r="I90" i="2"/>
  <c r="I91" i="2"/>
  <c r="I92" i="2"/>
  <c r="I93" i="2"/>
  <c r="I94" i="2"/>
  <c r="I95" i="2"/>
  <c r="I96" i="2"/>
  <c r="I97" i="2"/>
  <c r="I98" i="2"/>
  <c r="I99" i="2"/>
  <c r="I100" i="2"/>
  <c r="I101" i="2"/>
  <c r="I102" i="2"/>
  <c r="I103" i="2"/>
  <c r="I104" i="2"/>
  <c r="I105" i="2"/>
  <c r="I106" i="2"/>
  <c r="I107" i="2"/>
  <c r="I108" i="2"/>
  <c r="I109" i="2"/>
  <c r="I110" i="2"/>
  <c r="I111" i="2"/>
  <c r="I112" i="2"/>
  <c r="I113" i="2"/>
  <c r="I114" i="2"/>
  <c r="I115" i="2"/>
  <c r="I116" i="2"/>
  <c r="I117" i="2"/>
  <c r="I118" i="2"/>
  <c r="I119" i="2"/>
  <c r="I120" i="2"/>
  <c r="I121" i="2"/>
  <c r="I122" i="2"/>
  <c r="I123" i="2"/>
  <c r="I124" i="2"/>
  <c r="I125" i="2"/>
  <c r="I126" i="2"/>
  <c r="I127" i="2"/>
  <c r="I128" i="2"/>
  <c r="I129" i="2"/>
  <c r="I130" i="2"/>
  <c r="I131" i="2"/>
  <c r="I132" i="2"/>
  <c r="I133" i="2"/>
  <c r="I134" i="2"/>
  <c r="I135" i="2"/>
  <c r="I136" i="2"/>
  <c r="I137" i="2"/>
  <c r="I138" i="2"/>
  <c r="I139" i="2"/>
  <c r="I140" i="2"/>
  <c r="I141" i="2"/>
  <c r="I142" i="2"/>
  <c r="I143" i="2"/>
  <c r="I144" i="2"/>
  <c r="I145" i="2"/>
  <c r="I146" i="2"/>
  <c r="I147" i="2"/>
  <c r="I148" i="2"/>
  <c r="I149" i="2"/>
  <c r="I150" i="2"/>
  <c r="I151" i="2"/>
  <c r="I152" i="2"/>
  <c r="I153" i="2"/>
  <c r="I154" i="2"/>
  <c r="I155" i="2"/>
  <c r="I156" i="2"/>
  <c r="I157" i="2"/>
  <c r="I158" i="2"/>
  <c r="I159" i="2"/>
  <c r="I160" i="2"/>
  <c r="I161" i="2"/>
  <c r="I162" i="2"/>
  <c r="I163" i="2"/>
  <c r="I164" i="2"/>
  <c r="I165" i="2"/>
  <c r="I166" i="2"/>
  <c r="I167" i="2"/>
  <c r="I168" i="2"/>
  <c r="I169" i="2"/>
  <c r="I170" i="2"/>
  <c r="I171" i="2"/>
  <c r="I172" i="2"/>
  <c r="I173" i="2"/>
  <c r="I174" i="2"/>
  <c r="I175" i="2"/>
  <c r="I176" i="2"/>
  <c r="I177" i="2"/>
  <c r="I178" i="2"/>
  <c r="I179" i="2"/>
  <c r="I180" i="2"/>
  <c r="I181" i="2"/>
  <c r="I182" i="2"/>
  <c r="I183" i="2"/>
  <c r="I184" i="2"/>
  <c r="I185" i="2"/>
  <c r="I186" i="2"/>
  <c r="I187" i="2"/>
  <c r="I188" i="2"/>
  <c r="I189" i="2"/>
  <c r="I190" i="2"/>
  <c r="I191" i="2"/>
  <c r="I192" i="2"/>
  <c r="I193" i="2"/>
  <c r="I194" i="2"/>
  <c r="I195" i="2"/>
  <c r="I196" i="2"/>
  <c r="I197" i="2"/>
  <c r="I198" i="2"/>
  <c r="I199" i="2"/>
  <c r="I200" i="2"/>
  <c r="I201" i="2"/>
  <c r="I202" i="2"/>
  <c r="I203" i="2"/>
  <c r="I204" i="2"/>
  <c r="I205" i="2"/>
  <c r="I206" i="2"/>
  <c r="I207" i="2"/>
  <c r="I208" i="2"/>
  <c r="I209" i="2"/>
  <c r="I210" i="2"/>
  <c r="I211" i="2"/>
  <c r="I212" i="2"/>
  <c r="I213" i="2"/>
  <c r="I214" i="2"/>
  <c r="I215" i="2"/>
  <c r="I216" i="2"/>
  <c r="I217" i="2"/>
  <c r="I218" i="2"/>
  <c r="I219" i="2"/>
  <c r="I220" i="2"/>
  <c r="I221" i="2"/>
  <c r="I222" i="2"/>
  <c r="I223" i="2"/>
  <c r="I224" i="2"/>
  <c r="I225" i="2"/>
  <c r="I226" i="2"/>
  <c r="I227" i="2"/>
  <c r="I228" i="2"/>
  <c r="I229" i="2"/>
  <c r="I230" i="2"/>
  <c r="I231" i="2"/>
  <c r="I232" i="2"/>
  <c r="I233" i="2"/>
  <c r="I234" i="2"/>
  <c r="I235" i="2"/>
  <c r="I236" i="2"/>
  <c r="I237" i="2"/>
  <c r="I238" i="2"/>
  <c r="I239" i="2"/>
  <c r="I240" i="2"/>
  <c r="I241" i="2"/>
  <c r="I242" i="2"/>
  <c r="I243" i="2"/>
  <c r="I244" i="2"/>
  <c r="I245" i="2"/>
  <c r="I246" i="2"/>
  <c r="I247" i="2"/>
  <c r="I248" i="2"/>
  <c r="I249" i="2"/>
  <c r="I250" i="2"/>
  <c r="I251" i="2"/>
  <c r="I252" i="2"/>
  <c r="I253" i="2"/>
  <c r="I254" i="2"/>
  <c r="I255" i="2"/>
  <c r="I256" i="2"/>
  <c r="I257" i="2"/>
  <c r="I258" i="2"/>
  <c r="I259" i="2"/>
  <c r="I260" i="2"/>
  <c r="I261" i="2"/>
  <c r="I262" i="2"/>
  <c r="I263" i="2"/>
  <c r="I264" i="2"/>
  <c r="I265" i="2"/>
  <c r="I266" i="2"/>
  <c r="I267" i="2"/>
  <c r="I268" i="2"/>
  <c r="I269" i="2"/>
  <c r="I270" i="2"/>
  <c r="I271" i="2"/>
  <c r="I272" i="2"/>
  <c r="I273" i="2"/>
  <c r="I274" i="2"/>
  <c r="I275" i="2"/>
  <c r="I276" i="2"/>
  <c r="I277" i="2"/>
  <c r="I278" i="2"/>
  <c r="I279" i="2"/>
  <c r="I280" i="2"/>
  <c r="I281" i="2"/>
  <c r="I282" i="2"/>
  <c r="I283" i="2"/>
  <c r="I284" i="2"/>
  <c r="I285" i="2"/>
  <c r="I286" i="2"/>
  <c r="I287" i="2"/>
  <c r="I288" i="2"/>
  <c r="I289" i="2"/>
  <c r="I290" i="2"/>
  <c r="I291" i="2"/>
  <c r="I292" i="2"/>
  <c r="I293" i="2"/>
  <c r="I294" i="2"/>
  <c r="I295" i="2"/>
  <c r="I296" i="2"/>
  <c r="I297" i="2"/>
  <c r="I298" i="2"/>
  <c r="I299" i="2"/>
  <c r="I300" i="2"/>
  <c r="I301" i="2"/>
  <c r="I302" i="2"/>
  <c r="I303" i="2"/>
  <c r="I304" i="2"/>
  <c r="I305" i="2"/>
  <c r="I306" i="2"/>
  <c r="I307" i="2"/>
  <c r="I308" i="2"/>
  <c r="I309" i="2"/>
  <c r="I310" i="2"/>
  <c r="I311" i="2"/>
  <c r="I312" i="2"/>
  <c r="I313" i="2"/>
  <c r="I314" i="2"/>
  <c r="I315" i="2"/>
  <c r="I316" i="2"/>
  <c r="I317" i="2"/>
  <c r="I318" i="2"/>
  <c r="I319" i="2"/>
  <c r="I320" i="2"/>
  <c r="I321" i="2"/>
  <c r="I322" i="2"/>
  <c r="I323" i="2"/>
  <c r="I324" i="2"/>
  <c r="I325" i="2"/>
  <c r="I326" i="2"/>
  <c r="I327" i="2"/>
  <c r="I328" i="2"/>
  <c r="I329" i="2"/>
  <c r="I330" i="2"/>
  <c r="I331" i="2"/>
  <c r="I332" i="2"/>
  <c r="I333" i="2"/>
  <c r="I334" i="2"/>
  <c r="I335" i="2"/>
  <c r="I336" i="2"/>
  <c r="I337" i="2"/>
  <c r="I338" i="2"/>
  <c r="I339" i="2"/>
  <c r="I340" i="2"/>
  <c r="I341" i="2"/>
  <c r="I342" i="2"/>
  <c r="I343" i="2"/>
  <c r="I344" i="2"/>
  <c r="I345" i="2"/>
  <c r="I346" i="2"/>
  <c r="I347" i="2"/>
  <c r="I348" i="2"/>
  <c r="I349" i="2"/>
  <c r="I350" i="2"/>
  <c r="I351" i="2"/>
  <c r="I352" i="2"/>
  <c r="I353" i="2"/>
  <c r="I354" i="2"/>
  <c r="I355" i="2"/>
  <c r="I356" i="2"/>
  <c r="I357" i="2"/>
  <c r="I358" i="2"/>
  <c r="I359" i="2"/>
  <c r="I360" i="2"/>
  <c r="I361" i="2"/>
  <c r="I362" i="2"/>
  <c r="I363" i="2"/>
  <c r="I364" i="2"/>
  <c r="I365" i="2"/>
  <c r="I366" i="2"/>
  <c r="I367" i="2"/>
  <c r="I368" i="2"/>
  <c r="I369" i="2"/>
  <c r="I370" i="2"/>
  <c r="I371" i="2"/>
  <c r="I372" i="2"/>
  <c r="I373" i="2"/>
  <c r="I374" i="2"/>
  <c r="I375" i="2"/>
  <c r="I376" i="2"/>
  <c r="I377" i="2"/>
  <c r="I378" i="2"/>
  <c r="I379" i="2"/>
  <c r="I380" i="2"/>
  <c r="I381" i="2"/>
  <c r="I382" i="2"/>
  <c r="I383" i="2"/>
  <c r="I384" i="2"/>
  <c r="I385" i="2"/>
  <c r="I386" i="2"/>
  <c r="I387" i="2"/>
  <c r="I388" i="2"/>
  <c r="I389" i="2"/>
  <c r="I390" i="2"/>
  <c r="I391" i="2"/>
  <c r="I392" i="2"/>
  <c r="I393" i="2"/>
  <c r="I394" i="2"/>
  <c r="I395" i="2"/>
  <c r="I396" i="2"/>
  <c r="I397" i="2"/>
  <c r="I398" i="2"/>
  <c r="I399" i="2"/>
  <c r="I400" i="2"/>
  <c r="I401" i="2"/>
  <c r="I402" i="2"/>
  <c r="I403" i="2"/>
  <c r="I404" i="2"/>
  <c r="I405" i="2"/>
  <c r="I406" i="2"/>
  <c r="I407" i="2"/>
  <c r="I408" i="2"/>
  <c r="I409" i="2"/>
  <c r="I410" i="2"/>
  <c r="I411" i="2"/>
  <c r="I412" i="2"/>
  <c r="I413" i="2"/>
  <c r="I414" i="2"/>
  <c r="I415" i="2"/>
  <c r="I416" i="2"/>
  <c r="I417" i="2"/>
  <c r="I418" i="2"/>
  <c r="I419" i="2"/>
  <c r="I420" i="2"/>
  <c r="I421" i="2"/>
  <c r="I422" i="2"/>
  <c r="I423" i="2"/>
  <c r="I424" i="2"/>
  <c r="I425" i="2"/>
  <c r="I426" i="2"/>
  <c r="I427" i="2"/>
  <c r="I428" i="2"/>
  <c r="I429" i="2"/>
  <c r="I430" i="2"/>
  <c r="I431" i="2"/>
  <c r="I432" i="2"/>
  <c r="I433" i="2"/>
  <c r="I434" i="2"/>
  <c r="I435" i="2"/>
  <c r="I436" i="2"/>
  <c r="I437" i="2"/>
  <c r="I438" i="2"/>
  <c r="I439" i="2"/>
  <c r="I440" i="2"/>
  <c r="I441" i="2"/>
  <c r="I442" i="2"/>
  <c r="I443" i="2"/>
  <c r="I444" i="2"/>
  <c r="I445" i="2"/>
  <c r="I446" i="2"/>
  <c r="I447" i="2"/>
  <c r="I448" i="2"/>
  <c r="I449" i="2"/>
  <c r="I450" i="2"/>
  <c r="I451" i="2"/>
  <c r="I452" i="2"/>
  <c r="I453" i="2"/>
  <c r="I454" i="2"/>
  <c r="I455" i="2"/>
  <c r="I456" i="2"/>
  <c r="I457" i="2"/>
  <c r="I458" i="2"/>
  <c r="I459" i="2"/>
  <c r="I460" i="2"/>
  <c r="I461" i="2"/>
  <c r="I462" i="2"/>
  <c r="I463" i="2"/>
  <c r="I464" i="2"/>
  <c r="I465" i="2"/>
  <c r="I466" i="2"/>
  <c r="I467" i="2"/>
  <c r="I468" i="2"/>
  <c r="I469" i="2"/>
  <c r="I470" i="2"/>
  <c r="I471" i="2"/>
  <c r="I472" i="2"/>
  <c r="I473" i="2"/>
  <c r="I474" i="2"/>
  <c r="I475" i="2"/>
  <c r="I476" i="2"/>
  <c r="I477" i="2"/>
  <c r="I478" i="2"/>
  <c r="I479" i="2"/>
  <c r="I480" i="2"/>
  <c r="I481" i="2"/>
  <c r="I482" i="2"/>
  <c r="I483" i="2"/>
  <c r="I484" i="2"/>
  <c r="I485" i="2"/>
  <c r="I486" i="2"/>
  <c r="I487" i="2"/>
  <c r="I488" i="2"/>
  <c r="I489" i="2"/>
  <c r="I490" i="2"/>
  <c r="I491" i="2"/>
  <c r="I492" i="2"/>
  <c r="I493" i="2"/>
  <c r="I494" i="2"/>
  <c r="I495" i="2"/>
  <c r="I496" i="2"/>
  <c r="I497" i="2"/>
  <c r="I498" i="2"/>
  <c r="I499" i="2"/>
  <c r="I500" i="2"/>
  <c r="I501" i="2"/>
  <c r="I502" i="2"/>
  <c r="I503" i="2"/>
  <c r="I504" i="2"/>
  <c r="I505" i="2"/>
  <c r="I506" i="2"/>
  <c r="I507" i="2"/>
  <c r="I508" i="2"/>
  <c r="I509" i="2"/>
  <c r="I510" i="2"/>
  <c r="I511" i="2"/>
  <c r="I512" i="2"/>
  <c r="I513" i="2"/>
  <c r="I514" i="2"/>
  <c r="I515" i="2"/>
  <c r="I516" i="2"/>
  <c r="I517" i="2"/>
  <c r="I518" i="2"/>
  <c r="I519" i="2"/>
  <c r="I520" i="2"/>
  <c r="I521" i="2"/>
  <c r="I522" i="2"/>
  <c r="I523" i="2"/>
  <c r="I524" i="2"/>
  <c r="I525" i="2"/>
  <c r="I526" i="2"/>
  <c r="I527" i="2"/>
  <c r="I528" i="2"/>
  <c r="I529" i="2"/>
  <c r="I530" i="2"/>
  <c r="I531" i="2"/>
  <c r="I532" i="2"/>
  <c r="I533" i="2"/>
  <c r="I534" i="2"/>
  <c r="I535" i="2"/>
  <c r="I536" i="2"/>
  <c r="I537" i="2"/>
  <c r="I538" i="2"/>
  <c r="I539" i="2"/>
  <c r="I540" i="2"/>
  <c r="I541" i="2"/>
  <c r="I542" i="2"/>
  <c r="I543" i="2"/>
  <c r="I544" i="2"/>
  <c r="I545" i="2"/>
  <c r="I546" i="2"/>
  <c r="I547" i="2"/>
  <c r="I548" i="2"/>
  <c r="I549" i="2"/>
  <c r="I550" i="2"/>
  <c r="I551" i="2"/>
  <c r="I552" i="2"/>
  <c r="I553" i="2"/>
  <c r="I554" i="2"/>
  <c r="I555" i="2"/>
  <c r="I556" i="2"/>
  <c r="I557" i="2"/>
  <c r="I558" i="2"/>
  <c r="I559" i="2"/>
  <c r="I560" i="2"/>
  <c r="I561" i="2"/>
  <c r="I562" i="2"/>
  <c r="I563" i="2"/>
  <c r="I564" i="2"/>
  <c r="I565" i="2"/>
  <c r="I566" i="2"/>
  <c r="I567" i="2"/>
  <c r="I568" i="2"/>
  <c r="I569" i="2"/>
  <c r="I570" i="2"/>
  <c r="I571" i="2"/>
  <c r="I572" i="2"/>
  <c r="I573" i="2"/>
  <c r="I574" i="2"/>
  <c r="I575" i="2"/>
  <c r="I576" i="2"/>
  <c r="I577" i="2"/>
  <c r="I578" i="2"/>
  <c r="I579" i="2"/>
  <c r="I580" i="2"/>
  <c r="I581" i="2"/>
  <c r="I582" i="2"/>
  <c r="I583" i="2"/>
  <c r="I584" i="2"/>
  <c r="I585" i="2"/>
  <c r="I586" i="2"/>
  <c r="I587" i="2"/>
  <c r="I588" i="2"/>
  <c r="I589" i="2"/>
  <c r="I590" i="2"/>
  <c r="I591" i="2"/>
  <c r="I592" i="2"/>
  <c r="I593" i="2"/>
  <c r="I594" i="2"/>
  <c r="I595" i="2"/>
  <c r="I596" i="2"/>
  <c r="I597" i="2"/>
  <c r="I598" i="2"/>
  <c r="I599" i="2"/>
  <c r="I600" i="2"/>
  <c r="I601" i="2"/>
  <c r="I602" i="2"/>
  <c r="I603" i="2"/>
  <c r="I604" i="2"/>
  <c r="I605" i="2"/>
  <c r="I606" i="2"/>
  <c r="I607" i="2"/>
  <c r="I608" i="2"/>
  <c r="I609" i="2"/>
  <c r="I610" i="2"/>
  <c r="I611" i="2"/>
  <c r="I612" i="2"/>
  <c r="I613" i="2"/>
  <c r="I614" i="2"/>
  <c r="I615" i="2"/>
  <c r="I616" i="2"/>
  <c r="I617" i="2"/>
  <c r="I618" i="2"/>
  <c r="I619" i="2"/>
  <c r="I620" i="2"/>
  <c r="I621" i="2"/>
  <c r="I622" i="2"/>
  <c r="I623" i="2"/>
  <c r="I624" i="2"/>
  <c r="I625" i="2"/>
  <c r="I626" i="2"/>
  <c r="I627" i="2"/>
  <c r="I628" i="2"/>
  <c r="I629" i="2"/>
  <c r="I630" i="2"/>
  <c r="I631" i="2"/>
  <c r="I632" i="2"/>
  <c r="I633" i="2"/>
  <c r="I634" i="2"/>
  <c r="I635" i="2"/>
  <c r="I636" i="2"/>
  <c r="I637" i="2"/>
  <c r="I638" i="2"/>
  <c r="I639" i="2"/>
  <c r="I640" i="2"/>
  <c r="I641" i="2"/>
  <c r="I642" i="2"/>
  <c r="I643" i="2"/>
  <c r="I644" i="2"/>
  <c r="I645" i="2"/>
  <c r="I646" i="2"/>
  <c r="I647" i="2"/>
  <c r="I648" i="2"/>
  <c r="I649" i="2"/>
  <c r="I650" i="2"/>
  <c r="I651" i="2"/>
  <c r="I652" i="2"/>
  <c r="I653" i="2"/>
  <c r="I654" i="2"/>
  <c r="I655" i="2"/>
  <c r="I656" i="2"/>
  <c r="I657" i="2"/>
  <c r="I658" i="2"/>
  <c r="I659" i="2"/>
  <c r="I660" i="2"/>
  <c r="I661" i="2"/>
  <c r="I662" i="2"/>
  <c r="I663" i="2"/>
  <c r="I664" i="2"/>
  <c r="I665" i="2"/>
  <c r="I666" i="2"/>
  <c r="I667" i="2"/>
  <c r="I668" i="2"/>
  <c r="I669" i="2"/>
  <c r="I670" i="2"/>
  <c r="I671" i="2"/>
  <c r="I672" i="2"/>
  <c r="I673" i="2"/>
  <c r="I674" i="2"/>
  <c r="I675" i="2"/>
  <c r="I676" i="2"/>
  <c r="I677" i="2"/>
  <c r="I678" i="2"/>
  <c r="I679" i="2"/>
  <c r="I680" i="2"/>
  <c r="I681" i="2"/>
  <c r="I682" i="2"/>
  <c r="I683" i="2"/>
  <c r="I684" i="2"/>
  <c r="I685" i="2"/>
  <c r="I686" i="2"/>
  <c r="I687" i="2"/>
  <c r="I688" i="2"/>
  <c r="I689" i="2"/>
  <c r="I690" i="2"/>
  <c r="I691" i="2"/>
  <c r="I692" i="2"/>
  <c r="I693" i="2"/>
  <c r="I694" i="2"/>
  <c r="I695" i="2"/>
  <c r="I696" i="2"/>
  <c r="I697" i="2"/>
  <c r="I698" i="2"/>
  <c r="I699" i="2"/>
  <c r="I700" i="2"/>
  <c r="I701" i="2"/>
  <c r="I702" i="2"/>
  <c r="I703" i="2"/>
  <c r="I704" i="2"/>
  <c r="I705" i="2"/>
  <c r="I706" i="2"/>
  <c r="I707" i="2"/>
  <c r="I708" i="2"/>
  <c r="I709" i="2"/>
  <c r="I710" i="2"/>
  <c r="I711" i="2"/>
  <c r="I712" i="2"/>
  <c r="I713" i="2"/>
  <c r="I714" i="2"/>
  <c r="I715" i="2"/>
  <c r="I716" i="2"/>
  <c r="I717" i="2"/>
  <c r="I718" i="2"/>
  <c r="I719" i="2"/>
  <c r="I720" i="2"/>
  <c r="I721" i="2"/>
  <c r="I722" i="2"/>
  <c r="I723" i="2"/>
  <c r="I724" i="2"/>
  <c r="I725" i="2"/>
  <c r="I726" i="2"/>
  <c r="I727" i="2"/>
  <c r="I728" i="2"/>
  <c r="I729" i="2"/>
  <c r="I730" i="2"/>
  <c r="I731" i="2"/>
  <c r="I732" i="2"/>
  <c r="I733" i="2"/>
  <c r="I734" i="2"/>
  <c r="I735" i="2"/>
  <c r="I736" i="2"/>
  <c r="I737" i="2"/>
  <c r="I738" i="2"/>
  <c r="I739" i="2"/>
  <c r="I740" i="2"/>
  <c r="I741" i="2"/>
  <c r="I742" i="2"/>
  <c r="I743" i="2"/>
  <c r="I744" i="2"/>
  <c r="I745" i="2"/>
  <c r="I746" i="2"/>
  <c r="I747" i="2"/>
  <c r="I748" i="2"/>
  <c r="I749" i="2"/>
  <c r="I750" i="2"/>
  <c r="I751" i="2"/>
  <c r="I752" i="2"/>
  <c r="I753" i="2"/>
  <c r="I754" i="2"/>
  <c r="I755" i="2"/>
  <c r="I756" i="2"/>
  <c r="I757" i="2"/>
  <c r="I758" i="2"/>
  <c r="I759" i="2"/>
  <c r="I760" i="2"/>
  <c r="I761" i="2"/>
  <c r="I762" i="2"/>
  <c r="I763" i="2"/>
  <c r="I764" i="2"/>
  <c r="I765" i="2"/>
  <c r="I766" i="2"/>
  <c r="I767" i="2"/>
  <c r="I768" i="2"/>
  <c r="I769" i="2"/>
  <c r="I770" i="2"/>
  <c r="I771" i="2"/>
  <c r="I772" i="2"/>
  <c r="I773" i="2"/>
  <c r="I774" i="2"/>
  <c r="I775" i="2"/>
  <c r="I776" i="2"/>
  <c r="I777" i="2"/>
  <c r="I778" i="2"/>
  <c r="I779" i="2"/>
  <c r="I780" i="2"/>
  <c r="I781" i="2"/>
  <c r="I782" i="2"/>
  <c r="I783" i="2"/>
  <c r="I784" i="2"/>
  <c r="I785" i="2"/>
  <c r="I786" i="2"/>
  <c r="I787" i="2"/>
  <c r="I788" i="2"/>
  <c r="I789" i="2"/>
  <c r="I790" i="2"/>
  <c r="I791" i="2"/>
  <c r="I792" i="2"/>
  <c r="I793" i="2"/>
  <c r="I794" i="2"/>
  <c r="I795" i="2"/>
  <c r="I796" i="2"/>
  <c r="I797" i="2"/>
  <c r="I798" i="2"/>
  <c r="I799" i="2"/>
  <c r="I800" i="2"/>
  <c r="I801" i="2"/>
  <c r="I802" i="2"/>
  <c r="I803" i="2"/>
  <c r="I804" i="2"/>
  <c r="I805" i="2"/>
  <c r="I806" i="2"/>
  <c r="I807" i="2"/>
  <c r="I808" i="2"/>
  <c r="I809" i="2"/>
  <c r="I810" i="2"/>
  <c r="I811" i="2"/>
  <c r="I812" i="2"/>
  <c r="I813" i="2"/>
  <c r="I814" i="2"/>
  <c r="I815" i="2"/>
  <c r="I816" i="2"/>
  <c r="I817" i="2"/>
  <c r="I818" i="2"/>
  <c r="I819" i="2"/>
  <c r="I820" i="2"/>
  <c r="I821" i="2"/>
  <c r="I822" i="2"/>
  <c r="I823" i="2"/>
  <c r="I824" i="2"/>
  <c r="I825" i="2"/>
  <c r="I826" i="2"/>
  <c r="I827" i="2"/>
  <c r="I828" i="2"/>
  <c r="I829" i="2"/>
  <c r="I830" i="2"/>
  <c r="I831" i="2"/>
  <c r="I832" i="2"/>
  <c r="I833" i="2"/>
  <c r="I834" i="2"/>
  <c r="I835" i="2"/>
  <c r="I836" i="2"/>
  <c r="I837" i="2"/>
  <c r="I838" i="2"/>
  <c r="I839" i="2"/>
  <c r="I840" i="2"/>
  <c r="I841" i="2"/>
  <c r="I842" i="2"/>
  <c r="I843" i="2"/>
  <c r="I844" i="2"/>
  <c r="I845" i="2"/>
  <c r="I846" i="2"/>
  <c r="I847" i="2"/>
  <c r="I848" i="2"/>
  <c r="I849" i="2"/>
  <c r="I850" i="2"/>
  <c r="I851" i="2"/>
  <c r="I852" i="2"/>
  <c r="I853" i="2"/>
  <c r="I854" i="2"/>
  <c r="I855" i="2"/>
  <c r="I856" i="2"/>
  <c r="I857" i="2"/>
  <c r="I858" i="2"/>
  <c r="I859" i="2"/>
  <c r="I860" i="2"/>
  <c r="I861" i="2"/>
  <c r="I862" i="2"/>
  <c r="I863" i="2"/>
  <c r="I864" i="2"/>
  <c r="I865" i="2"/>
  <c r="I866" i="2"/>
  <c r="I867" i="2"/>
  <c r="I868" i="2"/>
  <c r="I869" i="2"/>
  <c r="I870" i="2"/>
  <c r="I871" i="2"/>
  <c r="I872" i="2"/>
  <c r="I873" i="2"/>
  <c r="I874" i="2"/>
  <c r="I875" i="2"/>
  <c r="I876" i="2"/>
  <c r="I877" i="2"/>
  <c r="I878" i="2"/>
  <c r="I879" i="2"/>
  <c r="I880" i="2"/>
  <c r="I881" i="2"/>
  <c r="I882" i="2"/>
  <c r="I883" i="2"/>
  <c r="I884" i="2"/>
  <c r="I885" i="2"/>
  <c r="I886" i="2"/>
  <c r="I887" i="2"/>
  <c r="I888" i="2"/>
  <c r="I889" i="2"/>
  <c r="I890" i="2"/>
  <c r="I891" i="2"/>
  <c r="I892" i="2"/>
  <c r="I893" i="2"/>
  <c r="I894" i="2"/>
  <c r="I895" i="2"/>
  <c r="I896" i="2"/>
  <c r="I897" i="2"/>
  <c r="I898" i="2"/>
  <c r="I899" i="2"/>
  <c r="I900" i="2"/>
  <c r="I901" i="2"/>
  <c r="I902" i="2"/>
  <c r="I903" i="2"/>
  <c r="I904" i="2"/>
  <c r="I905" i="2"/>
  <c r="I906" i="2"/>
  <c r="I907" i="2"/>
  <c r="I908" i="2"/>
  <c r="I909" i="2"/>
  <c r="I910" i="2"/>
  <c r="I911" i="2"/>
  <c r="I912" i="2"/>
  <c r="I913" i="2"/>
  <c r="I914" i="2"/>
  <c r="I915" i="2"/>
  <c r="I916" i="2"/>
  <c r="I917" i="2"/>
  <c r="I918" i="2"/>
  <c r="I919" i="2"/>
  <c r="I920" i="2"/>
  <c r="I921" i="2"/>
  <c r="I922" i="2"/>
  <c r="I923" i="2"/>
  <c r="I924" i="2"/>
  <c r="I925" i="2"/>
  <c r="I926" i="2"/>
  <c r="I927" i="2"/>
  <c r="I928" i="2"/>
  <c r="I929" i="2"/>
  <c r="I930" i="2"/>
  <c r="I931" i="2"/>
  <c r="I932" i="2"/>
  <c r="I933" i="2"/>
  <c r="I934" i="2"/>
  <c r="I935" i="2"/>
  <c r="I936" i="2"/>
  <c r="I937" i="2"/>
  <c r="I938" i="2"/>
  <c r="I939" i="2"/>
  <c r="I940" i="2"/>
  <c r="I941" i="2"/>
  <c r="I942" i="2"/>
  <c r="I943" i="2"/>
  <c r="I944" i="2"/>
  <c r="I945" i="2"/>
  <c r="I946" i="2"/>
  <c r="I947" i="2"/>
  <c r="I948" i="2"/>
  <c r="I949" i="2"/>
  <c r="I950" i="2"/>
  <c r="I951" i="2"/>
  <c r="I952" i="2"/>
  <c r="I953" i="2"/>
  <c r="I954" i="2"/>
  <c r="I955" i="2"/>
  <c r="I956" i="2"/>
  <c r="I957" i="2"/>
  <c r="I958" i="2"/>
  <c r="I959" i="2"/>
  <c r="I960" i="2"/>
  <c r="I961" i="2"/>
  <c r="I962" i="2"/>
  <c r="I963" i="2"/>
  <c r="I964" i="2"/>
  <c r="I965" i="2"/>
  <c r="I966" i="2"/>
  <c r="I967" i="2"/>
  <c r="I968" i="2"/>
  <c r="I969" i="2"/>
  <c r="I970" i="2"/>
  <c r="I971" i="2"/>
  <c r="I972" i="2"/>
  <c r="I973" i="2"/>
  <c r="I974" i="2"/>
  <c r="I975" i="2"/>
  <c r="I976" i="2"/>
  <c r="I977" i="2"/>
  <c r="I978" i="2"/>
  <c r="I979" i="2"/>
  <c r="I980" i="2"/>
  <c r="I981" i="2"/>
  <c r="I982" i="2"/>
  <c r="I983" i="2"/>
  <c r="I984" i="2"/>
  <c r="I985" i="2"/>
  <c r="I986" i="2"/>
  <c r="I987" i="2"/>
  <c r="I988" i="2"/>
  <c r="I989" i="2"/>
  <c r="I990" i="2"/>
  <c r="I991" i="2"/>
  <c r="I992" i="2"/>
  <c r="I993" i="2"/>
  <c r="I994" i="2"/>
  <c r="I995" i="2"/>
  <c r="I996" i="2"/>
  <c r="I997" i="2"/>
  <c r="I998" i="2"/>
  <c r="I999" i="2"/>
  <c r="I1000" i="2"/>
  <c r="I1001" i="2"/>
  <c r="I1002" i="2"/>
  <c r="I1003" i="2"/>
  <c r="I1004" i="2"/>
  <c r="I1005" i="2"/>
  <c r="I1006" i="2"/>
  <c r="I1007" i="2"/>
  <c r="I1008" i="2"/>
  <c r="I1009" i="2"/>
  <c r="I1010" i="2"/>
  <c r="I1011" i="2"/>
  <c r="I1012" i="2"/>
  <c r="I1013" i="2"/>
  <c r="I1014" i="2"/>
  <c r="I1015" i="2"/>
  <c r="I1016" i="2"/>
  <c r="I1017" i="2"/>
  <c r="I1018" i="2"/>
  <c r="I1019" i="2"/>
  <c r="I1020" i="2"/>
  <c r="I1021" i="2"/>
  <c r="I1022" i="2"/>
  <c r="I1023" i="2"/>
  <c r="I1024" i="2"/>
  <c r="I1025" i="2"/>
  <c r="I1026" i="2"/>
  <c r="I1027" i="2"/>
  <c r="I1028" i="2"/>
  <c r="I1029" i="2"/>
  <c r="I1030" i="2"/>
  <c r="I1031" i="2"/>
  <c r="I1032" i="2"/>
  <c r="I1033" i="2"/>
  <c r="I1034" i="2"/>
  <c r="I1035" i="2"/>
  <c r="I1036" i="2"/>
  <c r="I1037" i="2"/>
  <c r="I1038" i="2"/>
  <c r="I1039" i="2"/>
  <c r="I1040" i="2"/>
  <c r="I1041" i="2"/>
  <c r="I1042" i="2"/>
  <c r="I1043" i="2"/>
  <c r="I1044" i="2"/>
  <c r="I1045" i="2"/>
  <c r="I1046" i="2"/>
  <c r="I1047" i="2"/>
  <c r="I1048" i="2"/>
  <c r="I1049" i="2"/>
  <c r="I1050" i="2"/>
  <c r="I1051" i="2"/>
  <c r="I1052" i="2"/>
  <c r="I1053" i="2"/>
  <c r="I1054" i="2"/>
  <c r="I1055" i="2"/>
  <c r="I1056" i="2"/>
  <c r="I1057" i="2"/>
  <c r="I1058" i="2"/>
  <c r="I1059" i="2"/>
  <c r="I1060" i="2"/>
  <c r="I1061" i="2"/>
  <c r="I1062" i="2"/>
  <c r="I1063" i="2"/>
  <c r="I1064" i="2"/>
  <c r="I1065" i="2"/>
  <c r="I1066" i="2"/>
  <c r="I1067" i="2"/>
  <c r="I1068" i="2"/>
  <c r="I1069" i="2"/>
  <c r="I1070" i="2"/>
  <c r="I1071" i="2"/>
  <c r="I1072" i="2"/>
  <c r="I1073" i="2"/>
  <c r="I1074" i="2"/>
  <c r="I1075" i="2"/>
  <c r="I1076" i="2"/>
  <c r="I1077" i="2"/>
  <c r="I1078" i="2"/>
  <c r="I1079" i="2"/>
  <c r="I1080" i="2"/>
  <c r="I1081" i="2"/>
  <c r="I1082" i="2"/>
  <c r="I1083" i="2"/>
  <c r="I1084" i="2"/>
  <c r="I1085" i="2"/>
  <c r="I1086" i="2"/>
  <c r="I1087" i="2"/>
  <c r="I1088" i="2"/>
  <c r="I1089" i="2"/>
  <c r="I1090" i="2"/>
  <c r="I1091" i="2"/>
  <c r="I1092" i="2"/>
  <c r="I1093" i="2"/>
  <c r="I1094" i="2"/>
  <c r="I1095" i="2"/>
  <c r="I1096" i="2"/>
  <c r="I1097" i="2"/>
  <c r="I1098" i="2"/>
  <c r="I1099" i="2"/>
  <c r="I1100" i="2"/>
  <c r="I1101" i="2"/>
  <c r="I1102" i="2"/>
  <c r="I1103" i="2"/>
  <c r="I1104" i="2"/>
  <c r="I1105" i="2"/>
  <c r="I1106" i="2"/>
  <c r="I1107" i="2"/>
  <c r="I1108" i="2"/>
  <c r="I1109" i="2"/>
  <c r="I1110" i="2"/>
  <c r="I1111" i="2"/>
  <c r="I1112" i="2"/>
  <c r="I1113" i="2"/>
  <c r="I1114" i="2"/>
  <c r="I1115" i="2"/>
  <c r="I1116" i="2"/>
  <c r="I1117" i="2"/>
  <c r="I1118" i="2"/>
  <c r="I1119" i="2"/>
  <c r="I1120" i="2"/>
  <c r="I1121" i="2"/>
  <c r="I1122" i="2"/>
  <c r="I1123" i="2"/>
  <c r="I1124" i="2"/>
  <c r="I1125" i="2"/>
  <c r="I1126" i="2"/>
  <c r="I1127" i="2"/>
  <c r="I1128" i="2"/>
  <c r="I1129" i="2"/>
  <c r="I1130" i="2"/>
  <c r="I1131" i="2"/>
  <c r="I1132" i="2"/>
  <c r="I1133" i="2"/>
  <c r="I1134" i="2"/>
  <c r="I1135" i="2"/>
  <c r="I1136" i="2"/>
  <c r="I1137" i="2"/>
  <c r="I1138" i="2"/>
  <c r="I1139" i="2"/>
  <c r="I1140" i="2"/>
  <c r="I1141" i="2"/>
  <c r="I1142" i="2"/>
  <c r="I1143" i="2"/>
  <c r="I1144" i="2"/>
  <c r="I1145" i="2"/>
  <c r="I1146" i="2"/>
  <c r="I1147" i="2"/>
  <c r="I1148" i="2"/>
  <c r="I1149" i="2"/>
  <c r="I1150" i="2"/>
  <c r="I1151" i="2"/>
  <c r="I1152" i="2"/>
  <c r="I1153" i="2"/>
  <c r="I1154" i="2"/>
  <c r="I1155" i="2"/>
  <c r="I1156" i="2"/>
  <c r="I1157" i="2"/>
  <c r="I1158" i="2"/>
  <c r="I1159" i="2"/>
  <c r="I1160" i="2"/>
  <c r="I1161" i="2"/>
  <c r="I1162" i="2"/>
  <c r="I1163" i="2"/>
  <c r="I1164" i="2"/>
  <c r="I1165" i="2"/>
  <c r="I1166" i="2"/>
  <c r="I1167" i="2"/>
  <c r="I1168" i="2"/>
  <c r="I1169" i="2"/>
  <c r="I1170" i="2"/>
  <c r="I1171" i="2"/>
  <c r="I1172" i="2"/>
  <c r="I1173" i="2"/>
  <c r="I1174" i="2"/>
  <c r="I1175" i="2"/>
  <c r="I1176" i="2"/>
  <c r="I1177" i="2"/>
  <c r="I1178" i="2"/>
  <c r="I1179" i="2"/>
  <c r="I1180" i="2"/>
  <c r="I1181" i="2"/>
  <c r="I1182" i="2"/>
  <c r="I1183" i="2"/>
  <c r="I1184" i="2"/>
  <c r="I1185" i="2"/>
  <c r="I1186" i="2"/>
  <c r="I1187" i="2"/>
  <c r="I1188" i="2"/>
  <c r="I1189" i="2"/>
  <c r="I1190" i="2"/>
  <c r="I1191" i="2"/>
  <c r="I1192" i="2"/>
  <c r="I1193" i="2"/>
  <c r="I1194" i="2"/>
  <c r="I1195" i="2"/>
  <c r="I1196" i="2"/>
  <c r="I1197" i="2"/>
  <c r="I1198" i="2"/>
  <c r="I1199" i="2"/>
  <c r="I1200" i="2"/>
  <c r="I1201" i="2"/>
  <c r="I1202" i="2"/>
  <c r="I1203" i="2"/>
  <c r="I1204" i="2"/>
  <c r="I1205" i="2"/>
  <c r="I1206" i="2"/>
  <c r="I1207" i="2"/>
  <c r="I1208" i="2"/>
  <c r="I1209" i="2"/>
  <c r="I1210" i="2"/>
  <c r="I1211" i="2"/>
  <c r="I1212" i="2"/>
  <c r="I1213" i="2"/>
  <c r="I1214" i="2"/>
  <c r="I1215" i="2"/>
  <c r="I1216" i="2"/>
  <c r="I1217" i="2"/>
  <c r="I1218" i="2"/>
  <c r="I1219" i="2"/>
  <c r="I1220" i="2"/>
  <c r="I1221" i="2"/>
  <c r="I1222" i="2"/>
  <c r="I1223" i="2"/>
  <c r="I1224" i="2"/>
  <c r="I1225" i="2"/>
  <c r="I1226" i="2"/>
  <c r="I1227" i="2"/>
  <c r="I1228" i="2"/>
  <c r="I1229" i="2"/>
  <c r="I1230" i="2"/>
  <c r="I1231" i="2"/>
  <c r="I1232" i="2"/>
  <c r="I1233" i="2"/>
  <c r="I1234" i="2"/>
  <c r="I1235" i="2"/>
  <c r="I1236" i="2"/>
  <c r="I1237" i="2"/>
  <c r="I1238" i="2"/>
  <c r="I1239" i="2"/>
  <c r="I1240" i="2"/>
  <c r="I1241" i="2"/>
  <c r="I1242" i="2"/>
  <c r="I1243" i="2"/>
  <c r="I1244" i="2"/>
  <c r="I1245" i="2"/>
  <c r="I1246" i="2"/>
  <c r="I1247" i="2"/>
  <c r="I1248" i="2"/>
  <c r="I1249" i="2"/>
  <c r="I1250" i="2"/>
  <c r="I1251" i="2"/>
  <c r="I1252" i="2"/>
  <c r="I1253" i="2"/>
  <c r="I1254" i="2"/>
  <c r="I1255" i="2"/>
  <c r="I1256" i="2"/>
  <c r="I1257" i="2"/>
  <c r="I1258" i="2"/>
  <c r="I1259" i="2"/>
  <c r="I1260" i="2"/>
  <c r="I1261" i="2"/>
  <c r="I1262" i="2"/>
  <c r="I1263" i="2"/>
  <c r="I1264" i="2"/>
  <c r="I1265" i="2"/>
  <c r="I1266" i="2"/>
  <c r="I1267" i="2"/>
  <c r="I1268" i="2"/>
  <c r="I1269" i="2"/>
  <c r="I1270" i="2"/>
  <c r="I1271" i="2"/>
  <c r="I1272" i="2"/>
  <c r="I1273" i="2"/>
  <c r="I1274" i="2"/>
  <c r="I1275" i="2"/>
  <c r="I1276" i="2"/>
  <c r="I1277" i="2"/>
  <c r="I1278" i="2"/>
  <c r="I1279" i="2"/>
  <c r="I1280" i="2"/>
  <c r="I1281" i="2"/>
  <c r="I1282" i="2"/>
  <c r="I1283" i="2"/>
  <c r="I1284" i="2"/>
  <c r="I1285" i="2"/>
  <c r="I1286" i="2"/>
  <c r="I1287" i="2"/>
  <c r="I1288" i="2"/>
  <c r="I1289" i="2"/>
  <c r="I1290" i="2"/>
  <c r="I1291" i="2"/>
  <c r="I1292" i="2"/>
  <c r="I1293" i="2"/>
  <c r="I1294" i="2"/>
  <c r="I1295" i="2"/>
  <c r="I1296" i="2"/>
  <c r="I1297" i="2"/>
  <c r="I1298" i="2"/>
  <c r="I1299" i="2"/>
  <c r="I1300" i="2"/>
  <c r="I1301" i="2"/>
  <c r="I1302" i="2"/>
  <c r="I1303" i="2"/>
  <c r="I1304" i="2"/>
  <c r="I1305" i="2"/>
  <c r="I1306" i="2"/>
  <c r="I1307" i="2"/>
  <c r="I1308" i="2"/>
  <c r="I1309" i="2"/>
  <c r="I1310" i="2"/>
  <c r="I1311" i="2"/>
  <c r="I1312" i="2"/>
  <c r="I1313" i="2"/>
  <c r="I1314" i="2"/>
  <c r="I1315" i="2"/>
  <c r="I1316" i="2"/>
  <c r="I1317" i="2"/>
  <c r="I1318" i="2"/>
  <c r="I1319" i="2"/>
  <c r="I1320" i="2"/>
  <c r="I1321" i="2"/>
  <c r="I1322" i="2"/>
  <c r="I1323" i="2"/>
  <c r="I1324" i="2"/>
  <c r="I1325" i="2"/>
  <c r="I1326" i="2"/>
  <c r="I1327" i="2"/>
  <c r="I1328" i="2"/>
  <c r="I1329" i="2"/>
  <c r="I1330" i="2"/>
  <c r="I1331" i="2"/>
  <c r="I1332" i="2"/>
  <c r="I1333" i="2"/>
  <c r="I1334" i="2"/>
  <c r="I1335" i="2"/>
  <c r="I1336" i="2"/>
  <c r="I1337" i="2"/>
  <c r="I1338" i="2"/>
  <c r="I1339" i="2"/>
  <c r="I1340" i="2"/>
  <c r="I1341" i="2"/>
  <c r="I1342" i="2"/>
  <c r="I1343" i="2"/>
  <c r="I1344" i="2"/>
  <c r="I1345" i="2"/>
  <c r="I1346" i="2"/>
  <c r="I1347" i="2"/>
  <c r="I1348" i="2"/>
  <c r="I1349" i="2"/>
  <c r="I1350" i="2"/>
  <c r="I1351" i="2"/>
  <c r="I1352" i="2"/>
  <c r="I1353" i="2"/>
  <c r="I1354" i="2"/>
  <c r="I1355" i="2"/>
  <c r="I1356" i="2"/>
  <c r="I1357" i="2"/>
  <c r="I1358" i="2"/>
  <c r="I1359" i="2"/>
  <c r="I1360" i="2"/>
  <c r="I1361" i="2"/>
  <c r="I1362" i="2"/>
  <c r="I1363" i="2"/>
  <c r="I1364" i="2"/>
  <c r="I1365" i="2"/>
  <c r="I1366" i="2"/>
  <c r="I1367" i="2"/>
  <c r="I1368" i="2"/>
  <c r="I1369" i="2"/>
  <c r="I1370" i="2"/>
  <c r="I1371" i="2"/>
  <c r="I1372" i="2"/>
  <c r="I1373" i="2"/>
  <c r="I1374" i="2"/>
  <c r="I1375" i="2"/>
  <c r="I1376" i="2"/>
  <c r="I1377" i="2"/>
  <c r="I1378" i="2"/>
  <c r="I1379" i="2"/>
  <c r="I1380" i="2"/>
  <c r="I1381" i="2"/>
  <c r="I1382" i="2"/>
  <c r="I1383" i="2"/>
  <c r="I1384" i="2"/>
  <c r="I1385" i="2"/>
  <c r="I1386" i="2"/>
  <c r="I1387" i="2"/>
  <c r="I1388" i="2"/>
  <c r="I1389" i="2"/>
  <c r="I1390" i="2"/>
  <c r="I1391" i="2"/>
  <c r="I1392" i="2"/>
  <c r="I1393" i="2"/>
  <c r="I1394" i="2"/>
  <c r="I1395" i="2"/>
  <c r="I1396" i="2"/>
  <c r="I1397" i="2"/>
  <c r="I1398" i="2"/>
  <c r="I1399" i="2"/>
  <c r="I1400" i="2"/>
  <c r="I1401" i="2"/>
  <c r="I1402" i="2"/>
  <c r="I1403" i="2"/>
  <c r="I1404" i="2"/>
  <c r="I1405" i="2"/>
  <c r="I1406" i="2"/>
  <c r="I1407" i="2"/>
  <c r="I1408" i="2"/>
  <c r="I1409" i="2"/>
  <c r="I1410" i="2"/>
  <c r="I1411" i="2"/>
  <c r="I1412" i="2"/>
  <c r="I1413" i="2"/>
  <c r="I1414" i="2"/>
  <c r="I1415" i="2"/>
  <c r="I1416" i="2"/>
  <c r="I1417" i="2"/>
  <c r="I1418" i="2"/>
  <c r="I1419" i="2"/>
  <c r="I1420" i="2"/>
  <c r="I1421" i="2"/>
  <c r="I1422" i="2"/>
  <c r="I1423" i="2"/>
  <c r="I1424" i="2"/>
  <c r="I1425" i="2"/>
  <c r="I1426" i="2"/>
  <c r="I1427" i="2"/>
  <c r="I1428" i="2"/>
  <c r="I1429" i="2"/>
  <c r="I1430" i="2"/>
  <c r="I1431" i="2"/>
  <c r="I1432" i="2"/>
  <c r="I1433" i="2"/>
  <c r="I1434" i="2"/>
  <c r="I1435" i="2"/>
  <c r="I1436" i="2"/>
  <c r="I1437" i="2"/>
  <c r="I1438" i="2"/>
  <c r="I1439" i="2"/>
  <c r="I1440" i="2"/>
  <c r="I1441" i="2"/>
  <c r="I1442" i="2"/>
  <c r="I1443" i="2"/>
  <c r="I1444" i="2"/>
  <c r="I1445" i="2"/>
  <c r="I1446" i="2"/>
  <c r="I1447" i="2"/>
  <c r="I1448" i="2"/>
  <c r="I1449" i="2"/>
  <c r="I1450" i="2"/>
  <c r="I1451" i="2"/>
  <c r="I1452" i="2"/>
  <c r="I1453" i="2"/>
  <c r="I1454" i="2"/>
  <c r="I1455" i="2"/>
  <c r="I1456" i="2"/>
  <c r="I1457" i="2"/>
  <c r="I1458" i="2"/>
  <c r="I1459" i="2"/>
  <c r="I1460" i="2"/>
  <c r="I1461" i="2"/>
  <c r="I1462" i="2"/>
  <c r="I1463" i="2"/>
  <c r="I1464" i="2"/>
  <c r="I1465" i="2"/>
  <c r="I1466" i="2"/>
  <c r="I1467" i="2"/>
  <c r="I1468" i="2"/>
  <c r="I1469" i="2"/>
  <c r="I1470" i="2"/>
  <c r="I1471" i="2"/>
  <c r="I1472" i="2"/>
  <c r="I1473" i="2"/>
  <c r="I1474" i="2"/>
  <c r="I1475" i="2"/>
  <c r="I1476" i="2"/>
  <c r="I1477" i="2"/>
  <c r="I1478" i="2"/>
  <c r="I1479" i="2"/>
  <c r="I1480" i="2"/>
  <c r="I1481" i="2"/>
  <c r="I1482" i="2"/>
  <c r="I1483" i="2"/>
  <c r="I1484" i="2"/>
  <c r="I1485" i="2"/>
  <c r="I1486" i="2"/>
  <c r="I1487" i="2"/>
  <c r="I1488" i="2"/>
  <c r="I1489" i="2"/>
  <c r="I1490" i="2"/>
  <c r="I1491" i="2"/>
  <c r="I1492" i="2"/>
  <c r="I1493" i="2"/>
  <c r="I1494" i="2"/>
  <c r="I1495" i="2"/>
  <c r="I1496" i="2"/>
  <c r="I1497" i="2"/>
  <c r="I1498" i="2"/>
  <c r="I1499" i="2"/>
  <c r="I1500" i="2"/>
  <c r="I1501" i="2"/>
  <c r="I1502" i="2"/>
  <c r="I1503" i="2"/>
  <c r="I1504" i="2"/>
  <c r="I1505" i="2"/>
  <c r="I1506" i="2"/>
  <c r="I1507" i="2"/>
  <c r="I1508" i="2"/>
  <c r="I1509" i="2"/>
  <c r="I1510" i="2"/>
  <c r="I1511" i="2"/>
  <c r="I1512" i="2"/>
  <c r="I1513" i="2"/>
  <c r="I1514" i="2"/>
  <c r="I1515" i="2"/>
  <c r="I1516" i="2"/>
  <c r="I1517" i="2"/>
  <c r="I1518" i="2"/>
  <c r="I1519" i="2"/>
  <c r="I1520" i="2"/>
  <c r="I1521" i="2"/>
  <c r="I1522" i="2"/>
  <c r="I1523" i="2"/>
  <c r="I1524" i="2"/>
  <c r="I1525" i="2"/>
  <c r="I1526" i="2"/>
  <c r="I1527" i="2"/>
  <c r="I1528" i="2"/>
  <c r="I1529" i="2"/>
  <c r="I1530" i="2"/>
  <c r="I1531" i="2"/>
  <c r="I1532" i="2"/>
  <c r="I1533" i="2"/>
  <c r="I1534" i="2"/>
  <c r="I1535" i="2"/>
  <c r="I1536" i="2"/>
  <c r="I1537" i="2"/>
  <c r="I1538" i="2"/>
  <c r="I1539" i="2"/>
  <c r="I1540" i="2"/>
  <c r="I1541" i="2"/>
  <c r="I1542" i="2"/>
  <c r="I1543" i="2"/>
  <c r="I1544" i="2"/>
  <c r="I1545" i="2"/>
  <c r="I1546" i="2"/>
  <c r="I1547" i="2"/>
  <c r="I1548" i="2"/>
  <c r="I1549" i="2"/>
  <c r="I1550" i="2"/>
  <c r="I1551" i="2"/>
  <c r="I1552" i="2"/>
  <c r="I1553" i="2"/>
  <c r="I1554" i="2"/>
  <c r="I1555" i="2"/>
  <c r="I1556" i="2"/>
  <c r="I1557" i="2"/>
  <c r="I1558" i="2"/>
  <c r="I1559" i="2"/>
  <c r="I1560" i="2"/>
  <c r="I1561" i="2"/>
  <c r="I1562" i="2"/>
  <c r="I1563" i="2"/>
  <c r="I1564" i="2"/>
  <c r="I1565" i="2"/>
  <c r="I1566" i="2"/>
  <c r="I1567" i="2"/>
  <c r="I1568" i="2"/>
  <c r="I1569" i="2"/>
  <c r="I1570" i="2"/>
  <c r="I1571" i="2"/>
  <c r="I1572" i="2"/>
  <c r="I1573" i="2"/>
  <c r="I1574" i="2"/>
  <c r="I1575" i="2"/>
  <c r="I1576" i="2"/>
  <c r="I1577" i="2"/>
  <c r="I1578" i="2"/>
  <c r="I1579" i="2"/>
  <c r="I1580" i="2"/>
  <c r="I1581" i="2"/>
  <c r="I1582" i="2"/>
  <c r="I1583" i="2"/>
  <c r="I1584" i="2"/>
  <c r="I1585" i="2"/>
  <c r="I1586" i="2"/>
  <c r="I1587" i="2"/>
  <c r="I1588" i="2"/>
  <c r="I1589" i="2"/>
  <c r="I1590" i="2"/>
  <c r="I1591" i="2"/>
  <c r="I1592" i="2"/>
  <c r="I1593" i="2"/>
  <c r="I1594" i="2"/>
  <c r="I1595" i="2"/>
  <c r="I1596" i="2"/>
  <c r="I1597" i="2"/>
  <c r="I1598" i="2"/>
  <c r="I1599" i="2"/>
  <c r="I1600" i="2"/>
  <c r="I1601" i="2"/>
  <c r="I1602" i="2"/>
  <c r="I1603" i="2"/>
  <c r="I1604" i="2"/>
  <c r="I1605" i="2"/>
  <c r="I1606" i="2"/>
  <c r="I1607" i="2"/>
  <c r="I1608" i="2"/>
  <c r="I1609" i="2"/>
  <c r="I1610" i="2"/>
  <c r="I1611" i="2"/>
  <c r="I1612" i="2"/>
  <c r="I1613" i="2"/>
  <c r="I1614" i="2"/>
  <c r="I1615" i="2"/>
  <c r="I1616" i="2"/>
  <c r="I1617" i="2"/>
  <c r="I1618" i="2"/>
  <c r="I1619" i="2"/>
  <c r="I1620" i="2"/>
  <c r="I1621" i="2"/>
  <c r="I1622" i="2"/>
  <c r="I1623" i="2"/>
  <c r="I1624" i="2"/>
  <c r="I1625" i="2"/>
  <c r="I1626" i="2"/>
  <c r="I1627" i="2"/>
  <c r="I1628" i="2"/>
  <c r="I1629" i="2"/>
  <c r="I1630" i="2"/>
  <c r="I1631" i="2"/>
  <c r="I1632" i="2"/>
  <c r="I1633" i="2"/>
  <c r="I1634" i="2"/>
  <c r="I1635" i="2"/>
  <c r="I1636" i="2"/>
  <c r="I1637" i="2"/>
  <c r="I1638" i="2"/>
  <c r="I1639" i="2"/>
  <c r="I1640" i="2"/>
  <c r="I1641" i="2"/>
  <c r="I1642" i="2"/>
  <c r="I1643" i="2"/>
  <c r="I1644" i="2"/>
  <c r="I1645" i="2"/>
  <c r="I1646" i="2"/>
  <c r="I1647" i="2"/>
  <c r="I1648" i="2"/>
  <c r="I1649" i="2"/>
  <c r="I1650" i="2"/>
  <c r="I1651" i="2"/>
  <c r="I1652" i="2"/>
  <c r="I1653" i="2"/>
  <c r="I1654" i="2"/>
  <c r="I1655" i="2"/>
  <c r="I1656" i="2"/>
  <c r="I1657" i="2"/>
  <c r="I1658" i="2"/>
  <c r="I1659" i="2"/>
  <c r="I1660" i="2"/>
  <c r="I1661" i="2"/>
  <c r="I1662" i="2"/>
  <c r="I1663" i="2"/>
  <c r="I1664" i="2"/>
  <c r="I1665" i="2"/>
  <c r="I1666" i="2"/>
  <c r="I1667" i="2"/>
  <c r="I1668" i="2"/>
  <c r="I1669" i="2"/>
  <c r="I1670" i="2"/>
  <c r="I1671" i="2"/>
  <c r="I1672" i="2"/>
  <c r="I1673" i="2"/>
  <c r="I1674" i="2"/>
  <c r="I1675" i="2"/>
  <c r="I1676" i="2"/>
  <c r="I1677" i="2"/>
  <c r="I1678" i="2"/>
  <c r="I1679" i="2"/>
  <c r="I1680" i="2"/>
  <c r="I1681" i="2"/>
  <c r="I1682" i="2"/>
  <c r="I1683" i="2"/>
  <c r="I1684" i="2"/>
  <c r="I1685" i="2"/>
  <c r="I1686" i="2"/>
  <c r="I1687" i="2"/>
  <c r="I1688" i="2"/>
  <c r="I1689" i="2"/>
  <c r="I1690" i="2"/>
  <c r="I1691" i="2"/>
  <c r="I1692" i="2"/>
  <c r="I1693" i="2"/>
  <c r="I1694" i="2"/>
  <c r="I1695" i="2"/>
  <c r="I1696" i="2"/>
  <c r="I1697" i="2"/>
  <c r="I1698" i="2"/>
  <c r="I1699" i="2"/>
  <c r="I1700" i="2"/>
  <c r="I1701" i="2"/>
  <c r="I1702" i="2"/>
  <c r="I1703" i="2"/>
  <c r="I1704" i="2"/>
  <c r="I1705" i="2"/>
  <c r="I1706" i="2"/>
  <c r="I1707" i="2"/>
  <c r="I1708" i="2"/>
  <c r="I1709" i="2"/>
  <c r="I1710" i="2"/>
  <c r="I1711" i="2"/>
  <c r="I1712" i="2"/>
  <c r="I1713" i="2"/>
  <c r="I1714" i="2"/>
  <c r="I1715" i="2"/>
  <c r="I1716" i="2"/>
  <c r="I1717" i="2"/>
  <c r="I1718" i="2"/>
  <c r="I1719" i="2"/>
  <c r="I1720" i="2"/>
  <c r="I1721" i="2"/>
  <c r="I1722" i="2"/>
  <c r="I1723" i="2"/>
  <c r="I1724" i="2"/>
  <c r="I1725" i="2"/>
  <c r="I1726" i="2"/>
  <c r="I1727" i="2"/>
  <c r="I1728" i="2"/>
  <c r="I1729" i="2"/>
  <c r="I1730" i="2"/>
  <c r="I1731" i="2"/>
  <c r="I1732" i="2"/>
  <c r="I1733" i="2"/>
  <c r="I1734" i="2"/>
  <c r="I1735" i="2"/>
  <c r="I1736" i="2"/>
  <c r="I1737" i="2"/>
  <c r="I1738" i="2"/>
  <c r="I1739" i="2"/>
  <c r="I1740" i="2"/>
  <c r="I1741" i="2"/>
  <c r="I1742" i="2"/>
  <c r="I1743" i="2"/>
  <c r="I1744" i="2"/>
  <c r="I1745" i="2"/>
  <c r="I1746" i="2"/>
  <c r="I1747" i="2"/>
  <c r="I1748" i="2"/>
  <c r="I1749" i="2"/>
  <c r="I1750" i="2"/>
  <c r="I1751" i="2"/>
  <c r="I1752" i="2"/>
  <c r="I1753" i="2"/>
  <c r="I1754" i="2"/>
  <c r="I1755" i="2"/>
  <c r="I1756" i="2"/>
  <c r="I1757" i="2"/>
  <c r="I1758" i="2"/>
  <c r="I1759" i="2"/>
  <c r="I1760" i="2"/>
  <c r="I1761" i="2"/>
  <c r="I1762" i="2"/>
  <c r="I1763" i="2"/>
  <c r="I1764" i="2"/>
  <c r="I1765" i="2"/>
  <c r="I1766" i="2"/>
  <c r="I1767" i="2"/>
  <c r="I1768" i="2"/>
  <c r="I1769" i="2"/>
  <c r="I1770" i="2"/>
  <c r="I1771" i="2"/>
  <c r="I1772" i="2"/>
  <c r="I1773" i="2"/>
  <c r="I1774" i="2"/>
  <c r="I1775" i="2"/>
  <c r="I1776" i="2"/>
  <c r="I1777" i="2"/>
  <c r="I1778" i="2"/>
  <c r="I1779" i="2"/>
  <c r="I1780" i="2"/>
  <c r="I1781" i="2"/>
  <c r="I1782" i="2"/>
  <c r="I1783" i="2"/>
  <c r="I1784" i="2"/>
  <c r="I1785" i="2"/>
  <c r="I1786" i="2"/>
  <c r="I1787" i="2"/>
  <c r="I1788" i="2"/>
  <c r="I1789" i="2"/>
  <c r="I1790" i="2"/>
  <c r="I1791" i="2"/>
  <c r="I1792" i="2"/>
  <c r="I1793" i="2"/>
  <c r="I1794" i="2"/>
  <c r="I1795" i="2"/>
  <c r="I1796" i="2"/>
  <c r="I1797" i="2"/>
  <c r="I1798" i="2"/>
  <c r="I1799" i="2"/>
  <c r="I1800" i="2"/>
  <c r="I1801" i="2"/>
  <c r="I1802" i="2"/>
  <c r="I1803" i="2"/>
  <c r="I1804" i="2"/>
  <c r="I1805" i="2"/>
  <c r="I1806" i="2"/>
  <c r="I1807" i="2"/>
  <c r="I1808" i="2"/>
  <c r="I1809" i="2"/>
  <c r="I1810" i="2"/>
  <c r="I1811" i="2"/>
  <c r="I1812" i="2"/>
  <c r="I1813" i="2"/>
  <c r="I1814" i="2"/>
  <c r="I1815" i="2"/>
  <c r="I1816" i="2"/>
  <c r="I1817" i="2"/>
  <c r="I1818" i="2"/>
  <c r="I1819" i="2"/>
  <c r="I1820" i="2"/>
  <c r="I1821" i="2"/>
  <c r="I1822" i="2"/>
  <c r="I1823" i="2"/>
  <c r="I1824" i="2"/>
  <c r="I1825" i="2"/>
  <c r="I1826" i="2"/>
  <c r="I1827" i="2"/>
  <c r="I1828" i="2"/>
  <c r="I1829" i="2"/>
  <c r="I1830" i="2"/>
  <c r="I1831" i="2"/>
  <c r="I1832" i="2"/>
  <c r="I1833" i="2"/>
  <c r="I1834" i="2"/>
  <c r="I1835" i="2"/>
  <c r="I1836" i="2"/>
  <c r="I1837" i="2"/>
  <c r="I1838" i="2"/>
  <c r="I1839" i="2"/>
  <c r="I1840" i="2"/>
  <c r="I1841" i="2"/>
  <c r="I1842" i="2"/>
  <c r="I1843" i="2"/>
  <c r="I1844" i="2"/>
  <c r="I1845" i="2"/>
  <c r="I1846" i="2"/>
  <c r="I1847" i="2"/>
  <c r="I1848" i="2"/>
  <c r="I1849" i="2"/>
  <c r="I1850" i="2"/>
  <c r="I1851" i="2"/>
  <c r="I1852" i="2"/>
  <c r="I1853" i="2"/>
  <c r="I1854" i="2"/>
  <c r="I1855" i="2"/>
  <c r="I1856" i="2"/>
  <c r="I1857" i="2"/>
  <c r="I1858" i="2"/>
  <c r="I1859" i="2"/>
  <c r="I1860" i="2"/>
  <c r="I1861" i="2"/>
  <c r="I1862" i="2"/>
  <c r="I1863" i="2"/>
  <c r="I1864" i="2"/>
  <c r="I1865" i="2"/>
  <c r="I1866" i="2"/>
  <c r="I1867" i="2"/>
  <c r="I1868" i="2"/>
  <c r="I1869" i="2"/>
  <c r="I1870" i="2"/>
  <c r="I1871" i="2"/>
  <c r="I1872" i="2"/>
  <c r="I1873" i="2"/>
  <c r="I1874" i="2"/>
  <c r="I1875" i="2"/>
  <c r="I1876" i="2"/>
  <c r="I1877" i="2"/>
  <c r="I1878" i="2"/>
  <c r="I1879" i="2"/>
  <c r="I1880" i="2"/>
  <c r="I1881" i="2"/>
  <c r="I1882" i="2"/>
  <c r="I1883" i="2"/>
  <c r="I1884" i="2"/>
  <c r="I1885" i="2"/>
  <c r="I1886" i="2"/>
  <c r="I1887" i="2"/>
  <c r="I1888" i="2"/>
  <c r="I1889" i="2"/>
  <c r="I1890" i="2"/>
  <c r="I1891" i="2"/>
  <c r="I1892" i="2"/>
  <c r="I1893" i="2"/>
  <c r="I1894" i="2"/>
  <c r="I1895" i="2"/>
  <c r="I1896" i="2"/>
  <c r="I1897" i="2"/>
  <c r="I1898" i="2"/>
  <c r="I1899" i="2"/>
  <c r="I1900" i="2"/>
  <c r="I1901" i="2"/>
  <c r="I1902" i="2"/>
  <c r="I1903" i="2"/>
  <c r="I1904" i="2"/>
  <c r="I1905" i="2"/>
  <c r="I1906" i="2"/>
  <c r="I1907" i="2"/>
  <c r="I1908" i="2"/>
  <c r="I1909" i="2"/>
  <c r="I1910" i="2"/>
  <c r="I1911" i="2"/>
  <c r="I1912" i="2"/>
  <c r="I1913" i="2"/>
  <c r="I1914" i="2"/>
  <c r="I1915" i="2"/>
  <c r="I1916" i="2"/>
  <c r="I1917" i="2"/>
  <c r="I1918" i="2"/>
  <c r="I1919" i="2"/>
  <c r="I1920" i="2"/>
  <c r="I1921" i="2"/>
  <c r="I1922" i="2"/>
  <c r="I1923" i="2"/>
  <c r="I1924" i="2"/>
  <c r="I1925" i="2"/>
  <c r="I1926" i="2"/>
  <c r="I1927" i="2"/>
  <c r="I1928" i="2"/>
  <c r="I1929" i="2"/>
  <c r="I1930" i="2"/>
  <c r="I1931" i="2"/>
  <c r="I1932" i="2"/>
  <c r="I1933" i="2"/>
  <c r="I1934" i="2"/>
  <c r="I1935" i="2"/>
  <c r="I1936" i="2"/>
  <c r="I1937" i="2"/>
  <c r="I1938" i="2"/>
  <c r="I1939" i="2"/>
  <c r="I1940" i="2"/>
  <c r="I1941" i="2"/>
  <c r="I1942" i="2"/>
  <c r="I1943" i="2"/>
  <c r="I1944" i="2"/>
  <c r="I1945" i="2"/>
  <c r="I1946" i="2"/>
  <c r="I1947" i="2"/>
  <c r="I1948" i="2"/>
  <c r="I1949" i="2"/>
  <c r="I1950" i="2"/>
  <c r="I1951" i="2"/>
  <c r="I1952" i="2"/>
  <c r="I1953" i="2"/>
  <c r="I1954" i="2"/>
  <c r="I1955" i="2"/>
  <c r="I1956" i="2"/>
  <c r="I1957" i="2"/>
  <c r="I1958" i="2"/>
  <c r="I1959" i="2"/>
  <c r="I1960" i="2"/>
  <c r="I1961" i="2"/>
  <c r="I1962" i="2"/>
  <c r="I1963" i="2"/>
  <c r="I1964" i="2"/>
  <c r="I1965" i="2"/>
  <c r="I1966" i="2"/>
  <c r="I1967" i="2"/>
  <c r="I1968" i="2"/>
  <c r="I1969" i="2"/>
  <c r="I1970" i="2"/>
  <c r="I1971" i="2"/>
  <c r="I1972" i="2"/>
  <c r="I1973" i="2"/>
  <c r="I1974" i="2"/>
  <c r="I1975" i="2"/>
  <c r="I1976" i="2"/>
  <c r="I1977" i="2"/>
  <c r="I1978" i="2"/>
  <c r="I1979" i="2"/>
  <c r="I1980" i="2"/>
  <c r="I1981" i="2"/>
  <c r="I1982" i="2"/>
  <c r="I1983" i="2"/>
  <c r="I1984" i="2"/>
  <c r="I1985" i="2"/>
  <c r="I1986" i="2"/>
  <c r="I1987" i="2"/>
  <c r="I1988" i="2"/>
  <c r="I1989" i="2"/>
  <c r="I1990" i="2"/>
  <c r="I1991" i="2"/>
  <c r="I1992" i="2"/>
  <c r="I1993" i="2"/>
  <c r="I1994" i="2"/>
  <c r="I1995" i="2"/>
  <c r="I1996" i="2"/>
  <c r="I1997" i="2"/>
  <c r="I1998" i="2"/>
  <c r="I1999" i="2"/>
  <c r="I2000" i="2"/>
  <c r="I2001" i="2"/>
  <c r="I2002" i="2"/>
  <c r="I2003" i="2"/>
  <c r="I2004" i="2"/>
  <c r="I2005" i="2"/>
  <c r="I2006" i="2"/>
  <c r="I2007" i="2"/>
  <c r="I2008" i="2"/>
  <c r="I2009" i="2"/>
  <c r="I2010" i="2"/>
  <c r="I2011" i="2"/>
  <c r="I2012" i="2"/>
  <c r="I2013" i="2"/>
  <c r="I2014" i="2"/>
  <c r="I2015" i="2"/>
  <c r="I2016" i="2"/>
  <c r="I2017" i="2"/>
  <c r="I2018" i="2"/>
  <c r="I2019" i="2"/>
  <c r="I2020" i="2"/>
  <c r="I2021" i="2"/>
  <c r="I2022" i="2"/>
  <c r="I2023" i="2"/>
  <c r="I2024" i="2"/>
  <c r="I2025" i="2"/>
  <c r="I2026" i="2"/>
  <c r="I2027" i="2"/>
  <c r="I2028" i="2"/>
  <c r="I2029" i="2"/>
  <c r="I2030" i="2"/>
  <c r="I2031" i="2"/>
  <c r="I2032" i="2"/>
  <c r="I2033" i="2"/>
  <c r="I2034" i="2"/>
  <c r="I2035" i="2"/>
  <c r="I2036" i="2"/>
  <c r="I2037" i="2"/>
  <c r="I2038" i="2"/>
  <c r="I2039" i="2"/>
  <c r="I2040" i="2"/>
  <c r="I2041" i="2"/>
  <c r="I2042" i="2"/>
  <c r="I2043" i="2"/>
  <c r="I2044" i="2"/>
  <c r="I2045" i="2"/>
  <c r="I2046" i="2"/>
  <c r="I2047" i="2"/>
  <c r="I2048" i="2"/>
  <c r="I2049" i="2"/>
  <c r="I2050" i="2"/>
  <c r="I2051" i="2"/>
  <c r="I2052" i="2"/>
  <c r="I2053" i="2"/>
  <c r="I2054" i="2"/>
  <c r="I2055" i="2"/>
  <c r="I2056" i="2"/>
  <c r="I2057" i="2"/>
  <c r="I2058" i="2"/>
  <c r="I2059" i="2"/>
  <c r="I2060" i="2"/>
  <c r="I2061" i="2"/>
  <c r="I2062" i="2"/>
  <c r="I2063" i="2"/>
  <c r="I2064" i="2"/>
  <c r="I2065" i="2"/>
  <c r="I2066" i="2"/>
  <c r="I2067" i="2"/>
  <c r="I2068" i="2"/>
  <c r="I2069" i="2"/>
  <c r="I2070" i="2"/>
  <c r="I2071" i="2"/>
  <c r="I2072" i="2"/>
  <c r="I2073" i="2"/>
  <c r="I2074" i="2"/>
  <c r="I2075" i="2"/>
  <c r="I2076" i="2"/>
  <c r="I2077" i="2"/>
  <c r="I2078" i="2"/>
  <c r="I2079" i="2"/>
  <c r="I2080" i="2"/>
  <c r="I2081" i="2"/>
  <c r="I2082" i="2"/>
  <c r="I2083" i="2"/>
  <c r="I2084" i="2"/>
  <c r="I2085" i="2"/>
  <c r="I2086" i="2"/>
  <c r="I2087" i="2"/>
  <c r="I2088" i="2"/>
  <c r="I2089" i="2"/>
  <c r="I2090" i="2"/>
  <c r="I2091" i="2"/>
  <c r="I2092" i="2"/>
  <c r="I2093" i="2"/>
  <c r="I2094" i="2"/>
  <c r="I2095" i="2"/>
  <c r="I2096" i="2"/>
  <c r="I2097" i="2"/>
  <c r="I2098" i="2"/>
  <c r="I2099" i="2"/>
  <c r="I2100" i="2"/>
  <c r="I2101" i="2"/>
  <c r="I2102" i="2"/>
  <c r="I2103" i="2"/>
  <c r="I2104" i="2"/>
  <c r="I2105" i="2"/>
  <c r="I2106" i="2"/>
  <c r="I2107" i="2"/>
  <c r="I2108" i="2"/>
  <c r="I2109" i="2"/>
  <c r="I2110" i="2"/>
  <c r="I2111" i="2"/>
  <c r="I2112" i="2"/>
  <c r="I2113" i="2"/>
  <c r="I2114" i="2"/>
  <c r="I2115" i="2"/>
  <c r="I2116" i="2"/>
  <c r="I2117" i="2"/>
  <c r="I2118" i="2"/>
  <c r="I2119" i="2"/>
  <c r="I2120" i="2"/>
  <c r="I2121" i="2"/>
  <c r="I2122" i="2"/>
  <c r="I2123" i="2"/>
  <c r="I2124" i="2"/>
  <c r="I2125" i="2"/>
  <c r="I2126" i="2"/>
  <c r="I2127" i="2"/>
  <c r="I2128" i="2"/>
  <c r="I2129" i="2"/>
  <c r="I2130" i="2"/>
  <c r="I2131" i="2"/>
  <c r="I2132" i="2"/>
  <c r="I2133" i="2"/>
  <c r="I2134" i="2"/>
  <c r="I2135" i="2"/>
  <c r="I2136" i="2"/>
  <c r="I2137" i="2"/>
  <c r="I2138" i="2"/>
  <c r="I2139" i="2"/>
  <c r="I2140" i="2"/>
  <c r="I2141" i="2"/>
  <c r="I2142" i="2"/>
  <c r="I2143" i="2"/>
  <c r="I2144" i="2"/>
  <c r="I2145" i="2"/>
  <c r="I2146" i="2"/>
  <c r="I2147" i="2"/>
  <c r="I2148" i="2"/>
  <c r="I2149" i="2"/>
  <c r="I2150" i="2"/>
  <c r="I2151" i="2"/>
  <c r="I2152" i="2"/>
  <c r="I2153" i="2"/>
  <c r="I2154" i="2"/>
  <c r="I2155" i="2"/>
  <c r="I2156" i="2"/>
  <c r="I2157" i="2"/>
  <c r="I2158" i="2"/>
  <c r="I2159" i="2"/>
  <c r="I2160" i="2"/>
  <c r="I2161" i="2"/>
  <c r="I2162" i="2"/>
  <c r="I2163" i="2"/>
  <c r="I2164" i="2"/>
  <c r="I2165" i="2"/>
  <c r="I2166" i="2"/>
  <c r="I2167" i="2"/>
  <c r="I2168" i="2"/>
  <c r="I2169" i="2"/>
  <c r="I2170" i="2"/>
  <c r="I2171" i="2"/>
  <c r="I2172" i="2"/>
  <c r="I2173" i="2"/>
  <c r="I2174" i="2"/>
  <c r="I2175" i="2"/>
  <c r="I2176" i="2"/>
  <c r="I2177" i="2"/>
  <c r="I2178" i="2"/>
  <c r="I2179" i="2"/>
  <c r="I2180" i="2"/>
  <c r="I2181" i="2"/>
  <c r="I2182" i="2"/>
  <c r="I2183" i="2"/>
  <c r="I2184" i="2"/>
  <c r="I2185" i="2"/>
  <c r="I2186" i="2"/>
  <c r="I2187" i="2"/>
  <c r="I2188" i="2"/>
  <c r="I2189" i="2"/>
  <c r="I2190" i="2"/>
  <c r="I2191" i="2"/>
  <c r="I2192" i="2"/>
  <c r="I2193" i="2"/>
  <c r="I2194" i="2"/>
  <c r="I2195" i="2"/>
  <c r="I2196" i="2"/>
  <c r="I2197" i="2"/>
  <c r="I2198" i="2"/>
  <c r="I2199" i="2"/>
  <c r="I2200" i="2"/>
  <c r="I2201" i="2"/>
  <c r="I2202" i="2"/>
  <c r="I2203" i="2"/>
  <c r="I2204" i="2"/>
  <c r="I2205" i="2"/>
  <c r="I2206" i="2"/>
  <c r="I2207" i="2"/>
  <c r="I2208" i="2"/>
  <c r="I2209" i="2"/>
  <c r="I2210" i="2"/>
  <c r="I2211" i="2"/>
  <c r="I2212" i="2"/>
  <c r="I2213" i="2"/>
  <c r="I2214" i="2"/>
  <c r="I2215" i="2"/>
  <c r="I2216" i="2"/>
  <c r="I2217" i="2"/>
  <c r="I2218" i="2"/>
  <c r="I2219" i="2"/>
  <c r="I2220" i="2"/>
  <c r="I2221" i="2"/>
  <c r="I2222" i="2"/>
  <c r="I2223" i="2"/>
  <c r="I2224" i="2"/>
  <c r="I2225" i="2"/>
  <c r="I2226" i="2"/>
  <c r="I2227" i="2"/>
  <c r="I2228" i="2"/>
  <c r="I2229" i="2"/>
  <c r="I2230" i="2"/>
  <c r="I2231" i="2"/>
  <c r="I2232" i="2"/>
  <c r="I2233" i="2"/>
  <c r="I2234" i="2"/>
  <c r="I2235" i="2"/>
  <c r="I2236" i="2"/>
  <c r="I2237" i="2"/>
  <c r="I2238" i="2"/>
  <c r="I2239" i="2"/>
  <c r="I2240" i="2"/>
  <c r="I2241" i="2"/>
  <c r="I2242" i="2"/>
  <c r="I2243" i="2"/>
  <c r="I2244" i="2"/>
  <c r="I2245" i="2"/>
  <c r="I2246" i="2"/>
  <c r="I2247" i="2"/>
  <c r="I2248" i="2"/>
  <c r="I2249" i="2"/>
  <c r="I2250" i="2"/>
  <c r="I2251" i="2"/>
  <c r="I2252" i="2"/>
  <c r="I2253" i="2"/>
  <c r="I2254" i="2"/>
  <c r="I2255" i="2"/>
  <c r="I2256" i="2"/>
  <c r="I2257" i="2"/>
  <c r="I2258" i="2"/>
  <c r="I2259" i="2"/>
  <c r="I2260" i="2"/>
  <c r="I2261" i="2"/>
  <c r="I2262" i="2"/>
  <c r="I2263" i="2"/>
  <c r="I2264" i="2"/>
  <c r="I2265" i="2"/>
  <c r="I2266" i="2"/>
  <c r="I2267" i="2"/>
  <c r="I2268" i="2"/>
  <c r="I2269" i="2"/>
  <c r="I2270" i="2"/>
  <c r="I2271" i="2"/>
  <c r="I2272" i="2"/>
  <c r="I2273" i="2"/>
  <c r="I2274" i="2"/>
  <c r="I2275" i="2"/>
  <c r="I2276" i="2"/>
  <c r="I2277" i="2"/>
  <c r="I2278" i="2"/>
  <c r="I2279" i="2"/>
  <c r="I2280" i="2"/>
  <c r="I2281" i="2"/>
  <c r="I2282" i="2"/>
  <c r="I2283" i="2"/>
  <c r="I2284" i="2"/>
  <c r="I2285" i="2"/>
  <c r="I2286" i="2"/>
  <c r="I2287" i="2"/>
  <c r="I2288" i="2"/>
  <c r="I2289" i="2"/>
  <c r="I2290" i="2"/>
  <c r="I2291" i="2"/>
  <c r="I2292" i="2"/>
  <c r="I2293" i="2"/>
  <c r="I2294" i="2"/>
  <c r="I2295" i="2"/>
  <c r="I2296" i="2"/>
  <c r="I2297" i="2"/>
  <c r="I2298" i="2"/>
  <c r="I2299" i="2"/>
  <c r="I2300" i="2"/>
  <c r="I2301" i="2"/>
  <c r="I2302" i="2"/>
  <c r="I2303" i="2"/>
  <c r="I2304" i="2"/>
  <c r="I2305" i="2"/>
  <c r="I2306" i="2"/>
  <c r="I2307" i="2"/>
  <c r="I2308" i="2"/>
  <c r="I2309" i="2"/>
  <c r="I2310" i="2"/>
  <c r="I2311" i="2"/>
  <c r="I2312" i="2"/>
  <c r="I2313" i="2"/>
  <c r="I2314" i="2"/>
  <c r="I2315" i="2"/>
  <c r="I2316" i="2"/>
  <c r="I2317" i="2"/>
  <c r="I2318" i="2"/>
  <c r="I2319" i="2"/>
  <c r="I2320" i="2"/>
  <c r="I2321" i="2"/>
  <c r="I2322" i="2"/>
  <c r="I2323" i="2"/>
  <c r="I2324" i="2"/>
  <c r="I2325" i="2"/>
  <c r="I2326" i="2"/>
  <c r="I2327" i="2"/>
  <c r="I2328" i="2"/>
  <c r="I2329" i="2"/>
  <c r="I2330" i="2"/>
  <c r="I2331" i="2"/>
  <c r="I2332" i="2"/>
  <c r="I2333" i="2"/>
  <c r="I2334" i="2"/>
  <c r="I2335" i="2"/>
  <c r="I2336" i="2"/>
  <c r="I2337" i="2"/>
  <c r="I2338" i="2"/>
  <c r="I2339" i="2"/>
  <c r="I2340" i="2"/>
  <c r="I2341" i="2"/>
  <c r="I2342" i="2"/>
  <c r="I2343" i="2"/>
  <c r="I2344" i="2"/>
  <c r="I2345" i="2"/>
  <c r="I2346" i="2"/>
  <c r="I2347" i="2"/>
  <c r="I2348" i="2"/>
  <c r="I2349" i="2"/>
  <c r="I2350" i="2"/>
  <c r="I2351" i="2"/>
  <c r="I2352" i="2"/>
  <c r="I2353" i="2"/>
  <c r="I2354" i="2"/>
  <c r="I2355" i="2"/>
  <c r="I2356" i="2"/>
  <c r="I2357" i="2"/>
  <c r="I2358" i="2"/>
  <c r="I2359" i="2"/>
  <c r="I2360" i="2"/>
  <c r="I2361" i="2"/>
  <c r="I2362" i="2"/>
  <c r="I2363" i="2"/>
  <c r="I2364" i="2"/>
  <c r="I2365" i="2"/>
  <c r="I2366" i="2"/>
  <c r="I2367" i="2"/>
  <c r="I2368" i="2"/>
  <c r="I2369" i="2"/>
  <c r="I2370" i="2"/>
  <c r="I2371" i="2"/>
  <c r="I2372" i="2"/>
  <c r="I2373" i="2"/>
  <c r="I2374" i="2"/>
  <c r="I2375" i="2"/>
  <c r="I2376" i="2"/>
  <c r="I2377" i="2"/>
  <c r="I2378" i="2"/>
  <c r="I2379" i="2"/>
  <c r="I2380" i="2"/>
  <c r="I2381" i="2"/>
  <c r="I2382" i="2"/>
  <c r="I2383" i="2"/>
  <c r="I2384" i="2"/>
  <c r="I2385" i="2"/>
  <c r="I2386" i="2"/>
  <c r="I2387" i="2"/>
  <c r="I2388" i="2"/>
  <c r="I2389" i="2"/>
  <c r="I2390" i="2"/>
  <c r="I2391" i="2"/>
  <c r="I2392" i="2"/>
  <c r="I2393" i="2"/>
  <c r="I2394" i="2"/>
  <c r="I2395" i="2"/>
  <c r="I2396" i="2"/>
  <c r="I2397" i="2"/>
  <c r="I2398" i="2"/>
  <c r="I2399" i="2"/>
  <c r="I2400" i="2"/>
  <c r="I2401" i="2"/>
  <c r="I2402" i="2"/>
  <c r="I2403" i="2"/>
  <c r="I2404" i="2"/>
  <c r="I2405" i="2"/>
  <c r="I2406" i="2"/>
  <c r="I2407" i="2"/>
  <c r="I2408" i="2"/>
  <c r="I2409" i="2"/>
  <c r="I2410" i="2"/>
  <c r="I2411" i="2"/>
  <c r="I2412" i="2"/>
  <c r="I2413" i="2"/>
  <c r="I2414" i="2"/>
  <c r="I2415" i="2"/>
  <c r="I2416" i="2"/>
  <c r="I2417" i="2"/>
  <c r="I2418" i="2"/>
  <c r="I2419" i="2"/>
  <c r="I2420" i="2"/>
  <c r="I2421" i="2"/>
  <c r="I2422" i="2"/>
  <c r="I2423" i="2"/>
  <c r="I2424" i="2"/>
  <c r="I2425" i="2"/>
  <c r="I2426" i="2"/>
  <c r="I2427" i="2"/>
  <c r="I2428" i="2"/>
  <c r="I2429" i="2"/>
  <c r="I2430" i="2"/>
  <c r="I2431" i="2"/>
  <c r="I2432" i="2"/>
  <c r="I2433" i="2"/>
  <c r="I2434" i="2"/>
  <c r="I2435" i="2"/>
  <c r="I2436" i="2"/>
  <c r="I2437" i="2"/>
  <c r="I2438" i="2"/>
  <c r="I2439" i="2"/>
  <c r="I2440" i="2"/>
  <c r="I2441" i="2"/>
  <c r="I2442" i="2"/>
  <c r="I2443" i="2"/>
  <c r="I2444" i="2"/>
  <c r="I2445" i="2"/>
  <c r="I2446" i="2"/>
  <c r="I2447" i="2"/>
  <c r="I2448" i="2"/>
  <c r="I2449" i="2"/>
  <c r="I2450" i="2"/>
  <c r="I2451" i="2"/>
  <c r="I2452" i="2"/>
  <c r="I2453" i="2"/>
  <c r="I2454" i="2"/>
  <c r="I2455" i="2"/>
  <c r="I2456" i="2"/>
  <c r="I2457" i="2"/>
  <c r="I2458" i="2"/>
  <c r="I2459" i="2"/>
  <c r="I2460" i="2"/>
  <c r="I2461" i="2"/>
  <c r="I2462" i="2"/>
  <c r="I2463" i="2"/>
  <c r="I2464" i="2"/>
  <c r="I2465" i="2"/>
  <c r="I2466" i="2"/>
  <c r="I2467" i="2"/>
  <c r="I2468" i="2"/>
  <c r="I2469" i="2"/>
  <c r="I2470" i="2"/>
  <c r="I2471" i="2"/>
  <c r="I2472" i="2"/>
  <c r="I2473" i="2"/>
  <c r="I2474" i="2"/>
  <c r="I2475" i="2"/>
  <c r="I2476" i="2"/>
  <c r="I2477" i="2"/>
  <c r="I2478" i="2"/>
  <c r="I2479" i="2"/>
  <c r="I2480" i="2"/>
  <c r="I2481" i="2"/>
  <c r="I2482" i="2"/>
  <c r="I2483" i="2"/>
  <c r="I2484" i="2"/>
  <c r="I2485" i="2"/>
  <c r="I2486" i="2"/>
  <c r="I2487" i="2"/>
  <c r="I2488" i="2"/>
  <c r="I2489" i="2"/>
  <c r="I2490" i="2"/>
  <c r="I2491" i="2"/>
  <c r="I2492" i="2"/>
  <c r="I2493" i="2"/>
  <c r="I2494" i="2"/>
  <c r="I2495" i="2"/>
  <c r="I2496" i="2"/>
  <c r="I2497" i="2"/>
  <c r="I2498" i="2"/>
  <c r="I2499" i="2"/>
  <c r="I2500" i="2"/>
  <c r="I2501" i="2"/>
  <c r="I2502" i="2"/>
  <c r="I2503" i="2"/>
  <c r="I2504" i="2"/>
  <c r="I2505" i="2"/>
  <c r="I2506" i="2"/>
  <c r="I2507" i="2"/>
  <c r="I2508" i="2"/>
  <c r="I2509" i="2"/>
  <c r="I2510" i="2"/>
  <c r="I2511" i="2"/>
  <c r="I2512" i="2"/>
  <c r="I2513" i="2"/>
  <c r="I2514" i="2"/>
  <c r="I2515" i="2"/>
  <c r="I2516" i="2"/>
  <c r="I2517" i="2"/>
  <c r="I2518" i="2"/>
  <c r="I2519" i="2"/>
  <c r="I2520" i="2"/>
  <c r="I2521" i="2"/>
  <c r="I2522" i="2"/>
  <c r="I2523" i="2"/>
  <c r="I2524" i="2"/>
  <c r="I2525" i="2"/>
  <c r="I2526" i="2"/>
  <c r="I2527" i="2"/>
  <c r="I2528" i="2"/>
  <c r="I2529" i="2"/>
  <c r="I2530" i="2"/>
  <c r="I2531" i="2"/>
  <c r="I2532" i="2"/>
  <c r="I2533" i="2"/>
  <c r="I2534" i="2"/>
  <c r="I2535" i="2"/>
  <c r="I2536" i="2"/>
  <c r="I2537" i="2"/>
  <c r="I2538" i="2"/>
  <c r="I2539" i="2"/>
  <c r="I2540" i="2"/>
  <c r="I2541" i="2"/>
  <c r="I2542" i="2"/>
  <c r="I2543" i="2"/>
  <c r="I2544" i="2"/>
  <c r="I2545" i="2"/>
  <c r="I2546" i="2"/>
  <c r="I2547" i="2"/>
  <c r="I2548" i="2"/>
  <c r="I2549" i="2"/>
  <c r="I2550" i="2"/>
  <c r="I2551" i="2"/>
  <c r="I2552" i="2"/>
  <c r="I2553" i="2"/>
  <c r="I2554" i="2"/>
  <c r="I2555" i="2"/>
  <c r="I2556" i="2"/>
  <c r="I2557" i="2"/>
  <c r="I2558" i="2"/>
  <c r="I2559" i="2"/>
  <c r="I2560" i="2"/>
  <c r="I2561" i="2"/>
  <c r="I2562" i="2"/>
  <c r="I2563" i="2"/>
  <c r="I2564" i="2"/>
  <c r="I2565" i="2"/>
  <c r="I2566" i="2"/>
  <c r="I2567" i="2"/>
  <c r="I2568" i="2"/>
  <c r="I2569" i="2"/>
  <c r="I2570" i="2"/>
  <c r="I2571" i="2"/>
  <c r="I2572" i="2"/>
  <c r="I2573" i="2"/>
  <c r="I2574" i="2"/>
  <c r="I2575" i="2"/>
  <c r="I2576" i="2"/>
  <c r="I2577" i="2"/>
  <c r="I2578" i="2"/>
  <c r="I2579" i="2"/>
  <c r="I2580" i="2"/>
  <c r="I2581" i="2"/>
  <c r="I2582" i="2"/>
  <c r="I2583" i="2"/>
  <c r="I2584" i="2"/>
  <c r="I2585" i="2"/>
  <c r="I2586" i="2"/>
  <c r="I2587" i="2"/>
  <c r="I2588" i="2"/>
  <c r="I2589" i="2"/>
  <c r="I2590" i="2"/>
  <c r="I2591" i="2"/>
  <c r="I2592" i="2"/>
  <c r="I2593" i="2"/>
  <c r="I2594" i="2"/>
  <c r="I2595" i="2"/>
  <c r="I2596" i="2"/>
  <c r="I2597" i="2"/>
  <c r="I2598" i="2"/>
  <c r="I2599" i="2"/>
  <c r="I2600" i="2"/>
  <c r="I2601" i="2"/>
  <c r="I2602" i="2"/>
  <c r="I2603" i="2"/>
  <c r="I2604" i="2"/>
  <c r="I2605" i="2"/>
  <c r="I2606" i="2"/>
  <c r="I2607" i="2"/>
  <c r="I2608" i="2"/>
  <c r="I2609" i="2"/>
  <c r="I2610" i="2"/>
  <c r="I2611" i="2"/>
  <c r="I2612" i="2"/>
  <c r="I2613" i="2"/>
  <c r="I2614" i="2"/>
  <c r="I2615" i="2"/>
  <c r="I2616" i="2"/>
  <c r="I2617" i="2"/>
  <c r="I2618" i="2"/>
  <c r="I2619" i="2"/>
  <c r="I2620" i="2"/>
  <c r="I2621" i="2"/>
  <c r="I2622" i="2"/>
  <c r="I2623" i="2"/>
  <c r="I2624" i="2"/>
  <c r="I2625" i="2"/>
  <c r="I2626" i="2"/>
  <c r="I2627" i="2"/>
  <c r="I2628" i="2"/>
  <c r="I2629" i="2"/>
  <c r="I2630" i="2"/>
  <c r="I2631" i="2"/>
  <c r="I2632" i="2"/>
  <c r="I2633" i="2"/>
  <c r="I2634" i="2"/>
  <c r="I2635" i="2"/>
  <c r="I2636" i="2"/>
  <c r="I2637" i="2"/>
  <c r="I2638" i="2"/>
  <c r="I2639" i="2"/>
  <c r="I2640" i="2"/>
  <c r="I2641" i="2"/>
  <c r="I2642" i="2"/>
  <c r="I2643" i="2"/>
  <c r="I2644" i="2"/>
  <c r="I2645" i="2"/>
  <c r="I2646" i="2"/>
  <c r="I2647" i="2"/>
  <c r="I2648" i="2"/>
  <c r="I2649" i="2"/>
  <c r="I2650" i="2"/>
  <c r="I2651" i="2"/>
  <c r="I2652" i="2"/>
  <c r="I2653" i="2"/>
  <c r="I2654" i="2"/>
  <c r="I2655" i="2"/>
  <c r="I2656" i="2"/>
  <c r="I2657" i="2"/>
  <c r="I2658" i="2"/>
  <c r="I2659" i="2"/>
  <c r="I2660" i="2"/>
  <c r="I2661" i="2"/>
  <c r="I2662" i="2"/>
  <c r="I2663" i="2"/>
  <c r="I2664" i="2"/>
  <c r="I2665" i="2"/>
  <c r="I2666" i="2"/>
  <c r="I2667" i="2"/>
  <c r="I2668" i="2"/>
  <c r="I2669" i="2"/>
  <c r="I2670" i="2"/>
  <c r="I2671" i="2"/>
  <c r="I2672" i="2"/>
  <c r="I2673" i="2"/>
  <c r="I2674" i="2"/>
  <c r="I2675" i="2"/>
  <c r="I2676" i="2"/>
  <c r="I2677" i="2"/>
  <c r="I2678" i="2"/>
  <c r="I2679" i="2"/>
  <c r="I2680" i="2"/>
  <c r="I2681" i="2"/>
  <c r="I2682" i="2"/>
  <c r="I2683" i="2"/>
  <c r="I2684" i="2"/>
  <c r="I2685" i="2"/>
  <c r="I2686" i="2"/>
  <c r="I2687" i="2"/>
  <c r="I2688" i="2"/>
  <c r="I2689" i="2"/>
  <c r="I2690" i="2"/>
  <c r="I2691" i="2"/>
  <c r="I2692" i="2"/>
  <c r="I2693" i="2"/>
  <c r="I2694" i="2"/>
  <c r="I2695" i="2"/>
  <c r="I2696" i="2"/>
  <c r="I2697" i="2"/>
  <c r="I2698" i="2"/>
  <c r="I2699" i="2"/>
  <c r="I2700" i="2"/>
  <c r="I2701" i="2"/>
  <c r="I2702" i="2"/>
  <c r="I2703" i="2"/>
  <c r="I2704" i="2"/>
  <c r="I2705" i="2"/>
  <c r="I2706" i="2"/>
  <c r="I2707" i="2"/>
  <c r="I2708" i="2"/>
  <c r="I2709" i="2"/>
  <c r="I2710" i="2"/>
  <c r="I2711" i="2"/>
  <c r="I2712" i="2"/>
  <c r="I2713" i="2"/>
  <c r="I2714" i="2"/>
  <c r="I2715" i="2"/>
  <c r="I2716" i="2"/>
  <c r="I2717" i="2"/>
  <c r="I2718" i="2"/>
  <c r="I2719" i="2"/>
  <c r="I2720" i="2"/>
  <c r="I2721" i="2"/>
  <c r="I2722" i="2"/>
  <c r="I2723" i="2"/>
  <c r="I2724" i="2"/>
  <c r="I2725" i="2"/>
  <c r="I2726" i="2"/>
  <c r="I2727" i="2"/>
  <c r="I2728" i="2"/>
  <c r="I2729" i="2"/>
  <c r="I2730" i="2"/>
  <c r="I2731" i="2"/>
  <c r="I2732" i="2"/>
  <c r="I2733" i="2"/>
  <c r="I2734" i="2"/>
  <c r="I2735" i="2"/>
  <c r="I2736" i="2"/>
  <c r="I2737" i="2"/>
  <c r="I2738" i="2"/>
  <c r="I2739" i="2"/>
  <c r="I2740" i="2"/>
  <c r="I2741" i="2"/>
  <c r="I2742" i="2"/>
  <c r="I2743" i="2"/>
  <c r="I2744" i="2"/>
  <c r="I2745" i="2"/>
  <c r="I2746" i="2"/>
  <c r="I2747" i="2"/>
  <c r="I2748" i="2"/>
  <c r="I2749" i="2"/>
  <c r="I2750" i="2"/>
  <c r="I2751" i="2"/>
  <c r="I2752" i="2"/>
  <c r="I2753" i="2"/>
  <c r="I2754" i="2"/>
  <c r="I2755" i="2"/>
  <c r="I2756" i="2"/>
  <c r="I2757" i="2"/>
  <c r="I2758" i="2"/>
  <c r="I2759" i="2"/>
  <c r="I2760" i="2"/>
  <c r="I2761" i="2"/>
  <c r="I2762" i="2"/>
  <c r="I2763" i="2"/>
  <c r="I2764" i="2"/>
  <c r="I2765" i="2"/>
  <c r="I2766" i="2"/>
  <c r="I2767" i="2"/>
  <c r="I2768" i="2"/>
  <c r="I2769" i="2"/>
  <c r="I2770" i="2"/>
  <c r="I2771" i="2"/>
  <c r="I2772" i="2"/>
  <c r="I2773" i="2"/>
  <c r="I2774" i="2"/>
  <c r="I2775" i="2"/>
  <c r="I2776" i="2"/>
  <c r="I2777" i="2"/>
  <c r="I2778" i="2"/>
  <c r="I2779" i="2"/>
  <c r="I2780" i="2"/>
  <c r="I2781" i="2"/>
  <c r="I2782" i="2"/>
  <c r="I2783" i="2"/>
  <c r="I2784" i="2"/>
  <c r="I2785" i="2"/>
  <c r="I2786" i="2"/>
  <c r="I2787" i="2"/>
  <c r="I2788" i="2"/>
  <c r="I2789" i="2"/>
  <c r="I2790" i="2"/>
  <c r="I2791" i="2"/>
  <c r="I2792" i="2"/>
  <c r="I2793" i="2"/>
  <c r="I2794" i="2"/>
  <c r="I2795" i="2"/>
  <c r="I2796" i="2"/>
  <c r="I2797" i="2"/>
  <c r="I2798" i="2"/>
  <c r="I2799" i="2"/>
  <c r="I2800" i="2"/>
  <c r="I2801" i="2"/>
  <c r="I2802" i="2"/>
  <c r="I2803" i="2"/>
  <c r="I2804" i="2"/>
  <c r="I2805" i="2"/>
  <c r="I2806" i="2"/>
  <c r="I2807" i="2"/>
  <c r="I2808" i="2"/>
  <c r="I2809" i="2"/>
  <c r="I2810" i="2"/>
  <c r="I2811" i="2"/>
  <c r="I2812" i="2"/>
  <c r="I2813" i="2"/>
  <c r="I2814" i="2"/>
  <c r="I2815" i="2"/>
  <c r="I2816" i="2"/>
  <c r="I2817" i="2"/>
  <c r="I2818" i="2"/>
  <c r="I2819" i="2"/>
  <c r="I2820" i="2"/>
  <c r="I2821" i="2"/>
  <c r="I2822" i="2"/>
  <c r="I2823" i="2"/>
  <c r="I2824" i="2"/>
  <c r="I2825" i="2"/>
  <c r="I2826" i="2"/>
  <c r="I2827" i="2"/>
  <c r="I2828" i="2"/>
  <c r="I2829" i="2"/>
  <c r="I2830" i="2"/>
  <c r="I2831" i="2"/>
  <c r="I2832" i="2"/>
  <c r="I2833" i="2"/>
  <c r="I2834" i="2"/>
  <c r="I2835" i="2"/>
  <c r="I2836" i="2"/>
  <c r="I2837" i="2"/>
  <c r="I2838" i="2"/>
  <c r="I2839" i="2"/>
  <c r="I2840" i="2"/>
  <c r="I2841" i="2"/>
  <c r="I2842" i="2"/>
  <c r="I2843" i="2"/>
  <c r="I2844" i="2"/>
  <c r="I2845" i="2"/>
  <c r="I2846" i="2"/>
  <c r="I2847" i="2"/>
  <c r="I2848" i="2"/>
  <c r="I2849" i="2"/>
  <c r="I2850" i="2"/>
  <c r="I2851" i="2"/>
  <c r="I2852" i="2"/>
  <c r="I2853" i="2"/>
  <c r="I2854" i="2"/>
  <c r="I2855" i="2"/>
  <c r="I2856" i="2"/>
  <c r="I2857" i="2"/>
  <c r="I2858" i="2"/>
  <c r="I2859" i="2"/>
  <c r="I2860" i="2"/>
  <c r="I2861" i="2"/>
  <c r="I2862" i="2"/>
  <c r="I2863" i="2"/>
  <c r="I2864" i="2"/>
  <c r="I2865" i="2"/>
  <c r="I2866" i="2"/>
  <c r="I2867" i="2"/>
  <c r="I2868" i="2"/>
  <c r="I2869" i="2"/>
  <c r="I2870" i="2"/>
  <c r="I2871" i="2"/>
  <c r="I2872" i="2"/>
  <c r="I2873" i="2"/>
  <c r="I2874" i="2"/>
  <c r="I2875" i="2"/>
  <c r="I2876" i="2"/>
  <c r="I2877" i="2"/>
  <c r="I2878" i="2"/>
  <c r="I2879" i="2"/>
  <c r="I2880" i="2"/>
  <c r="I2881" i="2"/>
  <c r="I2882" i="2"/>
  <c r="I2883" i="2"/>
  <c r="I2884" i="2"/>
  <c r="I2885" i="2"/>
  <c r="I2886" i="2"/>
  <c r="I2887" i="2"/>
  <c r="I2888" i="2"/>
  <c r="I2889" i="2"/>
  <c r="I2890" i="2"/>
  <c r="I2891" i="2"/>
  <c r="I2892" i="2"/>
  <c r="I2893" i="2"/>
  <c r="I2894" i="2"/>
  <c r="I2895" i="2"/>
  <c r="I2896" i="2"/>
  <c r="I2897" i="2"/>
  <c r="I2898" i="2"/>
  <c r="I2899" i="2"/>
  <c r="I2900" i="2"/>
  <c r="I2901" i="2"/>
  <c r="I2902" i="2"/>
  <c r="I2903" i="2"/>
  <c r="I2904" i="2"/>
  <c r="I2905" i="2"/>
  <c r="I2906" i="2"/>
  <c r="I2907" i="2"/>
  <c r="I2908" i="2"/>
  <c r="I2909" i="2"/>
  <c r="I2910" i="2"/>
  <c r="I2911" i="2"/>
  <c r="I2912" i="2"/>
  <c r="I2913" i="2"/>
  <c r="I2914" i="2"/>
  <c r="I2915" i="2"/>
  <c r="I2916" i="2"/>
  <c r="I2917" i="2"/>
  <c r="I2918" i="2"/>
  <c r="I2919" i="2"/>
  <c r="I2920" i="2"/>
  <c r="I2921" i="2"/>
  <c r="I2922" i="2"/>
  <c r="I2923" i="2"/>
  <c r="I2924" i="2"/>
  <c r="I2925" i="2"/>
  <c r="I2926" i="2"/>
  <c r="I2927" i="2"/>
  <c r="I2928" i="2"/>
  <c r="I2929" i="2"/>
  <c r="I2930" i="2"/>
  <c r="I2931" i="2"/>
  <c r="I2932" i="2"/>
  <c r="I2933" i="2"/>
  <c r="I2934" i="2"/>
  <c r="I2935" i="2"/>
  <c r="I2936" i="2"/>
  <c r="I2937" i="2"/>
  <c r="I2938" i="2"/>
  <c r="I2939" i="2"/>
  <c r="I2940" i="2"/>
  <c r="I2941" i="2"/>
  <c r="I2942" i="2"/>
  <c r="I2943" i="2"/>
  <c r="I2944" i="2"/>
  <c r="I2945" i="2"/>
  <c r="I2946" i="2"/>
  <c r="I2947" i="2"/>
  <c r="I2948" i="2"/>
  <c r="I2949" i="2"/>
  <c r="I2950" i="2"/>
  <c r="I2951" i="2"/>
  <c r="I2952" i="2"/>
  <c r="I2953" i="2"/>
  <c r="I2954" i="2"/>
  <c r="I2955" i="2"/>
  <c r="I2956" i="2"/>
  <c r="I2957" i="2"/>
  <c r="I2965" i="2"/>
  <c r="I2973" i="2"/>
  <c r="I2974" i="2"/>
  <c r="I2981" i="2"/>
  <c r="I2982" i="2"/>
  <c r="I2989" i="2"/>
  <c r="I2990" i="2"/>
  <c r="I2994" i="2"/>
  <c r="I2997" i="2"/>
  <c r="I2998" i="2"/>
  <c r="I3002" i="2"/>
  <c r="I3005" i="2"/>
  <c r="I3006" i="2"/>
  <c r="I3010" i="2"/>
  <c r="I3013" i="2"/>
  <c r="I3014" i="2"/>
  <c r="I3018" i="2"/>
  <c r="I3021" i="2"/>
  <c r="I3022" i="2"/>
  <c r="I3026" i="2"/>
  <c r="I3029" i="2"/>
  <c r="I3030" i="2"/>
  <c r="I3034" i="2"/>
  <c r="I3037" i="2"/>
  <c r="I3038" i="2"/>
  <c r="I3042" i="2"/>
  <c r="I3045" i="2"/>
  <c r="I3046" i="2"/>
  <c r="I3050" i="2"/>
  <c r="I3053" i="2"/>
  <c r="I3054" i="2"/>
  <c r="I3058" i="2"/>
  <c r="I3061" i="2"/>
  <c r="I3062" i="2"/>
  <c r="I3066" i="2"/>
  <c r="C3065" i="2"/>
  <c r="I3065" i="2" s="1"/>
  <c r="B3065" i="2"/>
  <c r="C3064" i="2"/>
  <c r="I3064" i="2" s="1"/>
  <c r="B3064" i="2"/>
  <c r="C3063" i="2"/>
  <c r="I3063" i="2" s="1"/>
  <c r="B3063" i="2"/>
  <c r="C3062" i="2"/>
  <c r="B3062" i="2"/>
  <c r="C3061" i="2"/>
  <c r="B3061" i="2"/>
  <c r="C3060" i="2"/>
  <c r="I3060" i="2" s="1"/>
  <c r="B3060" i="2"/>
  <c r="C3059" i="2"/>
  <c r="I3059" i="2" s="1"/>
  <c r="B3059" i="2"/>
  <c r="C3058" i="2"/>
  <c r="B3058" i="2"/>
  <c r="C3057" i="2"/>
  <c r="I3057" i="2" s="1"/>
  <c r="B3057" i="2"/>
  <c r="C3056" i="2"/>
  <c r="I3056" i="2" s="1"/>
  <c r="B3056" i="2"/>
  <c r="C3055" i="2"/>
  <c r="I3055" i="2" s="1"/>
  <c r="B3055" i="2"/>
  <c r="C3054" i="2"/>
  <c r="B3054" i="2"/>
  <c r="C3053" i="2"/>
  <c r="B3053" i="2"/>
  <c r="C3052" i="2"/>
  <c r="I3052" i="2" s="1"/>
  <c r="B3052" i="2"/>
  <c r="C3051" i="2"/>
  <c r="I3051" i="2" s="1"/>
  <c r="B3051" i="2"/>
  <c r="C3050" i="2"/>
  <c r="B3050" i="2"/>
  <c r="C3049" i="2"/>
  <c r="H3049" i="2" s="1"/>
  <c r="B3049" i="2"/>
  <c r="C3048" i="2"/>
  <c r="I3048" i="2" s="1"/>
  <c r="B3048" i="2"/>
  <c r="C3047" i="2"/>
  <c r="I3047" i="2" s="1"/>
  <c r="B3047" i="2"/>
  <c r="C3046" i="2"/>
  <c r="B3046" i="2"/>
  <c r="C3045" i="2"/>
  <c r="B3045" i="2"/>
  <c r="C3044" i="2"/>
  <c r="I3044" i="2" s="1"/>
  <c r="B3044" i="2"/>
  <c r="C3043" i="2"/>
  <c r="I3043" i="2" s="1"/>
  <c r="B3043" i="2"/>
  <c r="C3042" i="2"/>
  <c r="B3042" i="2"/>
  <c r="C3041" i="2"/>
  <c r="I3041" i="2" s="1"/>
  <c r="B3041" i="2"/>
  <c r="C3040" i="2"/>
  <c r="I3040" i="2" s="1"/>
  <c r="B3040" i="2"/>
  <c r="C3039" i="2"/>
  <c r="I3039" i="2" s="1"/>
  <c r="B3039" i="2"/>
  <c r="C3038" i="2"/>
  <c r="B3038" i="2"/>
  <c r="C3037" i="2"/>
  <c r="H3037" i="2" s="1"/>
  <c r="B3037" i="2"/>
  <c r="C3036" i="2"/>
  <c r="I3036" i="2" s="1"/>
  <c r="B3036" i="2"/>
  <c r="C3035" i="2"/>
  <c r="I3035" i="2" s="1"/>
  <c r="B3035" i="2"/>
  <c r="C3034" i="2"/>
  <c r="B3034" i="2"/>
  <c r="C3033" i="2"/>
  <c r="I3033" i="2" s="1"/>
  <c r="B3033" i="2"/>
  <c r="C3032" i="2"/>
  <c r="I3032" i="2" s="1"/>
  <c r="B3032" i="2"/>
  <c r="C3031" i="2"/>
  <c r="I3031" i="2" s="1"/>
  <c r="B3031" i="2"/>
  <c r="C3030" i="2"/>
  <c r="B3030" i="2"/>
  <c r="C3029" i="2"/>
  <c r="B3029" i="2"/>
  <c r="C3028" i="2"/>
  <c r="I3028" i="2" s="1"/>
  <c r="B3028" i="2"/>
  <c r="C3027" i="2"/>
  <c r="I3027" i="2" s="1"/>
  <c r="B3027" i="2"/>
  <c r="C3026" i="2"/>
  <c r="B3026" i="2"/>
  <c r="C3025" i="2"/>
  <c r="I3025" i="2" s="1"/>
  <c r="B3025" i="2"/>
  <c r="C3024" i="2"/>
  <c r="I3024" i="2" s="1"/>
  <c r="B3024" i="2"/>
  <c r="C3023" i="2"/>
  <c r="I3023" i="2" s="1"/>
  <c r="B3023" i="2"/>
  <c r="C3022" i="2"/>
  <c r="B3022" i="2"/>
  <c r="C3021" i="2"/>
  <c r="B3021" i="2"/>
  <c r="C3020" i="2"/>
  <c r="I3020" i="2" s="1"/>
  <c r="B3020" i="2"/>
  <c r="C3019" i="2"/>
  <c r="I3019" i="2" s="1"/>
  <c r="B3019" i="2"/>
  <c r="C3018" i="2"/>
  <c r="B3018" i="2"/>
  <c r="C3017" i="2"/>
  <c r="I3017" i="2" s="1"/>
  <c r="B3017" i="2"/>
  <c r="C3016" i="2"/>
  <c r="I3016" i="2" s="1"/>
  <c r="B3016" i="2"/>
  <c r="C3015" i="2"/>
  <c r="I3015" i="2" s="1"/>
  <c r="B3015" i="2"/>
  <c r="C3014" i="2"/>
  <c r="B3014" i="2"/>
  <c r="C3013" i="2"/>
  <c r="B3013" i="2"/>
  <c r="C3012" i="2"/>
  <c r="I3012" i="2" s="1"/>
  <c r="B3012" i="2"/>
  <c r="C3011" i="2"/>
  <c r="I3011" i="2" s="1"/>
  <c r="B3011" i="2"/>
  <c r="C3010" i="2"/>
  <c r="B3010" i="2"/>
  <c r="C3009" i="2"/>
  <c r="I3009" i="2" s="1"/>
  <c r="B3009" i="2"/>
  <c r="C3008" i="2"/>
  <c r="I3008" i="2" s="1"/>
  <c r="B3008" i="2"/>
  <c r="C3007" i="2"/>
  <c r="I3007" i="2" s="1"/>
  <c r="B3007" i="2"/>
  <c r="C3006" i="2"/>
  <c r="B3006" i="2"/>
  <c r="C3005" i="2"/>
  <c r="B3005" i="2"/>
  <c r="C3004" i="2"/>
  <c r="I3004" i="2" s="1"/>
  <c r="B3004" i="2"/>
  <c r="C3003" i="2"/>
  <c r="I3003" i="2" s="1"/>
  <c r="B3003" i="2"/>
  <c r="C3002" i="2"/>
  <c r="B3002" i="2"/>
  <c r="C3001" i="2"/>
  <c r="I3001" i="2" s="1"/>
  <c r="B3001" i="2"/>
  <c r="C3000" i="2"/>
  <c r="I3000" i="2" s="1"/>
  <c r="B3000" i="2"/>
  <c r="C2999" i="2"/>
  <c r="I2999" i="2" s="1"/>
  <c r="B2999" i="2"/>
  <c r="C2998" i="2"/>
  <c r="B2998" i="2"/>
  <c r="C2997" i="2"/>
  <c r="H2997" i="2" s="1"/>
  <c r="B2997" i="2"/>
  <c r="C2996" i="2"/>
  <c r="I2996" i="2" s="1"/>
  <c r="B2996" i="2"/>
  <c r="C2995" i="2"/>
  <c r="I2995" i="2" s="1"/>
  <c r="B2995" i="2"/>
  <c r="C2994" i="2"/>
  <c r="B2994" i="2"/>
  <c r="C2993" i="2"/>
  <c r="I2993" i="2" s="1"/>
  <c r="B2993" i="2"/>
  <c r="C2992" i="2"/>
  <c r="I2992" i="2" s="1"/>
  <c r="B2992" i="2"/>
  <c r="C2991" i="2"/>
  <c r="I2991" i="2" s="1"/>
  <c r="B2991" i="2"/>
  <c r="C2990" i="2"/>
  <c r="B2990" i="2"/>
  <c r="C2989" i="2"/>
  <c r="B2989" i="2"/>
  <c r="C2988" i="2"/>
  <c r="I2988" i="2" s="1"/>
  <c r="B2988" i="2"/>
  <c r="C2987" i="2"/>
  <c r="I2987" i="2" s="1"/>
  <c r="B2987" i="2"/>
  <c r="C2986" i="2"/>
  <c r="I2986" i="2" s="1"/>
  <c r="B2986" i="2"/>
  <c r="C2985" i="2"/>
  <c r="I2985" i="2" s="1"/>
  <c r="B2985" i="2"/>
  <c r="C2984" i="2"/>
  <c r="I2984" i="2" s="1"/>
  <c r="B2984" i="2"/>
  <c r="C2983" i="2"/>
  <c r="I2983" i="2" s="1"/>
  <c r="B2983" i="2"/>
  <c r="C2982" i="2"/>
  <c r="B2982" i="2"/>
  <c r="C2981" i="2"/>
  <c r="B2981" i="2"/>
  <c r="C2980" i="2"/>
  <c r="I2980" i="2" s="1"/>
  <c r="B2980" i="2"/>
  <c r="C2979" i="2"/>
  <c r="I2979" i="2" s="1"/>
  <c r="B2979" i="2"/>
  <c r="C2978" i="2"/>
  <c r="I2978" i="2" s="1"/>
  <c r="B2978" i="2"/>
  <c r="C2977" i="2"/>
  <c r="I2977" i="2" s="1"/>
  <c r="B2977" i="2"/>
  <c r="C2976" i="2"/>
  <c r="I2976" i="2" s="1"/>
  <c r="B2976" i="2"/>
  <c r="C2975" i="2"/>
  <c r="I2975" i="2" s="1"/>
  <c r="B2975" i="2"/>
  <c r="C2974" i="2"/>
  <c r="B2974" i="2"/>
  <c r="C2973" i="2"/>
  <c r="B2973" i="2"/>
  <c r="C2972" i="2"/>
  <c r="I2972" i="2" s="1"/>
  <c r="B2972" i="2"/>
  <c r="C2971" i="2"/>
  <c r="I2971" i="2" s="1"/>
  <c r="B2971" i="2"/>
  <c r="C2970" i="2"/>
  <c r="I2970" i="2" s="1"/>
  <c r="B2970" i="2"/>
  <c r="C2969" i="2"/>
  <c r="I2969" i="2" s="1"/>
  <c r="B2969" i="2"/>
  <c r="C2968" i="2"/>
  <c r="I2968" i="2" s="1"/>
  <c r="B2968" i="2"/>
  <c r="C2967" i="2"/>
  <c r="I2967" i="2" s="1"/>
  <c r="B2967" i="2"/>
  <c r="C2966" i="2"/>
  <c r="I2966" i="2" s="1"/>
  <c r="B2966" i="2"/>
  <c r="C2965" i="2"/>
  <c r="B2965" i="2"/>
  <c r="C2964" i="2"/>
  <c r="I2964" i="2" s="1"/>
  <c r="B2964" i="2"/>
  <c r="C2963" i="2"/>
  <c r="I2963" i="2" s="1"/>
  <c r="B2963" i="2"/>
  <c r="C2962" i="2"/>
  <c r="I2962" i="2" s="1"/>
  <c r="B2962" i="2"/>
  <c r="C2961" i="2"/>
  <c r="I2961" i="2" s="1"/>
  <c r="B2961" i="2"/>
  <c r="C2960" i="2"/>
  <c r="I2960" i="2" s="1"/>
  <c r="B2960" i="2"/>
  <c r="C2959" i="2"/>
  <c r="I2959" i="2" s="1"/>
  <c r="B2959" i="2"/>
  <c r="C2958" i="2"/>
  <c r="I2958" i="2" s="1"/>
  <c r="B2958" i="2"/>
  <c r="I3049" i="2" l="1"/>
  <c r="H3057" i="2"/>
  <c r="H3065" i="2"/>
  <c r="H3014" i="2"/>
  <c r="H2998" i="2"/>
  <c r="H3022" i="2"/>
  <c r="H3006" i="2"/>
  <c r="H3058" i="2"/>
  <c r="H3050" i="2"/>
  <c r="H3018" i="2"/>
  <c r="H3026" i="2"/>
  <c r="H3000" i="2"/>
  <c r="H3010" i="2"/>
  <c r="H3042" i="2"/>
  <c r="H3002" i="2"/>
  <c r="H3034" i="2"/>
  <c r="H3005" i="2"/>
  <c r="H3013" i="2"/>
  <c r="H3021" i="2"/>
  <c r="H3029" i="2"/>
  <c r="H3045" i="2"/>
  <c r="H3053" i="2"/>
  <c r="H3061" i="2"/>
  <c r="H3038" i="2"/>
  <c r="H3046" i="2"/>
  <c r="H3054" i="2"/>
  <c r="H3062" i="2"/>
  <c r="H2995" i="2"/>
  <c r="H3015" i="2"/>
  <c r="H3035" i="2"/>
  <c r="H3047" i="2"/>
  <c r="H3051" i="2"/>
  <c r="H3063" i="2"/>
  <c r="H3030" i="2"/>
  <c r="H3007" i="2"/>
  <c r="H3027" i="2"/>
  <c r="H3043" i="2"/>
  <c r="H3055" i="2"/>
  <c r="H3059" i="2"/>
  <c r="H3032" i="2"/>
  <c r="H3003" i="2"/>
  <c r="H3019" i="2"/>
  <c r="H3031" i="2"/>
  <c r="H2996" i="2"/>
  <c r="H3012" i="2"/>
  <c r="H3028" i="2"/>
  <c r="H3044" i="2"/>
  <c r="H3060" i="2"/>
  <c r="H2999" i="2"/>
  <c r="H3011" i="2"/>
  <c r="H3023" i="2"/>
  <c r="H3039" i="2"/>
  <c r="H3004" i="2"/>
  <c r="H3020" i="2"/>
  <c r="H3036" i="2"/>
  <c r="H3052" i="2"/>
  <c r="H3017" i="2"/>
  <c r="H3009" i="2"/>
  <c r="H3001" i="2"/>
  <c r="H3033" i="2"/>
  <c r="H3040" i="2"/>
  <c r="H3008" i="2"/>
  <c r="H3064" i="2"/>
  <c r="H3024" i="2"/>
  <c r="H3041" i="2"/>
  <c r="H3048" i="2"/>
  <c r="H3016" i="2"/>
  <c r="H3025" i="2"/>
  <c r="H3056" i="2"/>
  <c r="H2" i="2"/>
  <c r="H3" i="2"/>
  <c r="H4" i="2"/>
  <c r="H5" i="2"/>
  <c r="H6" i="2"/>
  <c r="H7" i="2"/>
  <c r="H8" i="2"/>
  <c r="H9" i="2"/>
  <c r="H10" i="2"/>
  <c r="H11" i="2"/>
  <c r="H12" i="2"/>
  <c r="H13" i="2"/>
  <c r="H14" i="2"/>
  <c r="H15" i="2"/>
  <c r="H16" i="2"/>
  <c r="H17" i="2"/>
  <c r="H18" i="2"/>
  <c r="H19" i="2"/>
  <c r="H20" i="2"/>
  <c r="H21" i="2"/>
  <c r="H22" i="2"/>
  <c r="H23" i="2"/>
  <c r="H24" i="2"/>
  <c r="H25" i="2"/>
  <c r="H26" i="2"/>
  <c r="H27" i="2"/>
  <c r="H28" i="2"/>
  <c r="H29" i="2"/>
  <c r="H30" i="2"/>
  <c r="H31" i="2"/>
  <c r="H32" i="2"/>
  <c r="H33" i="2"/>
  <c r="H34" i="2"/>
  <c r="H35" i="2"/>
  <c r="H36" i="2"/>
  <c r="H37" i="2"/>
  <c r="H38" i="2"/>
  <c r="H39" i="2"/>
  <c r="H40" i="2"/>
  <c r="H41" i="2"/>
  <c r="H42" i="2"/>
  <c r="H43" i="2"/>
  <c r="H44" i="2"/>
  <c r="H45" i="2"/>
  <c r="H46" i="2"/>
  <c r="H47" i="2"/>
  <c r="H48" i="2"/>
  <c r="H49" i="2"/>
  <c r="H50" i="2"/>
  <c r="H51" i="2"/>
  <c r="H52" i="2"/>
  <c r="H53" i="2"/>
  <c r="H54" i="2"/>
  <c r="H55" i="2"/>
  <c r="H56" i="2"/>
  <c r="H57" i="2"/>
  <c r="H58" i="2"/>
  <c r="H59" i="2"/>
  <c r="H60" i="2"/>
  <c r="H61" i="2"/>
  <c r="H62" i="2"/>
  <c r="H63" i="2"/>
  <c r="H64" i="2"/>
  <c r="H65" i="2"/>
  <c r="H66" i="2"/>
  <c r="H67" i="2"/>
  <c r="H68" i="2"/>
  <c r="H69" i="2"/>
  <c r="H70" i="2"/>
  <c r="H71" i="2"/>
  <c r="H72" i="2"/>
  <c r="H73" i="2"/>
  <c r="H74" i="2"/>
  <c r="H75" i="2"/>
  <c r="H76" i="2"/>
  <c r="H77" i="2"/>
  <c r="H78" i="2"/>
  <c r="H79" i="2"/>
  <c r="H80" i="2"/>
  <c r="H81" i="2"/>
  <c r="H82" i="2"/>
  <c r="H83" i="2"/>
  <c r="H84" i="2"/>
  <c r="H85" i="2"/>
  <c r="H86" i="2"/>
  <c r="H87" i="2"/>
  <c r="H88" i="2"/>
  <c r="H89" i="2"/>
  <c r="H90" i="2"/>
  <c r="H91" i="2"/>
  <c r="H92" i="2"/>
  <c r="H93" i="2"/>
  <c r="H94" i="2"/>
  <c r="H95" i="2"/>
  <c r="H96" i="2"/>
  <c r="H97" i="2"/>
  <c r="H98" i="2"/>
  <c r="H99" i="2"/>
  <c r="H100" i="2"/>
  <c r="H101" i="2"/>
  <c r="H102" i="2"/>
  <c r="H103" i="2"/>
  <c r="H104" i="2"/>
  <c r="H105" i="2"/>
  <c r="H106" i="2"/>
  <c r="H107" i="2"/>
  <c r="H108" i="2"/>
  <c r="H109" i="2"/>
  <c r="H110" i="2"/>
  <c r="H111" i="2"/>
  <c r="H112" i="2"/>
  <c r="H113" i="2"/>
  <c r="H114" i="2"/>
  <c r="H115" i="2"/>
  <c r="H116" i="2"/>
  <c r="H117" i="2"/>
  <c r="H118" i="2"/>
  <c r="H119" i="2"/>
  <c r="H120" i="2"/>
  <c r="H121" i="2"/>
  <c r="H122" i="2"/>
  <c r="H123" i="2"/>
  <c r="H124" i="2"/>
  <c r="H125" i="2"/>
  <c r="H126" i="2"/>
  <c r="H127" i="2"/>
  <c r="H128" i="2"/>
  <c r="H129" i="2"/>
  <c r="H130" i="2"/>
  <c r="H131" i="2"/>
  <c r="H132" i="2"/>
  <c r="H133" i="2"/>
  <c r="H134" i="2"/>
  <c r="H135" i="2"/>
  <c r="H136" i="2"/>
  <c r="H137" i="2"/>
  <c r="H138" i="2"/>
  <c r="H139" i="2"/>
  <c r="H140" i="2"/>
  <c r="H141" i="2"/>
  <c r="H142" i="2"/>
  <c r="H143" i="2"/>
  <c r="H144" i="2"/>
  <c r="H145" i="2"/>
  <c r="H146" i="2"/>
  <c r="H147" i="2"/>
  <c r="H148" i="2"/>
  <c r="H149" i="2"/>
  <c r="H150" i="2"/>
  <c r="H151" i="2"/>
  <c r="H152" i="2"/>
  <c r="H153" i="2"/>
  <c r="H154" i="2"/>
  <c r="H155" i="2"/>
  <c r="H156" i="2"/>
  <c r="H157" i="2"/>
  <c r="H158" i="2"/>
  <c r="H159" i="2"/>
  <c r="H160" i="2"/>
  <c r="H161" i="2"/>
  <c r="H162" i="2"/>
  <c r="H163" i="2"/>
  <c r="H164" i="2"/>
  <c r="H165" i="2"/>
  <c r="H166" i="2"/>
  <c r="H167" i="2"/>
  <c r="H168" i="2"/>
  <c r="H169" i="2"/>
  <c r="H170" i="2"/>
  <c r="H171" i="2"/>
  <c r="H172" i="2"/>
  <c r="H173" i="2"/>
  <c r="H174" i="2"/>
  <c r="H175" i="2"/>
  <c r="H176" i="2"/>
  <c r="H177" i="2"/>
  <c r="H178" i="2"/>
  <c r="H179" i="2"/>
  <c r="H180" i="2"/>
  <c r="H181" i="2"/>
  <c r="H182" i="2"/>
  <c r="H183" i="2"/>
  <c r="H184" i="2"/>
  <c r="H185" i="2"/>
  <c r="H186" i="2"/>
  <c r="H187" i="2"/>
  <c r="H188" i="2"/>
  <c r="H189" i="2"/>
  <c r="H190" i="2"/>
  <c r="H191" i="2"/>
  <c r="H192" i="2"/>
  <c r="H193" i="2"/>
  <c r="H194" i="2"/>
  <c r="H195" i="2"/>
  <c r="H196" i="2"/>
  <c r="H197" i="2"/>
  <c r="H198" i="2"/>
  <c r="H199" i="2"/>
  <c r="H200" i="2"/>
  <c r="H201" i="2"/>
  <c r="H202" i="2"/>
  <c r="H203" i="2"/>
  <c r="H204" i="2"/>
  <c r="H205" i="2"/>
  <c r="H206" i="2"/>
  <c r="H207" i="2"/>
  <c r="H208" i="2"/>
  <c r="H209" i="2"/>
  <c r="H210" i="2"/>
  <c r="H211" i="2"/>
  <c r="H212" i="2"/>
  <c r="H213" i="2"/>
  <c r="H214" i="2"/>
  <c r="H215" i="2"/>
  <c r="H216" i="2"/>
  <c r="H217" i="2"/>
  <c r="H218" i="2"/>
  <c r="H219" i="2"/>
  <c r="H220" i="2"/>
  <c r="H221" i="2"/>
  <c r="H222" i="2"/>
  <c r="H223" i="2"/>
  <c r="H224" i="2"/>
  <c r="H225" i="2"/>
  <c r="H226" i="2"/>
  <c r="H227" i="2"/>
  <c r="H228" i="2"/>
  <c r="H229" i="2"/>
  <c r="H230" i="2"/>
  <c r="H231" i="2"/>
  <c r="H232" i="2"/>
  <c r="H233" i="2"/>
  <c r="H234" i="2"/>
  <c r="H235" i="2"/>
  <c r="H236" i="2"/>
  <c r="H237" i="2"/>
  <c r="H238" i="2"/>
  <c r="H239" i="2"/>
  <c r="H240" i="2"/>
  <c r="H241" i="2"/>
  <c r="H242" i="2"/>
  <c r="H243" i="2"/>
  <c r="H244" i="2"/>
  <c r="H245" i="2"/>
  <c r="H246" i="2"/>
  <c r="H247" i="2"/>
  <c r="H248" i="2"/>
  <c r="H249" i="2"/>
  <c r="H250" i="2"/>
  <c r="H251" i="2"/>
  <c r="H252" i="2"/>
  <c r="H253" i="2"/>
  <c r="H254" i="2"/>
  <c r="H255" i="2"/>
  <c r="H256" i="2"/>
  <c r="H257" i="2"/>
  <c r="H258" i="2"/>
  <c r="H259" i="2"/>
  <c r="H260" i="2"/>
  <c r="H261" i="2"/>
  <c r="H262" i="2"/>
  <c r="H263" i="2"/>
  <c r="H264" i="2"/>
  <c r="H265" i="2"/>
  <c r="H266" i="2"/>
  <c r="H267" i="2"/>
  <c r="H268" i="2"/>
  <c r="H269" i="2"/>
  <c r="H270" i="2"/>
  <c r="H271" i="2"/>
  <c r="H272" i="2"/>
  <c r="H273" i="2"/>
  <c r="H274" i="2"/>
  <c r="H275" i="2"/>
  <c r="H276" i="2"/>
  <c r="H277" i="2"/>
  <c r="H278" i="2"/>
  <c r="H279" i="2"/>
  <c r="H280" i="2"/>
  <c r="H281" i="2"/>
  <c r="H282" i="2"/>
  <c r="H283" i="2"/>
  <c r="H284" i="2"/>
  <c r="H285" i="2"/>
  <c r="H286" i="2"/>
  <c r="H287" i="2"/>
  <c r="H288" i="2"/>
  <c r="H289" i="2"/>
  <c r="H290" i="2"/>
  <c r="H291" i="2"/>
  <c r="H292" i="2"/>
  <c r="H293" i="2"/>
  <c r="H294" i="2"/>
  <c r="H295" i="2"/>
  <c r="H296" i="2"/>
  <c r="H297" i="2"/>
  <c r="H298" i="2"/>
  <c r="H299" i="2"/>
  <c r="H300" i="2"/>
  <c r="H301" i="2"/>
  <c r="H302" i="2"/>
  <c r="H303" i="2"/>
  <c r="H304" i="2"/>
  <c r="H305" i="2"/>
  <c r="H306" i="2"/>
  <c r="H307" i="2"/>
  <c r="H308" i="2"/>
  <c r="H309" i="2"/>
  <c r="H310" i="2"/>
  <c r="H311" i="2"/>
  <c r="H312" i="2"/>
  <c r="H313" i="2"/>
  <c r="H314" i="2"/>
  <c r="H315" i="2"/>
  <c r="H316" i="2"/>
  <c r="H317" i="2"/>
  <c r="H318" i="2"/>
  <c r="H319" i="2"/>
  <c r="H320" i="2"/>
  <c r="H321" i="2"/>
  <c r="H322" i="2"/>
  <c r="H323" i="2"/>
  <c r="H324" i="2"/>
  <c r="H325" i="2"/>
  <c r="H326" i="2"/>
  <c r="H327" i="2"/>
  <c r="H328" i="2"/>
  <c r="H329" i="2"/>
  <c r="H330" i="2"/>
  <c r="H331" i="2"/>
  <c r="H332" i="2"/>
  <c r="H333" i="2"/>
  <c r="H334" i="2"/>
  <c r="H335" i="2"/>
  <c r="H336" i="2"/>
  <c r="H337" i="2"/>
  <c r="H338" i="2"/>
  <c r="H339" i="2"/>
  <c r="H340" i="2"/>
  <c r="H341" i="2"/>
  <c r="H342" i="2"/>
  <c r="H343" i="2"/>
  <c r="H344" i="2"/>
  <c r="H345" i="2"/>
  <c r="H346" i="2"/>
  <c r="H347" i="2"/>
  <c r="H348" i="2"/>
  <c r="H349" i="2"/>
  <c r="H350" i="2"/>
  <c r="H351" i="2"/>
  <c r="H352" i="2"/>
  <c r="H353" i="2"/>
  <c r="H354" i="2"/>
  <c r="H355" i="2"/>
  <c r="H356" i="2"/>
  <c r="H357" i="2"/>
  <c r="H358" i="2"/>
  <c r="H359" i="2"/>
  <c r="H360" i="2"/>
  <c r="H361" i="2"/>
  <c r="H362" i="2"/>
  <c r="H363" i="2"/>
  <c r="H364" i="2"/>
  <c r="H365" i="2"/>
  <c r="H366" i="2"/>
  <c r="H367" i="2"/>
  <c r="H368" i="2"/>
  <c r="H369" i="2"/>
  <c r="H370" i="2"/>
  <c r="H371" i="2"/>
  <c r="H372" i="2"/>
  <c r="H373" i="2"/>
  <c r="H374" i="2"/>
  <c r="H375" i="2"/>
  <c r="H376" i="2"/>
  <c r="H377" i="2"/>
  <c r="H378" i="2"/>
  <c r="H379" i="2"/>
  <c r="H380" i="2"/>
  <c r="H381" i="2"/>
  <c r="H382" i="2"/>
  <c r="H383" i="2"/>
  <c r="H384" i="2"/>
  <c r="H385" i="2"/>
  <c r="H386" i="2"/>
  <c r="H387" i="2"/>
  <c r="H388" i="2"/>
  <c r="H389" i="2"/>
  <c r="H390" i="2"/>
  <c r="H391" i="2"/>
  <c r="H392" i="2"/>
  <c r="H393" i="2"/>
  <c r="H394" i="2"/>
  <c r="H395" i="2"/>
  <c r="H396" i="2"/>
  <c r="H397" i="2"/>
  <c r="H398" i="2"/>
  <c r="H399" i="2"/>
  <c r="H400" i="2"/>
  <c r="H401" i="2"/>
  <c r="H402" i="2"/>
  <c r="H403" i="2"/>
  <c r="H404" i="2"/>
  <c r="H405" i="2"/>
  <c r="H406" i="2"/>
  <c r="H407" i="2"/>
  <c r="H408" i="2"/>
  <c r="H409" i="2"/>
  <c r="H410" i="2"/>
  <c r="H411" i="2"/>
  <c r="H412" i="2"/>
  <c r="H413" i="2"/>
  <c r="H414" i="2"/>
  <c r="H415" i="2"/>
  <c r="H416" i="2"/>
  <c r="H417" i="2"/>
  <c r="H418" i="2"/>
  <c r="H419" i="2"/>
  <c r="H420" i="2"/>
  <c r="H421" i="2"/>
  <c r="H422" i="2"/>
  <c r="H423" i="2"/>
  <c r="H424" i="2"/>
  <c r="H425" i="2"/>
  <c r="H426" i="2"/>
  <c r="H427" i="2"/>
  <c r="H428" i="2"/>
  <c r="H429" i="2"/>
  <c r="H430" i="2"/>
  <c r="H431" i="2"/>
  <c r="H432" i="2"/>
  <c r="H433" i="2"/>
  <c r="H434" i="2"/>
  <c r="H435" i="2"/>
  <c r="H436" i="2"/>
  <c r="H437" i="2"/>
  <c r="H438" i="2"/>
  <c r="H439" i="2"/>
  <c r="H440" i="2"/>
  <c r="H441" i="2"/>
  <c r="H442" i="2"/>
  <c r="H443" i="2"/>
  <c r="H444" i="2"/>
  <c r="H445" i="2"/>
  <c r="H446" i="2"/>
  <c r="H447" i="2"/>
  <c r="H448" i="2"/>
  <c r="H449" i="2"/>
  <c r="H450" i="2"/>
  <c r="H451" i="2"/>
  <c r="H452" i="2"/>
  <c r="H453" i="2"/>
  <c r="H454" i="2"/>
  <c r="H455" i="2"/>
  <c r="H456" i="2"/>
  <c r="H457" i="2"/>
  <c r="H458" i="2"/>
  <c r="H459" i="2"/>
  <c r="H460" i="2"/>
  <c r="H461" i="2"/>
  <c r="H462" i="2"/>
  <c r="H463" i="2"/>
  <c r="H464" i="2"/>
  <c r="H465" i="2"/>
  <c r="H466" i="2"/>
  <c r="H467" i="2"/>
  <c r="H468" i="2"/>
  <c r="H469" i="2"/>
  <c r="H470" i="2"/>
  <c r="H471" i="2"/>
  <c r="H472" i="2"/>
  <c r="H473" i="2"/>
  <c r="H474" i="2"/>
  <c r="H475" i="2"/>
  <c r="H476" i="2"/>
  <c r="H477" i="2"/>
  <c r="H478" i="2"/>
  <c r="H479" i="2"/>
  <c r="H480" i="2"/>
  <c r="H481" i="2"/>
  <c r="H482" i="2"/>
  <c r="H483" i="2"/>
  <c r="H484" i="2"/>
  <c r="H485" i="2"/>
  <c r="H486" i="2"/>
  <c r="H487" i="2"/>
  <c r="H488" i="2"/>
  <c r="H489" i="2"/>
  <c r="H490" i="2"/>
  <c r="H491" i="2"/>
  <c r="H492" i="2"/>
  <c r="H493" i="2"/>
  <c r="H494" i="2"/>
  <c r="H495" i="2"/>
  <c r="H496" i="2"/>
  <c r="H497" i="2"/>
  <c r="H498" i="2"/>
  <c r="H499" i="2"/>
  <c r="H500" i="2"/>
  <c r="H501" i="2"/>
  <c r="H502" i="2"/>
  <c r="H503" i="2"/>
  <c r="H504" i="2"/>
  <c r="H505" i="2"/>
  <c r="H506" i="2"/>
  <c r="H507" i="2"/>
  <c r="H508" i="2"/>
  <c r="H509" i="2"/>
  <c r="H510" i="2"/>
  <c r="H511" i="2"/>
  <c r="H512" i="2"/>
  <c r="H513" i="2"/>
  <c r="H514" i="2"/>
  <c r="H515" i="2"/>
  <c r="H516" i="2"/>
  <c r="H517" i="2"/>
  <c r="H518" i="2"/>
  <c r="H519" i="2"/>
  <c r="H520" i="2"/>
  <c r="H521" i="2"/>
  <c r="H522" i="2"/>
  <c r="H523" i="2"/>
  <c r="H524" i="2"/>
  <c r="H525" i="2"/>
  <c r="H526" i="2"/>
  <c r="H527" i="2"/>
  <c r="H528" i="2"/>
  <c r="H529" i="2"/>
  <c r="H530" i="2"/>
  <c r="H531" i="2"/>
  <c r="H532" i="2"/>
  <c r="H533" i="2"/>
  <c r="H534" i="2"/>
  <c r="H535" i="2"/>
  <c r="H536" i="2"/>
  <c r="H537" i="2"/>
  <c r="H538" i="2"/>
  <c r="H539" i="2"/>
  <c r="H540" i="2"/>
  <c r="H541" i="2"/>
  <c r="H542" i="2"/>
  <c r="H543" i="2"/>
  <c r="H544" i="2"/>
  <c r="H545" i="2"/>
  <c r="H546" i="2"/>
  <c r="H547" i="2"/>
  <c r="H548" i="2"/>
  <c r="H549" i="2"/>
  <c r="H550" i="2"/>
  <c r="H551" i="2"/>
  <c r="H552" i="2"/>
  <c r="H553" i="2"/>
  <c r="H554" i="2"/>
  <c r="H555" i="2"/>
  <c r="H556" i="2"/>
  <c r="H557" i="2"/>
  <c r="H558" i="2"/>
  <c r="H559" i="2"/>
  <c r="H560" i="2"/>
  <c r="H561" i="2"/>
  <c r="H562" i="2"/>
  <c r="H563" i="2"/>
  <c r="H564" i="2"/>
  <c r="H565" i="2"/>
  <c r="H566" i="2"/>
  <c r="H567" i="2"/>
  <c r="H568" i="2"/>
  <c r="H569" i="2"/>
  <c r="H570" i="2"/>
  <c r="H571" i="2"/>
  <c r="H572" i="2"/>
  <c r="H573" i="2"/>
  <c r="H574" i="2"/>
  <c r="H575" i="2"/>
  <c r="H576" i="2"/>
  <c r="H577" i="2"/>
  <c r="H578" i="2"/>
  <c r="H579" i="2"/>
  <c r="H580" i="2"/>
  <c r="H581" i="2"/>
  <c r="H582" i="2"/>
  <c r="H583" i="2"/>
  <c r="H584" i="2"/>
  <c r="H585" i="2"/>
  <c r="H586" i="2"/>
  <c r="H587" i="2"/>
  <c r="H588" i="2"/>
  <c r="H589" i="2"/>
  <c r="H590" i="2"/>
  <c r="H591" i="2"/>
  <c r="H592" i="2"/>
  <c r="H593" i="2"/>
  <c r="H594" i="2"/>
  <c r="H595" i="2"/>
  <c r="H596" i="2"/>
  <c r="H597" i="2"/>
  <c r="H598" i="2"/>
  <c r="H599" i="2"/>
  <c r="H600" i="2"/>
  <c r="H601" i="2"/>
  <c r="H602" i="2"/>
  <c r="H603" i="2"/>
  <c r="H604" i="2"/>
  <c r="H605" i="2"/>
  <c r="H606" i="2"/>
  <c r="H607" i="2"/>
  <c r="H608" i="2"/>
  <c r="H609" i="2"/>
  <c r="H610" i="2"/>
  <c r="H611" i="2"/>
  <c r="H612" i="2"/>
  <c r="H613" i="2"/>
  <c r="H614" i="2"/>
  <c r="H615" i="2"/>
  <c r="H616" i="2"/>
  <c r="H617" i="2"/>
  <c r="H618" i="2"/>
  <c r="H619" i="2"/>
  <c r="H620" i="2"/>
  <c r="H621" i="2"/>
  <c r="H622" i="2"/>
  <c r="H623" i="2"/>
  <c r="H624" i="2"/>
  <c r="H625" i="2"/>
  <c r="H626" i="2"/>
  <c r="H627" i="2"/>
  <c r="H628" i="2"/>
  <c r="H629" i="2"/>
  <c r="H630" i="2"/>
  <c r="H631" i="2"/>
  <c r="H632" i="2"/>
  <c r="H633" i="2"/>
  <c r="H634" i="2"/>
  <c r="H635" i="2"/>
  <c r="H636" i="2"/>
  <c r="H637" i="2"/>
  <c r="H638" i="2"/>
  <c r="H639" i="2"/>
  <c r="H640" i="2"/>
  <c r="H641" i="2"/>
  <c r="H642" i="2"/>
  <c r="H643" i="2"/>
  <c r="H644" i="2"/>
  <c r="H645" i="2"/>
  <c r="H646" i="2"/>
  <c r="H647" i="2"/>
  <c r="H648" i="2"/>
  <c r="H649" i="2"/>
  <c r="H650" i="2"/>
  <c r="H651" i="2"/>
  <c r="H652" i="2"/>
  <c r="H653" i="2"/>
  <c r="H654" i="2"/>
  <c r="H655" i="2"/>
  <c r="H656" i="2"/>
  <c r="H657" i="2"/>
  <c r="H658" i="2"/>
  <c r="H659" i="2"/>
  <c r="H660" i="2"/>
  <c r="H661" i="2"/>
  <c r="H662" i="2"/>
  <c r="H663" i="2"/>
  <c r="H664" i="2"/>
  <c r="H665" i="2"/>
  <c r="H666" i="2"/>
  <c r="H667" i="2"/>
  <c r="H668" i="2"/>
  <c r="H669" i="2"/>
  <c r="H670" i="2"/>
  <c r="H671" i="2"/>
  <c r="H672" i="2"/>
  <c r="H673" i="2"/>
  <c r="H674" i="2"/>
  <c r="H675" i="2"/>
  <c r="H676" i="2"/>
  <c r="H677" i="2"/>
  <c r="H678" i="2"/>
  <c r="H679" i="2"/>
  <c r="H680" i="2"/>
  <c r="H681" i="2"/>
  <c r="H682" i="2"/>
  <c r="H683" i="2"/>
  <c r="H684" i="2"/>
  <c r="H685" i="2"/>
  <c r="H686" i="2"/>
  <c r="H687" i="2"/>
  <c r="H688" i="2"/>
  <c r="H689" i="2"/>
  <c r="H690" i="2"/>
  <c r="H691" i="2"/>
  <c r="H692" i="2"/>
  <c r="H693" i="2"/>
  <c r="H694" i="2"/>
  <c r="H695" i="2"/>
  <c r="H696" i="2"/>
  <c r="H697" i="2"/>
  <c r="H698" i="2"/>
  <c r="H699" i="2"/>
  <c r="H700" i="2"/>
  <c r="H701" i="2"/>
  <c r="H702" i="2"/>
  <c r="H703" i="2"/>
  <c r="H704" i="2"/>
  <c r="H705" i="2"/>
  <c r="H706" i="2"/>
  <c r="H707" i="2"/>
  <c r="H708" i="2"/>
  <c r="H709" i="2"/>
  <c r="H710" i="2"/>
  <c r="H711" i="2"/>
  <c r="H712" i="2"/>
  <c r="H713" i="2"/>
  <c r="H714" i="2"/>
  <c r="H715" i="2"/>
  <c r="H716" i="2"/>
  <c r="H717" i="2"/>
  <c r="H718" i="2"/>
  <c r="H719" i="2"/>
  <c r="H720" i="2"/>
  <c r="H721" i="2"/>
  <c r="H722" i="2"/>
  <c r="H723" i="2"/>
  <c r="H724" i="2"/>
  <c r="H725" i="2"/>
  <c r="H726" i="2"/>
  <c r="H727" i="2"/>
  <c r="H728" i="2"/>
  <c r="H729" i="2"/>
  <c r="H730" i="2"/>
  <c r="H731" i="2"/>
  <c r="H732" i="2"/>
  <c r="H733" i="2"/>
  <c r="H734" i="2"/>
  <c r="H735" i="2"/>
  <c r="H736" i="2"/>
  <c r="H737" i="2"/>
  <c r="H738" i="2"/>
  <c r="H739" i="2"/>
  <c r="H740" i="2"/>
  <c r="H741" i="2"/>
  <c r="H742" i="2"/>
  <c r="H743" i="2"/>
  <c r="H744" i="2"/>
  <c r="H745" i="2"/>
  <c r="H746" i="2"/>
  <c r="H747" i="2"/>
  <c r="H748" i="2"/>
  <c r="H749" i="2"/>
  <c r="H750" i="2"/>
  <c r="H751" i="2"/>
  <c r="H752" i="2"/>
  <c r="H753" i="2"/>
  <c r="H754" i="2"/>
  <c r="H755" i="2"/>
  <c r="H756" i="2"/>
  <c r="H757" i="2"/>
  <c r="H758" i="2"/>
  <c r="H759" i="2"/>
  <c r="H760" i="2"/>
  <c r="H761" i="2"/>
  <c r="H762" i="2"/>
  <c r="H763" i="2"/>
  <c r="H764" i="2"/>
  <c r="H765" i="2"/>
  <c r="H766" i="2"/>
  <c r="H767" i="2"/>
  <c r="H768" i="2"/>
  <c r="H769" i="2"/>
  <c r="H770" i="2"/>
  <c r="H771" i="2"/>
  <c r="H772" i="2"/>
  <c r="H773" i="2"/>
  <c r="H774" i="2"/>
  <c r="H775" i="2"/>
  <c r="H776" i="2"/>
  <c r="H777" i="2"/>
  <c r="H778" i="2"/>
  <c r="H779" i="2"/>
  <c r="H780" i="2"/>
  <c r="H781" i="2"/>
  <c r="H782" i="2"/>
  <c r="H783" i="2"/>
  <c r="H784" i="2"/>
  <c r="H785" i="2"/>
  <c r="H786" i="2"/>
  <c r="H787" i="2"/>
  <c r="H788" i="2"/>
  <c r="H789" i="2"/>
  <c r="H790" i="2"/>
  <c r="H791" i="2"/>
  <c r="H792" i="2"/>
  <c r="H793" i="2"/>
  <c r="H794" i="2"/>
  <c r="H795" i="2"/>
  <c r="H796" i="2"/>
  <c r="H797" i="2"/>
  <c r="H798" i="2"/>
  <c r="H799" i="2"/>
  <c r="H800" i="2"/>
  <c r="H801" i="2"/>
  <c r="H802" i="2"/>
  <c r="H803" i="2"/>
  <c r="H804" i="2"/>
  <c r="H805" i="2"/>
  <c r="H806" i="2"/>
  <c r="H807" i="2"/>
  <c r="H808" i="2"/>
  <c r="H809" i="2"/>
  <c r="H810" i="2"/>
  <c r="H811" i="2"/>
  <c r="H812" i="2"/>
  <c r="H813" i="2"/>
  <c r="H814" i="2"/>
  <c r="H815" i="2"/>
  <c r="H816" i="2"/>
  <c r="H817" i="2"/>
  <c r="H818" i="2"/>
  <c r="H819" i="2"/>
  <c r="H820" i="2"/>
  <c r="H821" i="2"/>
  <c r="H822" i="2"/>
  <c r="H823" i="2"/>
  <c r="H824" i="2"/>
  <c r="H825" i="2"/>
  <c r="H826" i="2"/>
  <c r="H827" i="2"/>
  <c r="H828" i="2"/>
  <c r="H829" i="2"/>
  <c r="H830" i="2"/>
  <c r="H831" i="2"/>
  <c r="H832" i="2"/>
  <c r="H833" i="2"/>
  <c r="H834" i="2"/>
  <c r="H835" i="2"/>
  <c r="H836" i="2"/>
  <c r="H837" i="2"/>
  <c r="H838" i="2"/>
  <c r="H839" i="2"/>
  <c r="H840" i="2"/>
  <c r="H841" i="2"/>
  <c r="H842" i="2"/>
  <c r="H843" i="2"/>
  <c r="H844" i="2"/>
  <c r="H845" i="2"/>
  <c r="H846" i="2"/>
  <c r="H847" i="2"/>
  <c r="H848" i="2"/>
  <c r="H849" i="2"/>
  <c r="H850" i="2"/>
  <c r="H851" i="2"/>
  <c r="H852" i="2"/>
  <c r="H853" i="2"/>
  <c r="H854" i="2"/>
  <c r="H855" i="2"/>
  <c r="H856" i="2"/>
  <c r="H857" i="2"/>
  <c r="H858" i="2"/>
  <c r="H859" i="2"/>
  <c r="H860" i="2"/>
  <c r="H861" i="2"/>
  <c r="H862" i="2"/>
  <c r="H863" i="2"/>
  <c r="H864" i="2"/>
  <c r="H865" i="2"/>
  <c r="H866" i="2"/>
  <c r="H867" i="2"/>
  <c r="H868" i="2"/>
  <c r="H869" i="2"/>
  <c r="H870" i="2"/>
  <c r="H871" i="2"/>
  <c r="H872" i="2"/>
  <c r="H873" i="2"/>
  <c r="H874" i="2"/>
  <c r="H875" i="2"/>
  <c r="H876" i="2"/>
  <c r="H877" i="2"/>
  <c r="H878" i="2"/>
  <c r="H879" i="2"/>
  <c r="H880" i="2"/>
  <c r="H881" i="2"/>
  <c r="H882" i="2"/>
  <c r="H883" i="2"/>
  <c r="H884" i="2"/>
  <c r="H885" i="2"/>
  <c r="H886" i="2"/>
  <c r="H887" i="2"/>
  <c r="H888" i="2"/>
  <c r="H889" i="2"/>
  <c r="H890" i="2"/>
  <c r="H891" i="2"/>
  <c r="H892" i="2"/>
  <c r="H893" i="2"/>
  <c r="H894" i="2"/>
  <c r="H895" i="2"/>
  <c r="H896" i="2"/>
  <c r="H897" i="2"/>
  <c r="H898" i="2"/>
  <c r="H899" i="2"/>
  <c r="H900" i="2"/>
  <c r="H901" i="2"/>
  <c r="H902" i="2"/>
  <c r="H903" i="2"/>
  <c r="H904" i="2"/>
  <c r="H905" i="2"/>
  <c r="H906" i="2"/>
  <c r="H907" i="2"/>
  <c r="H908" i="2"/>
  <c r="H909" i="2"/>
  <c r="H910" i="2"/>
  <c r="H911" i="2"/>
  <c r="H912" i="2"/>
  <c r="H913" i="2"/>
  <c r="H914" i="2"/>
  <c r="H915" i="2"/>
  <c r="H916" i="2"/>
  <c r="H917" i="2"/>
  <c r="H918" i="2"/>
  <c r="H919" i="2"/>
  <c r="H920" i="2"/>
  <c r="H921" i="2"/>
  <c r="H922" i="2"/>
  <c r="H923" i="2"/>
  <c r="H924" i="2"/>
  <c r="H925" i="2"/>
  <c r="H926" i="2"/>
  <c r="H927" i="2"/>
  <c r="H928" i="2"/>
  <c r="H929" i="2"/>
  <c r="H930" i="2"/>
  <c r="H931" i="2"/>
  <c r="H932" i="2"/>
  <c r="H933" i="2"/>
  <c r="H934" i="2"/>
  <c r="H935" i="2"/>
  <c r="H936" i="2"/>
  <c r="H937" i="2"/>
  <c r="H938" i="2"/>
  <c r="H939" i="2"/>
  <c r="H940" i="2"/>
  <c r="H941" i="2"/>
  <c r="H942" i="2"/>
  <c r="H943" i="2"/>
  <c r="H944" i="2"/>
  <c r="H945" i="2"/>
  <c r="H946" i="2"/>
  <c r="H947" i="2"/>
  <c r="H948" i="2"/>
  <c r="H949" i="2"/>
  <c r="H950" i="2"/>
  <c r="H951" i="2"/>
  <c r="H952" i="2"/>
  <c r="H953" i="2"/>
  <c r="H954" i="2"/>
  <c r="H955" i="2"/>
  <c r="H956" i="2"/>
  <c r="H957" i="2"/>
  <c r="H958" i="2"/>
  <c r="H959" i="2"/>
  <c r="H960" i="2"/>
  <c r="H961" i="2"/>
  <c r="H962" i="2"/>
  <c r="H963" i="2"/>
  <c r="H964" i="2"/>
  <c r="H965" i="2"/>
  <c r="H966" i="2"/>
  <c r="H967" i="2"/>
  <c r="H968" i="2"/>
  <c r="H969" i="2"/>
  <c r="H970" i="2"/>
  <c r="H971" i="2"/>
  <c r="H972" i="2"/>
  <c r="H973" i="2"/>
  <c r="H974" i="2"/>
  <c r="H975" i="2"/>
  <c r="H976" i="2"/>
  <c r="H977" i="2"/>
  <c r="H978" i="2"/>
  <c r="H979" i="2"/>
  <c r="H980" i="2"/>
  <c r="H981" i="2"/>
  <c r="H982" i="2"/>
  <c r="H983" i="2"/>
  <c r="H984" i="2"/>
  <c r="H985" i="2"/>
  <c r="H986" i="2"/>
  <c r="H987" i="2"/>
  <c r="H988" i="2"/>
  <c r="H989" i="2"/>
  <c r="H990" i="2"/>
  <c r="H991" i="2"/>
  <c r="H992" i="2"/>
  <c r="H993" i="2"/>
  <c r="H994" i="2"/>
  <c r="H995" i="2"/>
  <c r="H996" i="2"/>
  <c r="H997" i="2"/>
  <c r="H998" i="2"/>
  <c r="H999" i="2"/>
  <c r="H1000" i="2"/>
  <c r="H1001" i="2"/>
  <c r="H1002" i="2"/>
  <c r="H1003" i="2"/>
  <c r="H1004" i="2"/>
  <c r="H1005" i="2"/>
  <c r="H1006" i="2"/>
  <c r="H1007" i="2"/>
  <c r="H1008" i="2"/>
  <c r="H1009" i="2"/>
  <c r="H1010" i="2"/>
  <c r="H1011" i="2"/>
  <c r="H1012" i="2"/>
  <c r="H1013" i="2"/>
  <c r="H1014" i="2"/>
  <c r="H1015" i="2"/>
  <c r="H1016" i="2"/>
  <c r="H1017" i="2"/>
  <c r="H1018" i="2"/>
  <c r="H1019" i="2"/>
  <c r="H1020" i="2"/>
  <c r="H1021" i="2"/>
  <c r="H1022" i="2"/>
  <c r="H1023" i="2"/>
  <c r="H1024" i="2"/>
  <c r="H1025" i="2"/>
  <c r="H1026" i="2"/>
  <c r="H1027" i="2"/>
  <c r="H1028" i="2"/>
  <c r="H1029" i="2"/>
  <c r="H1030" i="2"/>
  <c r="H1031" i="2"/>
  <c r="H1032" i="2"/>
  <c r="H1033" i="2"/>
  <c r="H1034" i="2"/>
  <c r="H1035" i="2"/>
  <c r="H1036" i="2"/>
  <c r="H1037" i="2"/>
  <c r="H1038" i="2"/>
  <c r="H1039" i="2"/>
  <c r="H1040" i="2"/>
  <c r="H1041" i="2"/>
  <c r="H1042" i="2"/>
  <c r="H1043" i="2"/>
  <c r="H1044" i="2"/>
  <c r="H1045" i="2"/>
  <c r="H1046" i="2"/>
  <c r="H1047" i="2"/>
  <c r="H1048" i="2"/>
  <c r="H1049" i="2"/>
  <c r="H1050" i="2"/>
  <c r="H1051" i="2"/>
  <c r="H1052" i="2"/>
  <c r="H1053" i="2"/>
  <c r="H1054" i="2"/>
  <c r="H1055" i="2"/>
  <c r="H1056" i="2"/>
  <c r="H1057" i="2"/>
  <c r="H1058" i="2"/>
  <c r="H1059" i="2"/>
  <c r="H1060" i="2"/>
  <c r="H1061" i="2"/>
  <c r="H1062" i="2"/>
  <c r="H1063" i="2"/>
  <c r="H1064" i="2"/>
  <c r="H1065" i="2"/>
  <c r="H1066" i="2"/>
  <c r="H1067" i="2"/>
  <c r="H1068" i="2"/>
  <c r="H1069" i="2"/>
  <c r="H1070" i="2"/>
  <c r="H1071" i="2"/>
  <c r="H1072" i="2"/>
  <c r="H1073" i="2"/>
  <c r="H1074" i="2"/>
  <c r="H1075" i="2"/>
  <c r="H1076" i="2"/>
  <c r="H1077" i="2"/>
  <c r="H1078" i="2"/>
  <c r="H1079" i="2"/>
  <c r="H1080" i="2"/>
  <c r="H1081" i="2"/>
  <c r="H1082" i="2"/>
  <c r="H1083" i="2"/>
  <c r="H1084" i="2"/>
  <c r="H1085" i="2"/>
  <c r="H1086" i="2"/>
  <c r="H1087" i="2"/>
  <c r="H1088" i="2"/>
  <c r="H1089" i="2"/>
  <c r="H1090" i="2"/>
  <c r="H1091" i="2"/>
  <c r="H1092" i="2"/>
  <c r="H1093" i="2"/>
  <c r="H1094" i="2"/>
  <c r="H1095" i="2"/>
  <c r="H1096" i="2"/>
  <c r="H1097" i="2"/>
  <c r="H1098" i="2"/>
  <c r="H1099" i="2"/>
  <c r="H1100" i="2"/>
  <c r="H1101" i="2"/>
  <c r="H1102" i="2"/>
  <c r="H1103" i="2"/>
  <c r="H1104" i="2"/>
  <c r="H1105" i="2"/>
  <c r="H1106" i="2"/>
  <c r="H1107" i="2"/>
  <c r="H1108" i="2"/>
  <c r="H1109" i="2"/>
  <c r="H1110" i="2"/>
  <c r="H1111" i="2"/>
  <c r="H1112" i="2"/>
  <c r="H1113" i="2"/>
  <c r="H1114" i="2"/>
  <c r="H1115" i="2"/>
  <c r="H1116" i="2"/>
  <c r="H1117" i="2"/>
  <c r="H1118" i="2"/>
  <c r="H1119" i="2"/>
  <c r="H1120" i="2"/>
  <c r="H1121" i="2"/>
  <c r="H1122" i="2"/>
  <c r="H1123" i="2"/>
  <c r="H1124" i="2"/>
  <c r="H1125" i="2"/>
  <c r="H1126" i="2"/>
  <c r="H1127" i="2"/>
  <c r="H1128" i="2"/>
  <c r="H1129" i="2"/>
  <c r="H1130" i="2"/>
  <c r="H1131" i="2"/>
  <c r="H1132" i="2"/>
  <c r="H1133" i="2"/>
  <c r="H1134" i="2"/>
  <c r="H1135" i="2"/>
  <c r="H1136" i="2"/>
  <c r="H1137" i="2"/>
  <c r="H1138" i="2"/>
  <c r="H1139" i="2"/>
  <c r="H1140" i="2"/>
  <c r="H1141" i="2"/>
  <c r="H1142" i="2"/>
  <c r="H1143" i="2"/>
  <c r="H1144" i="2"/>
  <c r="H1145" i="2"/>
  <c r="H1146" i="2"/>
  <c r="H1147" i="2"/>
  <c r="H1148" i="2"/>
  <c r="H1149" i="2"/>
  <c r="H1150" i="2"/>
  <c r="H1151" i="2"/>
  <c r="H1152" i="2"/>
  <c r="H1153" i="2"/>
  <c r="H1154" i="2"/>
  <c r="H1155" i="2"/>
  <c r="H1156" i="2"/>
  <c r="H1157" i="2"/>
  <c r="H1158" i="2"/>
  <c r="H1159" i="2"/>
  <c r="H1160" i="2"/>
  <c r="H1161" i="2"/>
  <c r="H1162" i="2"/>
  <c r="H1163" i="2"/>
  <c r="H1164" i="2"/>
  <c r="H1165" i="2"/>
  <c r="H1166" i="2"/>
  <c r="H1167" i="2"/>
  <c r="H1168" i="2"/>
  <c r="H1169" i="2"/>
  <c r="H1170" i="2"/>
  <c r="H1171" i="2"/>
  <c r="H1172" i="2"/>
  <c r="H1173" i="2"/>
  <c r="H1174" i="2"/>
  <c r="H1175" i="2"/>
  <c r="H1176" i="2"/>
  <c r="H1177" i="2"/>
  <c r="H1178" i="2"/>
  <c r="H1179" i="2"/>
  <c r="H1180" i="2"/>
  <c r="H1181" i="2"/>
  <c r="H1182" i="2"/>
  <c r="H1183" i="2"/>
  <c r="H1184" i="2"/>
  <c r="H1185" i="2"/>
  <c r="H1186" i="2"/>
  <c r="H1187" i="2"/>
  <c r="H1188" i="2"/>
  <c r="H1189" i="2"/>
  <c r="H1190" i="2"/>
  <c r="H1191" i="2"/>
  <c r="H1192" i="2"/>
  <c r="H1193" i="2"/>
  <c r="H1194" i="2"/>
  <c r="H1195" i="2"/>
  <c r="H1196" i="2"/>
  <c r="H1197" i="2"/>
  <c r="H1198" i="2"/>
  <c r="H1199" i="2"/>
  <c r="H1200" i="2"/>
  <c r="H1201" i="2"/>
  <c r="H1202" i="2"/>
  <c r="H1203" i="2"/>
  <c r="H1204" i="2"/>
  <c r="H1205" i="2"/>
  <c r="H1206" i="2"/>
  <c r="H1207" i="2"/>
  <c r="H1208" i="2"/>
  <c r="H1209" i="2"/>
  <c r="H1210" i="2"/>
  <c r="H1211" i="2"/>
  <c r="H1212" i="2"/>
  <c r="H1213" i="2"/>
  <c r="H1214" i="2"/>
  <c r="H1215" i="2"/>
  <c r="H1216" i="2"/>
  <c r="H1217" i="2"/>
  <c r="H1218" i="2"/>
  <c r="H1219" i="2"/>
  <c r="H1220" i="2"/>
  <c r="H1221" i="2"/>
  <c r="H1222" i="2"/>
  <c r="H1223" i="2"/>
  <c r="H1224" i="2"/>
  <c r="H1225" i="2"/>
  <c r="H1226" i="2"/>
  <c r="H1227" i="2"/>
  <c r="H1228" i="2"/>
  <c r="H1229" i="2"/>
  <c r="H1230" i="2"/>
  <c r="H1231" i="2"/>
  <c r="H1232" i="2"/>
  <c r="H1233" i="2"/>
  <c r="H1234" i="2"/>
  <c r="H1235" i="2"/>
  <c r="H1236" i="2"/>
  <c r="H1237" i="2"/>
  <c r="H1238" i="2"/>
  <c r="H1239" i="2"/>
  <c r="H1240" i="2"/>
  <c r="H1241" i="2"/>
  <c r="H1242" i="2"/>
  <c r="H1243" i="2"/>
  <c r="H1244" i="2"/>
  <c r="H1245" i="2"/>
  <c r="H1246" i="2"/>
  <c r="H1247" i="2"/>
  <c r="H1248" i="2"/>
  <c r="H1249" i="2"/>
  <c r="H1250" i="2"/>
  <c r="H1251" i="2"/>
  <c r="H1252" i="2"/>
  <c r="H1253" i="2"/>
  <c r="H1254" i="2"/>
  <c r="H1255" i="2"/>
  <c r="H1256" i="2"/>
  <c r="H1257" i="2"/>
  <c r="H1258" i="2"/>
  <c r="H1259" i="2"/>
  <c r="H1260" i="2"/>
  <c r="H1261" i="2"/>
  <c r="H1262" i="2"/>
  <c r="H1263" i="2"/>
  <c r="H1264" i="2"/>
  <c r="H1265" i="2"/>
  <c r="H1266" i="2"/>
  <c r="H1267" i="2"/>
  <c r="H1268" i="2"/>
  <c r="H1269" i="2"/>
  <c r="H1270" i="2"/>
  <c r="H1271" i="2"/>
  <c r="H1272" i="2"/>
  <c r="H1273" i="2"/>
  <c r="H1274" i="2"/>
  <c r="H1275" i="2"/>
  <c r="H1276" i="2"/>
  <c r="H1277" i="2"/>
  <c r="H1278" i="2"/>
  <c r="H1279" i="2"/>
  <c r="H1280" i="2"/>
  <c r="H1281" i="2"/>
  <c r="H1282" i="2"/>
  <c r="H1283" i="2"/>
  <c r="H1284" i="2"/>
  <c r="H1285" i="2"/>
  <c r="H1286" i="2"/>
  <c r="H1287" i="2"/>
  <c r="H1288" i="2"/>
  <c r="H1289" i="2"/>
  <c r="H1290" i="2"/>
  <c r="H1291" i="2"/>
  <c r="H1292" i="2"/>
  <c r="H1293" i="2"/>
  <c r="H1294" i="2"/>
  <c r="H1295" i="2"/>
  <c r="H1296" i="2"/>
  <c r="H1297" i="2"/>
  <c r="H1298" i="2"/>
  <c r="H1299" i="2"/>
  <c r="H1300" i="2"/>
  <c r="H1301" i="2"/>
  <c r="H1302" i="2"/>
  <c r="H1303" i="2"/>
  <c r="H1304" i="2"/>
  <c r="H1305" i="2"/>
  <c r="H1306" i="2"/>
  <c r="H1307" i="2"/>
  <c r="H1308" i="2"/>
  <c r="H1309" i="2"/>
  <c r="H1310" i="2"/>
  <c r="H1311" i="2"/>
  <c r="H1312" i="2"/>
  <c r="H1313" i="2"/>
  <c r="H1314" i="2"/>
  <c r="H1315" i="2"/>
  <c r="H1316" i="2"/>
  <c r="H1317" i="2"/>
  <c r="H1318" i="2"/>
  <c r="H1319" i="2"/>
  <c r="H1320" i="2"/>
  <c r="H1321" i="2"/>
  <c r="H1322" i="2"/>
  <c r="H1323" i="2"/>
  <c r="H1324" i="2"/>
  <c r="H1325" i="2"/>
  <c r="H1326" i="2"/>
  <c r="H1327" i="2"/>
  <c r="H1328" i="2"/>
  <c r="H1329" i="2"/>
  <c r="H1330" i="2"/>
  <c r="H1331" i="2"/>
  <c r="H1332" i="2"/>
  <c r="H1333" i="2"/>
  <c r="H1334" i="2"/>
  <c r="H1335" i="2"/>
  <c r="H1336" i="2"/>
  <c r="H1337" i="2"/>
  <c r="H1338" i="2"/>
  <c r="H1339" i="2"/>
  <c r="H1340" i="2"/>
  <c r="H1341" i="2"/>
  <c r="H1342" i="2"/>
  <c r="H1343" i="2"/>
  <c r="H1344" i="2"/>
  <c r="H1345" i="2"/>
  <c r="H1346" i="2"/>
  <c r="H1347" i="2"/>
  <c r="H1348" i="2"/>
  <c r="H1349" i="2"/>
  <c r="H1350" i="2"/>
  <c r="H1351" i="2"/>
  <c r="H1352" i="2"/>
  <c r="H1353" i="2"/>
  <c r="H1354" i="2"/>
  <c r="H1355" i="2"/>
  <c r="H1356" i="2"/>
  <c r="H1357" i="2"/>
  <c r="H1358" i="2"/>
  <c r="H1359" i="2"/>
  <c r="H1360" i="2"/>
  <c r="H1361" i="2"/>
  <c r="H1362" i="2"/>
  <c r="H1363" i="2"/>
  <c r="H1364" i="2"/>
  <c r="H1365" i="2"/>
  <c r="H1366" i="2"/>
  <c r="H1367" i="2"/>
  <c r="H1368" i="2"/>
  <c r="H1369" i="2"/>
  <c r="H1370" i="2"/>
  <c r="H1371" i="2"/>
  <c r="H1372" i="2"/>
  <c r="H1373" i="2"/>
  <c r="H1374" i="2"/>
  <c r="H1375" i="2"/>
  <c r="H1376" i="2"/>
  <c r="H1377" i="2"/>
  <c r="H1378" i="2"/>
  <c r="H1379" i="2"/>
  <c r="H1380" i="2"/>
  <c r="H1381" i="2"/>
  <c r="H1382" i="2"/>
  <c r="H1383" i="2"/>
  <c r="H1384" i="2"/>
  <c r="H1385" i="2"/>
  <c r="H1386" i="2"/>
  <c r="H1387" i="2"/>
  <c r="H1388" i="2"/>
  <c r="H1389" i="2"/>
  <c r="H1390" i="2"/>
  <c r="H1391" i="2"/>
  <c r="H1392" i="2"/>
  <c r="H1393" i="2"/>
  <c r="H1394" i="2"/>
  <c r="H1395" i="2"/>
  <c r="H1396" i="2"/>
  <c r="H1397" i="2"/>
  <c r="H1398" i="2"/>
  <c r="H1399" i="2"/>
  <c r="H1400" i="2"/>
  <c r="H1401" i="2"/>
  <c r="H1402" i="2"/>
  <c r="H1403" i="2"/>
  <c r="H1404" i="2"/>
  <c r="H1405" i="2"/>
  <c r="H1406" i="2"/>
  <c r="H1407" i="2"/>
  <c r="H1408" i="2"/>
  <c r="H1409" i="2"/>
  <c r="H1410" i="2"/>
  <c r="H1411" i="2"/>
  <c r="H1412" i="2"/>
  <c r="H1413" i="2"/>
  <c r="H1414" i="2"/>
  <c r="H1415" i="2"/>
  <c r="H1416" i="2"/>
  <c r="H1417" i="2"/>
  <c r="H1418" i="2"/>
  <c r="H1419" i="2"/>
  <c r="H1420" i="2"/>
  <c r="H1421" i="2"/>
  <c r="H1422" i="2"/>
  <c r="H1423" i="2"/>
  <c r="H1424" i="2"/>
  <c r="H1425" i="2"/>
  <c r="H1426" i="2"/>
  <c r="H1427" i="2"/>
  <c r="H1428" i="2"/>
  <c r="H1429" i="2"/>
  <c r="H1430" i="2"/>
  <c r="H1431" i="2"/>
  <c r="H1432" i="2"/>
  <c r="H1433" i="2"/>
  <c r="H1434" i="2"/>
  <c r="H1435" i="2"/>
  <c r="H1436" i="2"/>
  <c r="H1437" i="2"/>
  <c r="H1438" i="2"/>
  <c r="H1439" i="2"/>
  <c r="H1440" i="2"/>
  <c r="H1441" i="2"/>
  <c r="H1442" i="2"/>
  <c r="H1443" i="2"/>
  <c r="H1444" i="2"/>
  <c r="H1445" i="2"/>
  <c r="H1446" i="2"/>
  <c r="H1447" i="2"/>
  <c r="H1448" i="2"/>
  <c r="H1449" i="2"/>
  <c r="H1450" i="2"/>
  <c r="H1451" i="2"/>
  <c r="H1452" i="2"/>
  <c r="H1453" i="2"/>
  <c r="H1454" i="2"/>
  <c r="H1455" i="2"/>
  <c r="H1456" i="2"/>
  <c r="H1457" i="2"/>
  <c r="H1458" i="2"/>
  <c r="H1459" i="2"/>
  <c r="H1460" i="2"/>
  <c r="H1461" i="2"/>
  <c r="H1462" i="2"/>
  <c r="H1463" i="2"/>
  <c r="H1464" i="2"/>
  <c r="H1465" i="2"/>
  <c r="H1466" i="2"/>
  <c r="H1467" i="2"/>
  <c r="H1468" i="2"/>
  <c r="H1469" i="2"/>
  <c r="H1470" i="2"/>
  <c r="H1471" i="2"/>
  <c r="H1472" i="2"/>
  <c r="H1473" i="2"/>
  <c r="H1474" i="2"/>
  <c r="H1475" i="2"/>
  <c r="H1476" i="2"/>
  <c r="H1477" i="2"/>
  <c r="H1478" i="2"/>
  <c r="H1479" i="2"/>
  <c r="H1480" i="2"/>
  <c r="H1481" i="2"/>
  <c r="H1482" i="2"/>
  <c r="H1483" i="2"/>
  <c r="H1484" i="2"/>
  <c r="H1485" i="2"/>
  <c r="H1486" i="2"/>
  <c r="H1487" i="2"/>
  <c r="H1488" i="2"/>
  <c r="H1489" i="2"/>
  <c r="H1490" i="2"/>
  <c r="H1491" i="2"/>
  <c r="H1492" i="2"/>
  <c r="H1493" i="2"/>
  <c r="H1494" i="2"/>
  <c r="H1495" i="2"/>
  <c r="H1496" i="2"/>
  <c r="H1497" i="2"/>
  <c r="H1498" i="2"/>
  <c r="H1499" i="2"/>
  <c r="H1500" i="2"/>
  <c r="H1501" i="2"/>
  <c r="H1502" i="2"/>
  <c r="H1503" i="2"/>
  <c r="H1504" i="2"/>
  <c r="H1505" i="2"/>
  <c r="H1506" i="2"/>
  <c r="H1507" i="2"/>
  <c r="H1508" i="2"/>
  <c r="H1509" i="2"/>
  <c r="H1510" i="2"/>
  <c r="H1511" i="2"/>
  <c r="H1512" i="2"/>
  <c r="H1513" i="2"/>
  <c r="H1514" i="2"/>
  <c r="H1515" i="2"/>
  <c r="H1516" i="2"/>
  <c r="H1517" i="2"/>
  <c r="H1518" i="2"/>
  <c r="H1519" i="2"/>
  <c r="H1520" i="2"/>
  <c r="H1521" i="2"/>
  <c r="H1522" i="2"/>
  <c r="H1523" i="2"/>
  <c r="H1524" i="2"/>
  <c r="H1525" i="2"/>
  <c r="H1526" i="2"/>
  <c r="H1527" i="2"/>
  <c r="H1528" i="2"/>
  <c r="H1529" i="2"/>
  <c r="H1530" i="2"/>
  <c r="H1531" i="2"/>
  <c r="H1532" i="2"/>
  <c r="H1533" i="2"/>
  <c r="H1534" i="2"/>
  <c r="H1535" i="2"/>
  <c r="H1536" i="2"/>
  <c r="H1537" i="2"/>
  <c r="H1538" i="2"/>
  <c r="H1539" i="2"/>
  <c r="H1540" i="2"/>
  <c r="H1541" i="2"/>
  <c r="H1542" i="2"/>
  <c r="H1543" i="2"/>
  <c r="H1544" i="2"/>
  <c r="H1545" i="2"/>
  <c r="H1546" i="2"/>
  <c r="H1547" i="2"/>
  <c r="H1548" i="2"/>
  <c r="H1549" i="2"/>
  <c r="H1550" i="2"/>
  <c r="H1551" i="2"/>
  <c r="H1552" i="2"/>
  <c r="H1553" i="2"/>
  <c r="H1554" i="2"/>
  <c r="H1555" i="2"/>
  <c r="H1556" i="2"/>
  <c r="H1557" i="2"/>
  <c r="H1558" i="2"/>
  <c r="H1559" i="2"/>
  <c r="H1560" i="2"/>
  <c r="H1561" i="2"/>
  <c r="H1562" i="2"/>
  <c r="H1563" i="2"/>
  <c r="H1564" i="2"/>
  <c r="H1565" i="2"/>
  <c r="H1566" i="2"/>
  <c r="H1567" i="2"/>
  <c r="H1568" i="2"/>
  <c r="H1569" i="2"/>
  <c r="H1570" i="2"/>
  <c r="H1571" i="2"/>
  <c r="H1572" i="2"/>
  <c r="H1573" i="2"/>
  <c r="H1574" i="2"/>
  <c r="H1575" i="2"/>
  <c r="H1576" i="2"/>
  <c r="H1577" i="2"/>
  <c r="H1578" i="2"/>
  <c r="H1579" i="2"/>
  <c r="H1580" i="2"/>
  <c r="H1581" i="2"/>
  <c r="H1582" i="2"/>
  <c r="H1583" i="2"/>
  <c r="H1584" i="2"/>
  <c r="H1585" i="2"/>
  <c r="H1586" i="2"/>
  <c r="H1587" i="2"/>
  <c r="H1588" i="2"/>
  <c r="H1589" i="2"/>
  <c r="H1590" i="2"/>
  <c r="H1591" i="2"/>
  <c r="H1592" i="2"/>
  <c r="H1593" i="2"/>
  <c r="H1594" i="2"/>
  <c r="H1595" i="2"/>
  <c r="H1596" i="2"/>
  <c r="H1597" i="2"/>
  <c r="H1598" i="2"/>
  <c r="H1599" i="2"/>
  <c r="H1600" i="2"/>
  <c r="H1601" i="2"/>
  <c r="H1602" i="2"/>
  <c r="H1603" i="2"/>
  <c r="H1604" i="2"/>
  <c r="H1605" i="2"/>
  <c r="H1606" i="2"/>
  <c r="H1607" i="2"/>
  <c r="H1608" i="2"/>
  <c r="H1609" i="2"/>
  <c r="H1610" i="2"/>
  <c r="H1611" i="2"/>
  <c r="H1612" i="2"/>
  <c r="H1613" i="2"/>
  <c r="H1614" i="2"/>
  <c r="H1615" i="2"/>
  <c r="H1616" i="2"/>
  <c r="H1617" i="2"/>
  <c r="H1618" i="2"/>
  <c r="H1619" i="2"/>
  <c r="H1620" i="2"/>
  <c r="H1621" i="2"/>
  <c r="H1622" i="2"/>
  <c r="H1623" i="2"/>
  <c r="H1624" i="2"/>
  <c r="H1625" i="2"/>
  <c r="H1626" i="2"/>
  <c r="H1627" i="2"/>
  <c r="H1628" i="2"/>
  <c r="H1629" i="2"/>
  <c r="H1630" i="2"/>
  <c r="H1631" i="2"/>
  <c r="H1632" i="2"/>
  <c r="H1633" i="2"/>
  <c r="H1634" i="2"/>
  <c r="H1635" i="2"/>
  <c r="H1636" i="2"/>
  <c r="H1637" i="2"/>
  <c r="H1638" i="2"/>
  <c r="H1639" i="2"/>
  <c r="H1640" i="2"/>
  <c r="H1641" i="2"/>
  <c r="H1642" i="2"/>
  <c r="H1643" i="2"/>
  <c r="H1644" i="2"/>
  <c r="H1645" i="2"/>
  <c r="H1646" i="2"/>
  <c r="H1647" i="2"/>
  <c r="H1648" i="2"/>
  <c r="H1649" i="2"/>
  <c r="H1650" i="2"/>
  <c r="H1651" i="2"/>
  <c r="H1652" i="2"/>
  <c r="H1653" i="2"/>
  <c r="H1654" i="2"/>
  <c r="H1655" i="2"/>
  <c r="H1656" i="2"/>
  <c r="H1657" i="2"/>
  <c r="H1658" i="2"/>
  <c r="H1659" i="2"/>
  <c r="H1660" i="2"/>
  <c r="H1661" i="2"/>
  <c r="H1662" i="2"/>
  <c r="H1663" i="2"/>
  <c r="H1664" i="2"/>
  <c r="H1665" i="2"/>
  <c r="H1666" i="2"/>
  <c r="H1667" i="2"/>
  <c r="H1668" i="2"/>
  <c r="H1669" i="2"/>
  <c r="H1670" i="2"/>
  <c r="H1671" i="2"/>
  <c r="H1672" i="2"/>
  <c r="H1673" i="2"/>
  <c r="H1674" i="2"/>
  <c r="H1675" i="2"/>
  <c r="H1676" i="2"/>
  <c r="H1677" i="2"/>
  <c r="H1678" i="2"/>
  <c r="H1679" i="2"/>
  <c r="H1680" i="2"/>
  <c r="H1681" i="2"/>
  <c r="H1682" i="2"/>
  <c r="H1683" i="2"/>
  <c r="H1684" i="2"/>
  <c r="H1685" i="2"/>
  <c r="H1686" i="2"/>
  <c r="H1687" i="2"/>
  <c r="H1688" i="2"/>
  <c r="H1689" i="2"/>
  <c r="H1690" i="2"/>
  <c r="H1691" i="2"/>
  <c r="H1692" i="2"/>
  <c r="H1693" i="2"/>
  <c r="H1694" i="2"/>
  <c r="H1695" i="2"/>
  <c r="H1696" i="2"/>
  <c r="H1697" i="2"/>
  <c r="H1698" i="2"/>
  <c r="H1699" i="2"/>
  <c r="H1700" i="2"/>
  <c r="H1701" i="2"/>
  <c r="H1702" i="2"/>
  <c r="H1703" i="2"/>
  <c r="H1704" i="2"/>
  <c r="H1705" i="2"/>
  <c r="H1706" i="2"/>
  <c r="H1707" i="2"/>
  <c r="H1708" i="2"/>
  <c r="H1709" i="2"/>
  <c r="H1710" i="2"/>
  <c r="H1711" i="2"/>
  <c r="H1712" i="2"/>
  <c r="H1713" i="2"/>
  <c r="H1714" i="2"/>
  <c r="H1715" i="2"/>
  <c r="H1716" i="2"/>
  <c r="H1717" i="2"/>
  <c r="H1718" i="2"/>
  <c r="H1719" i="2"/>
  <c r="H1720" i="2"/>
  <c r="H1721" i="2"/>
  <c r="H1722" i="2"/>
  <c r="H1723" i="2"/>
  <c r="H1724" i="2"/>
  <c r="H1725" i="2"/>
  <c r="H1726" i="2"/>
  <c r="H1727" i="2"/>
  <c r="H1728" i="2"/>
  <c r="H1729" i="2"/>
  <c r="H1730" i="2"/>
  <c r="H1731" i="2"/>
  <c r="H1732" i="2"/>
  <c r="H1733" i="2"/>
  <c r="H1734" i="2"/>
  <c r="H1735" i="2"/>
  <c r="H1736" i="2"/>
  <c r="H1737" i="2"/>
  <c r="H1738" i="2"/>
  <c r="H1739" i="2"/>
  <c r="H1740" i="2"/>
  <c r="H1741" i="2"/>
  <c r="H1742" i="2"/>
  <c r="H1743" i="2"/>
  <c r="H1744" i="2"/>
  <c r="H1745" i="2"/>
  <c r="H1746" i="2"/>
  <c r="H1747" i="2"/>
  <c r="H1748" i="2"/>
  <c r="H1749" i="2"/>
  <c r="H1750" i="2"/>
  <c r="H1751" i="2"/>
  <c r="H1752" i="2"/>
  <c r="H1753" i="2"/>
  <c r="H1754" i="2"/>
  <c r="H1755" i="2"/>
  <c r="H1756" i="2"/>
  <c r="H1757" i="2"/>
  <c r="H1758" i="2"/>
  <c r="H1759" i="2"/>
  <c r="H1760" i="2"/>
  <c r="H1761" i="2"/>
  <c r="H1762" i="2"/>
  <c r="H1763" i="2"/>
  <c r="H1764" i="2"/>
  <c r="H1765" i="2"/>
  <c r="H1766" i="2"/>
  <c r="H1767" i="2"/>
  <c r="H1768" i="2"/>
  <c r="H1769" i="2"/>
  <c r="H1770" i="2"/>
  <c r="H1771" i="2"/>
  <c r="H1772" i="2"/>
  <c r="H1773" i="2"/>
  <c r="H1774" i="2"/>
  <c r="H1775" i="2"/>
  <c r="H1776" i="2"/>
  <c r="H1777" i="2"/>
  <c r="H1778" i="2"/>
  <c r="H1779" i="2"/>
  <c r="H1780" i="2"/>
  <c r="H1781" i="2"/>
  <c r="H1782" i="2"/>
  <c r="H1783" i="2"/>
  <c r="H1784" i="2"/>
  <c r="H1785" i="2"/>
  <c r="H1786" i="2"/>
  <c r="H1787" i="2"/>
  <c r="H1788" i="2"/>
  <c r="H1789" i="2"/>
  <c r="H1790" i="2"/>
  <c r="H1791" i="2"/>
  <c r="H1792" i="2"/>
  <c r="H1793" i="2"/>
  <c r="H1794" i="2"/>
  <c r="H1795" i="2"/>
  <c r="H1796" i="2"/>
  <c r="H1797" i="2"/>
  <c r="H1798" i="2"/>
  <c r="H1799" i="2"/>
  <c r="H1800" i="2"/>
  <c r="H1801" i="2"/>
  <c r="H1802" i="2"/>
  <c r="H1803" i="2"/>
  <c r="H1804" i="2"/>
  <c r="H1805" i="2"/>
  <c r="H1806" i="2"/>
  <c r="H1807" i="2"/>
  <c r="H1808" i="2"/>
  <c r="H1809" i="2"/>
  <c r="H1810" i="2"/>
  <c r="H1811" i="2"/>
  <c r="H1812" i="2"/>
  <c r="H1813" i="2"/>
  <c r="H1814" i="2"/>
  <c r="H1815" i="2"/>
  <c r="H1816" i="2"/>
  <c r="H1817" i="2"/>
  <c r="H1818" i="2"/>
  <c r="H1819" i="2"/>
  <c r="H1820" i="2"/>
  <c r="H1821" i="2"/>
  <c r="H1822" i="2"/>
  <c r="H1823" i="2"/>
  <c r="H1824" i="2"/>
  <c r="H1825" i="2"/>
  <c r="H1826" i="2"/>
  <c r="H1827" i="2"/>
  <c r="H1828" i="2"/>
  <c r="H1829" i="2"/>
  <c r="H1830" i="2"/>
  <c r="H1831" i="2"/>
  <c r="H1832" i="2"/>
  <c r="H1833" i="2"/>
  <c r="H1834" i="2"/>
  <c r="H1835" i="2"/>
  <c r="H1836" i="2"/>
  <c r="H1837" i="2"/>
  <c r="H1838" i="2"/>
  <c r="H1839" i="2"/>
  <c r="H1840" i="2"/>
  <c r="H1841" i="2"/>
  <c r="H1842" i="2"/>
  <c r="H1843" i="2"/>
  <c r="H1844" i="2"/>
  <c r="H1845" i="2"/>
  <c r="H1846" i="2"/>
  <c r="H1847" i="2"/>
  <c r="H1848" i="2"/>
  <c r="H1849" i="2"/>
  <c r="H1850" i="2"/>
  <c r="H1851" i="2"/>
  <c r="H1852" i="2"/>
  <c r="H1853" i="2"/>
  <c r="H1854" i="2"/>
  <c r="H1855" i="2"/>
  <c r="H1856" i="2"/>
  <c r="H1857" i="2"/>
  <c r="H1858" i="2"/>
  <c r="H1859" i="2"/>
  <c r="H1860" i="2"/>
  <c r="H1861" i="2"/>
  <c r="H1862" i="2"/>
  <c r="H1863" i="2"/>
  <c r="H1864" i="2"/>
  <c r="H1865" i="2"/>
  <c r="H1866" i="2"/>
  <c r="H1867" i="2"/>
  <c r="H1868" i="2"/>
  <c r="H1869" i="2"/>
  <c r="H1870" i="2"/>
  <c r="H1871" i="2"/>
  <c r="H1872" i="2"/>
  <c r="H1873" i="2"/>
  <c r="H1874" i="2"/>
  <c r="H1875" i="2"/>
  <c r="H1876" i="2"/>
  <c r="H1877" i="2"/>
  <c r="H1878" i="2"/>
  <c r="H1879" i="2"/>
  <c r="H1880" i="2"/>
  <c r="H1881" i="2"/>
  <c r="H1882" i="2"/>
  <c r="H1883" i="2"/>
  <c r="H1884" i="2"/>
  <c r="H1885" i="2"/>
  <c r="H1886" i="2"/>
  <c r="H1887" i="2"/>
  <c r="H1888" i="2"/>
  <c r="H1889" i="2"/>
  <c r="H1890" i="2"/>
  <c r="H1891" i="2"/>
  <c r="H1892" i="2"/>
  <c r="H1893" i="2"/>
  <c r="H1894" i="2"/>
  <c r="H1895" i="2"/>
  <c r="H1896" i="2"/>
  <c r="H1897" i="2"/>
  <c r="H1898" i="2"/>
  <c r="H1899" i="2"/>
  <c r="H1900" i="2"/>
  <c r="H1901" i="2"/>
  <c r="H1902" i="2"/>
  <c r="H1903" i="2"/>
  <c r="H1904" i="2"/>
  <c r="H1905" i="2"/>
  <c r="H1906" i="2"/>
  <c r="H1907" i="2"/>
  <c r="H1908" i="2"/>
  <c r="H1909" i="2"/>
  <c r="H1910" i="2"/>
  <c r="H1911" i="2"/>
  <c r="H1912" i="2"/>
  <c r="H1913" i="2"/>
  <c r="H1914" i="2"/>
  <c r="H1915" i="2"/>
  <c r="H1916" i="2"/>
  <c r="H1917" i="2"/>
  <c r="H1918" i="2"/>
  <c r="H1919" i="2"/>
  <c r="H1920" i="2"/>
  <c r="H1921" i="2"/>
  <c r="H1922" i="2"/>
  <c r="H1923" i="2"/>
  <c r="H1924" i="2"/>
  <c r="H1925" i="2"/>
  <c r="H1926" i="2"/>
  <c r="H1927" i="2"/>
  <c r="H1928" i="2"/>
  <c r="H1929" i="2"/>
  <c r="H1930" i="2"/>
  <c r="H1931" i="2"/>
  <c r="H1932" i="2"/>
  <c r="H1933" i="2"/>
  <c r="H1934" i="2"/>
  <c r="H1935" i="2"/>
  <c r="H1936" i="2"/>
  <c r="H1937" i="2"/>
  <c r="H1938" i="2"/>
  <c r="H1939" i="2"/>
  <c r="H1940" i="2"/>
  <c r="H1941" i="2"/>
  <c r="H1942" i="2"/>
  <c r="H1943" i="2"/>
  <c r="H1944" i="2"/>
  <c r="H1945" i="2"/>
  <c r="H1946" i="2"/>
  <c r="H1947" i="2"/>
  <c r="H1948" i="2"/>
  <c r="H1949" i="2"/>
  <c r="H1950" i="2"/>
  <c r="H1951" i="2"/>
  <c r="H1952" i="2"/>
  <c r="H1953" i="2"/>
  <c r="H1954" i="2"/>
  <c r="H1955" i="2"/>
  <c r="H1956" i="2"/>
  <c r="H1957" i="2"/>
  <c r="H1958" i="2"/>
  <c r="H1959" i="2"/>
  <c r="H1960" i="2"/>
  <c r="H1961" i="2"/>
  <c r="H1962" i="2"/>
  <c r="H1963" i="2"/>
  <c r="H1964" i="2"/>
  <c r="H1965" i="2"/>
  <c r="H1966" i="2"/>
  <c r="H1967" i="2"/>
  <c r="H1968" i="2"/>
  <c r="H1969" i="2"/>
  <c r="H1970" i="2"/>
  <c r="H1971" i="2"/>
  <c r="H1972" i="2"/>
  <c r="H1973" i="2"/>
  <c r="H1974" i="2"/>
  <c r="H1975" i="2"/>
  <c r="H1976" i="2"/>
  <c r="H1977" i="2"/>
  <c r="H1978" i="2"/>
  <c r="H1979" i="2"/>
  <c r="H1980" i="2"/>
  <c r="H1981" i="2"/>
  <c r="H1982" i="2"/>
  <c r="H1983" i="2"/>
  <c r="H1984" i="2"/>
  <c r="H1985" i="2"/>
  <c r="H1986" i="2"/>
  <c r="H1987" i="2"/>
  <c r="H1988" i="2"/>
  <c r="H1989" i="2"/>
  <c r="H1990" i="2"/>
  <c r="H1991" i="2"/>
  <c r="H1992" i="2"/>
  <c r="H1993" i="2"/>
  <c r="H1994" i="2"/>
  <c r="H1995" i="2"/>
  <c r="H1996" i="2"/>
  <c r="H1997" i="2"/>
  <c r="H1998" i="2"/>
  <c r="H1999" i="2"/>
  <c r="H2000" i="2"/>
  <c r="H2001" i="2"/>
  <c r="H2002" i="2"/>
  <c r="H2003" i="2"/>
  <c r="H2004" i="2"/>
  <c r="H2005" i="2"/>
  <c r="H2006" i="2"/>
  <c r="H2007" i="2"/>
  <c r="H2008" i="2"/>
  <c r="H2009" i="2"/>
  <c r="H2010" i="2"/>
  <c r="H2011" i="2"/>
  <c r="H2012" i="2"/>
  <c r="H2013" i="2"/>
  <c r="H2014" i="2"/>
  <c r="H2015" i="2"/>
  <c r="H2016" i="2"/>
  <c r="H2017" i="2"/>
  <c r="H2018" i="2"/>
  <c r="H2019" i="2"/>
  <c r="H2020" i="2"/>
  <c r="H2021" i="2"/>
  <c r="H2022" i="2"/>
  <c r="H2023" i="2"/>
  <c r="H2024" i="2"/>
  <c r="H2025" i="2"/>
  <c r="H2026" i="2"/>
  <c r="H2027" i="2"/>
  <c r="H2028" i="2"/>
  <c r="H2029" i="2"/>
  <c r="H2030" i="2"/>
  <c r="H2031" i="2"/>
  <c r="H2032" i="2"/>
  <c r="H2033" i="2"/>
  <c r="H2034" i="2"/>
  <c r="H2035" i="2"/>
  <c r="H2036" i="2"/>
  <c r="H2037" i="2"/>
  <c r="H2038" i="2"/>
  <c r="H2039" i="2"/>
  <c r="H2040" i="2"/>
  <c r="H2041" i="2"/>
  <c r="H2042" i="2"/>
  <c r="H2043" i="2"/>
  <c r="H2044" i="2"/>
  <c r="H2045" i="2"/>
  <c r="H2046" i="2"/>
  <c r="H2047" i="2"/>
  <c r="H2048" i="2"/>
  <c r="H2049" i="2"/>
  <c r="H2050" i="2"/>
  <c r="H2051" i="2"/>
  <c r="H2052" i="2"/>
  <c r="H2053" i="2"/>
  <c r="H2054" i="2"/>
  <c r="H2055" i="2"/>
  <c r="H2056" i="2"/>
  <c r="H2057" i="2"/>
  <c r="H2058" i="2"/>
  <c r="H2059" i="2"/>
  <c r="H2060" i="2"/>
  <c r="H2061" i="2"/>
  <c r="H2062" i="2"/>
  <c r="H2063" i="2"/>
  <c r="H2064" i="2"/>
  <c r="H2065" i="2"/>
  <c r="H2066" i="2"/>
  <c r="H2067" i="2"/>
  <c r="H2068" i="2"/>
  <c r="H2069" i="2"/>
  <c r="H2070" i="2"/>
  <c r="H2071" i="2"/>
  <c r="H2072" i="2"/>
  <c r="H2073" i="2"/>
  <c r="H2074" i="2"/>
  <c r="H2075" i="2"/>
  <c r="H2076" i="2"/>
  <c r="H2077" i="2"/>
  <c r="H2078" i="2"/>
  <c r="H2079" i="2"/>
  <c r="H2080" i="2"/>
  <c r="H2081" i="2"/>
  <c r="H2082" i="2"/>
  <c r="H2083" i="2"/>
  <c r="H2084" i="2"/>
  <c r="H2085" i="2"/>
  <c r="H2086" i="2"/>
  <c r="H2087" i="2"/>
  <c r="H2088" i="2"/>
  <c r="H2089" i="2"/>
  <c r="H2090" i="2"/>
  <c r="H2091" i="2"/>
  <c r="H2092" i="2"/>
  <c r="H2093" i="2"/>
  <c r="H2094" i="2"/>
  <c r="H2095" i="2"/>
  <c r="H2096" i="2"/>
  <c r="H2097" i="2"/>
  <c r="H2098" i="2"/>
  <c r="H2099" i="2"/>
  <c r="H2100" i="2"/>
  <c r="H2101" i="2"/>
  <c r="H2102" i="2"/>
  <c r="H2103" i="2"/>
  <c r="H2104" i="2"/>
  <c r="H2105" i="2"/>
  <c r="H2106" i="2"/>
  <c r="H2107" i="2"/>
  <c r="H2108" i="2"/>
  <c r="H2109" i="2"/>
  <c r="H2110" i="2"/>
  <c r="H2111" i="2"/>
  <c r="H2112" i="2"/>
  <c r="H2113" i="2"/>
  <c r="H2114" i="2"/>
  <c r="H2115" i="2"/>
  <c r="H2116" i="2"/>
  <c r="H2117" i="2"/>
  <c r="H2118" i="2"/>
  <c r="H2119" i="2"/>
  <c r="H2120" i="2"/>
  <c r="H2121" i="2"/>
  <c r="H2122" i="2"/>
  <c r="H2123" i="2"/>
  <c r="H2124" i="2"/>
  <c r="H2125" i="2"/>
  <c r="H2126" i="2"/>
  <c r="H2127" i="2"/>
  <c r="H2128" i="2"/>
  <c r="H2129" i="2"/>
  <c r="H2130" i="2"/>
  <c r="H2131" i="2"/>
  <c r="H2132" i="2"/>
  <c r="H2133" i="2"/>
  <c r="H2134" i="2"/>
  <c r="H2135" i="2"/>
  <c r="H2136" i="2"/>
  <c r="H2137" i="2"/>
  <c r="H2138" i="2"/>
  <c r="H2139" i="2"/>
  <c r="H2140" i="2"/>
  <c r="H2141" i="2"/>
  <c r="H2142" i="2"/>
  <c r="H2143" i="2"/>
  <c r="H2144" i="2"/>
  <c r="H2145" i="2"/>
  <c r="H2146" i="2"/>
  <c r="H2147" i="2"/>
  <c r="H2148" i="2"/>
  <c r="H2149" i="2"/>
  <c r="H2150" i="2"/>
  <c r="H2151" i="2"/>
  <c r="H2152" i="2"/>
  <c r="H2153" i="2"/>
  <c r="H2154" i="2"/>
  <c r="H2155" i="2"/>
  <c r="H2156" i="2"/>
  <c r="H2157" i="2"/>
  <c r="H2158" i="2"/>
  <c r="H2159" i="2"/>
  <c r="H2160" i="2"/>
  <c r="H2161" i="2"/>
  <c r="H2162" i="2"/>
  <c r="H2163" i="2"/>
  <c r="H2164" i="2"/>
  <c r="H2165" i="2"/>
  <c r="H2166" i="2"/>
  <c r="H2167" i="2"/>
  <c r="H2168" i="2"/>
  <c r="H2169" i="2"/>
  <c r="H2170" i="2"/>
  <c r="H2171" i="2"/>
  <c r="H2172" i="2"/>
  <c r="H2173" i="2"/>
  <c r="H2174" i="2"/>
  <c r="H2175" i="2"/>
  <c r="H2176" i="2"/>
  <c r="H2177" i="2"/>
  <c r="H2178" i="2"/>
  <c r="H2179" i="2"/>
  <c r="H2180" i="2"/>
  <c r="H2181" i="2"/>
  <c r="H2182" i="2"/>
  <c r="H2183" i="2"/>
  <c r="H2184" i="2"/>
  <c r="H2185" i="2"/>
  <c r="H2186" i="2"/>
  <c r="H2187" i="2"/>
  <c r="H2188" i="2"/>
  <c r="H2189" i="2"/>
  <c r="H2190" i="2"/>
  <c r="H2191" i="2"/>
  <c r="H2192" i="2"/>
  <c r="H2193" i="2"/>
  <c r="H2194" i="2"/>
  <c r="H2195" i="2"/>
  <c r="H2196" i="2"/>
  <c r="H2197" i="2"/>
  <c r="H2198" i="2"/>
  <c r="H2199" i="2"/>
  <c r="H2200" i="2"/>
  <c r="H2201" i="2"/>
  <c r="H2202" i="2"/>
  <c r="H2203" i="2"/>
  <c r="H2204" i="2"/>
  <c r="H2205" i="2"/>
  <c r="H2206" i="2"/>
  <c r="H2207" i="2"/>
  <c r="H2208" i="2"/>
  <c r="H2209" i="2"/>
  <c r="H2210" i="2"/>
  <c r="H2211" i="2"/>
  <c r="H2212" i="2"/>
  <c r="H2213" i="2"/>
  <c r="H2214" i="2"/>
  <c r="H2215" i="2"/>
  <c r="H2216" i="2"/>
  <c r="H2217" i="2"/>
  <c r="H2218" i="2"/>
  <c r="H2219" i="2"/>
  <c r="H2220" i="2"/>
  <c r="H2221" i="2"/>
  <c r="H2222" i="2"/>
  <c r="H2223" i="2"/>
  <c r="H2224" i="2"/>
  <c r="H2225" i="2"/>
  <c r="H2226" i="2"/>
  <c r="H2227" i="2"/>
  <c r="H2228" i="2"/>
  <c r="H2229" i="2"/>
  <c r="H2230" i="2"/>
  <c r="H2231" i="2"/>
  <c r="H2232" i="2"/>
  <c r="H2233" i="2"/>
  <c r="H2234" i="2"/>
  <c r="H2235" i="2"/>
  <c r="H2236" i="2"/>
  <c r="H2237" i="2"/>
  <c r="H2238" i="2"/>
  <c r="H2239" i="2"/>
  <c r="H2240" i="2"/>
  <c r="H2241" i="2"/>
  <c r="H2242" i="2"/>
  <c r="H2243" i="2"/>
  <c r="H2244" i="2"/>
  <c r="H2245" i="2"/>
  <c r="H2246" i="2"/>
  <c r="H2247" i="2"/>
  <c r="H2248" i="2"/>
  <c r="H2249" i="2"/>
  <c r="H2250" i="2"/>
  <c r="H2251" i="2"/>
  <c r="H2252" i="2"/>
  <c r="H2253" i="2"/>
  <c r="H2254" i="2"/>
  <c r="H2255" i="2"/>
  <c r="H2256" i="2"/>
  <c r="H2257" i="2"/>
  <c r="H2258" i="2"/>
  <c r="H2259" i="2"/>
  <c r="H2260" i="2"/>
  <c r="H2261" i="2"/>
  <c r="H2262" i="2"/>
  <c r="H2263" i="2"/>
  <c r="H2264" i="2"/>
  <c r="H2265" i="2"/>
  <c r="H2266" i="2"/>
  <c r="H2267" i="2"/>
  <c r="H2268" i="2"/>
  <c r="H2269" i="2"/>
  <c r="H2270" i="2"/>
  <c r="H2271" i="2"/>
  <c r="H2272" i="2"/>
  <c r="H2273" i="2"/>
  <c r="H2274" i="2"/>
  <c r="H2275" i="2"/>
  <c r="H2276" i="2"/>
  <c r="H2277" i="2"/>
  <c r="H2278" i="2"/>
  <c r="H2279" i="2"/>
  <c r="H2280" i="2"/>
  <c r="H2281" i="2"/>
  <c r="H2282" i="2"/>
  <c r="H2283" i="2"/>
  <c r="H2284" i="2"/>
  <c r="H2285" i="2"/>
  <c r="H2286" i="2"/>
  <c r="H2287" i="2"/>
  <c r="H2288" i="2"/>
  <c r="H2289" i="2"/>
  <c r="H2290" i="2"/>
  <c r="H2291" i="2"/>
  <c r="H2292" i="2"/>
  <c r="H2293" i="2"/>
  <c r="H2294" i="2"/>
  <c r="H2295" i="2"/>
  <c r="H2296" i="2"/>
  <c r="H2297" i="2"/>
  <c r="H2298" i="2"/>
  <c r="H2299" i="2"/>
  <c r="H2300" i="2"/>
  <c r="H2301" i="2"/>
  <c r="H2302" i="2"/>
  <c r="H2303" i="2"/>
  <c r="H2304" i="2"/>
  <c r="H2305" i="2"/>
  <c r="H2306" i="2"/>
  <c r="H2307" i="2"/>
  <c r="H2308" i="2"/>
  <c r="H2309" i="2"/>
  <c r="H2310" i="2"/>
  <c r="H2311" i="2"/>
  <c r="H2312" i="2"/>
  <c r="H2313" i="2"/>
  <c r="H2314" i="2"/>
  <c r="H2315" i="2"/>
  <c r="H2316" i="2"/>
  <c r="H2317" i="2"/>
  <c r="H2318" i="2"/>
  <c r="H2319" i="2"/>
  <c r="H2320" i="2"/>
  <c r="H2321" i="2"/>
  <c r="H2322" i="2"/>
  <c r="H2323" i="2"/>
  <c r="H2324" i="2"/>
  <c r="H2325" i="2"/>
  <c r="H2326" i="2"/>
  <c r="H2327" i="2"/>
  <c r="H2328" i="2"/>
  <c r="H2329" i="2"/>
  <c r="H2330" i="2"/>
  <c r="H2331" i="2"/>
  <c r="H2332" i="2"/>
  <c r="H2333" i="2"/>
  <c r="H2334" i="2"/>
  <c r="H2335" i="2"/>
  <c r="H2336" i="2"/>
  <c r="H2337" i="2"/>
  <c r="H2338" i="2"/>
  <c r="H2339" i="2"/>
  <c r="H2340" i="2"/>
  <c r="H2341" i="2"/>
  <c r="H2342" i="2"/>
  <c r="H2343" i="2"/>
  <c r="H2344" i="2"/>
  <c r="H2345" i="2"/>
  <c r="H2346" i="2"/>
  <c r="H2347" i="2"/>
  <c r="H2348" i="2"/>
  <c r="H2349" i="2"/>
  <c r="H2350" i="2"/>
  <c r="H2351" i="2"/>
  <c r="H2352" i="2"/>
  <c r="H2353" i="2"/>
  <c r="H2354" i="2"/>
  <c r="H2355" i="2"/>
  <c r="H2356" i="2"/>
  <c r="H2357" i="2"/>
  <c r="H2358" i="2"/>
  <c r="H2359" i="2"/>
  <c r="H2360" i="2"/>
  <c r="H2361" i="2"/>
  <c r="H2362" i="2"/>
  <c r="H2363" i="2"/>
  <c r="H2364" i="2"/>
  <c r="H2365" i="2"/>
  <c r="H2366" i="2"/>
  <c r="H2367" i="2"/>
  <c r="H2368" i="2"/>
  <c r="H2369" i="2"/>
  <c r="H2370" i="2"/>
  <c r="H2371" i="2"/>
  <c r="H2372" i="2"/>
  <c r="H2373" i="2"/>
  <c r="H2374" i="2"/>
  <c r="H2375" i="2"/>
  <c r="H2376" i="2"/>
  <c r="H2377" i="2"/>
  <c r="H2378" i="2"/>
  <c r="H2379" i="2"/>
  <c r="H2380" i="2"/>
  <c r="H2381" i="2"/>
  <c r="H2382" i="2"/>
  <c r="H2383" i="2"/>
  <c r="H2384" i="2"/>
  <c r="H2385" i="2"/>
  <c r="H2386" i="2"/>
  <c r="H2387" i="2"/>
  <c r="H2388" i="2"/>
  <c r="H2389" i="2"/>
  <c r="H2390" i="2"/>
  <c r="H2391" i="2"/>
  <c r="H2392" i="2"/>
  <c r="H2393" i="2"/>
  <c r="H2394" i="2"/>
  <c r="H2395" i="2"/>
  <c r="H2396" i="2"/>
  <c r="H2397" i="2"/>
  <c r="H2398" i="2"/>
  <c r="H2399" i="2"/>
  <c r="H2400" i="2"/>
  <c r="H2401" i="2"/>
  <c r="H2402" i="2"/>
  <c r="H2403" i="2"/>
  <c r="H2404" i="2"/>
  <c r="H2405" i="2"/>
  <c r="H2406" i="2"/>
  <c r="H2407" i="2"/>
  <c r="H2408" i="2"/>
  <c r="H2409" i="2"/>
  <c r="H2410" i="2"/>
  <c r="H2411" i="2"/>
  <c r="H2412" i="2"/>
  <c r="H2413" i="2"/>
  <c r="H2414" i="2"/>
  <c r="H2415" i="2"/>
  <c r="H2416" i="2"/>
  <c r="H2417" i="2"/>
  <c r="H2418" i="2"/>
  <c r="H2419" i="2"/>
  <c r="H2420" i="2"/>
  <c r="H2421" i="2"/>
  <c r="H2422" i="2"/>
  <c r="H2423" i="2"/>
  <c r="H2424" i="2"/>
  <c r="H2425" i="2"/>
  <c r="H2426" i="2"/>
  <c r="H2427" i="2"/>
  <c r="H2428" i="2"/>
  <c r="H2429" i="2"/>
  <c r="H2430" i="2"/>
  <c r="H2431" i="2"/>
  <c r="H2432" i="2"/>
  <c r="H2433" i="2"/>
  <c r="H2434" i="2"/>
  <c r="H2435" i="2"/>
  <c r="H2436" i="2"/>
  <c r="H2437" i="2"/>
  <c r="H2438" i="2"/>
  <c r="H2439" i="2"/>
  <c r="H2440" i="2"/>
  <c r="H2441" i="2"/>
  <c r="H2442" i="2"/>
  <c r="H2443" i="2"/>
  <c r="H2444" i="2"/>
  <c r="H2445" i="2"/>
  <c r="H2446" i="2"/>
  <c r="H2447" i="2"/>
  <c r="H2448" i="2"/>
  <c r="H2449" i="2"/>
  <c r="H2450" i="2"/>
  <c r="H2451" i="2"/>
  <c r="H2452" i="2"/>
  <c r="H2453" i="2"/>
  <c r="H2454" i="2"/>
  <c r="H2455" i="2"/>
  <c r="H2456" i="2"/>
  <c r="H2457" i="2"/>
  <c r="H2458" i="2"/>
  <c r="H2459" i="2"/>
  <c r="H2460" i="2"/>
  <c r="H2461" i="2"/>
  <c r="H2462" i="2"/>
  <c r="H2463" i="2"/>
  <c r="H2464" i="2"/>
  <c r="H2465" i="2"/>
  <c r="H2466" i="2"/>
  <c r="H2467" i="2"/>
  <c r="H2468" i="2"/>
  <c r="H2469" i="2"/>
  <c r="H2470" i="2"/>
  <c r="H2471" i="2"/>
  <c r="H2472" i="2"/>
  <c r="H2473" i="2"/>
  <c r="H2474" i="2"/>
  <c r="H2475" i="2"/>
  <c r="H2476" i="2"/>
  <c r="H2477" i="2"/>
  <c r="H2478" i="2"/>
  <c r="H2479" i="2"/>
  <c r="H2480" i="2"/>
  <c r="H2481" i="2"/>
  <c r="H2482" i="2"/>
  <c r="H2483" i="2"/>
  <c r="H2484" i="2"/>
  <c r="H2485" i="2"/>
  <c r="H2486" i="2"/>
  <c r="H2487" i="2"/>
  <c r="H2488" i="2"/>
  <c r="H2489" i="2"/>
  <c r="H2490" i="2"/>
  <c r="H2491" i="2"/>
  <c r="H2492" i="2"/>
  <c r="H2493" i="2"/>
  <c r="H2494" i="2"/>
  <c r="H2495" i="2"/>
  <c r="H2496" i="2"/>
  <c r="H2497" i="2"/>
  <c r="H2498" i="2"/>
  <c r="H2499" i="2"/>
  <c r="H2500" i="2"/>
  <c r="H2501" i="2"/>
  <c r="H2502" i="2"/>
  <c r="H2503" i="2"/>
  <c r="H2504" i="2"/>
  <c r="H2505" i="2"/>
  <c r="H2506" i="2"/>
  <c r="H2507" i="2"/>
  <c r="H2508" i="2"/>
  <c r="H2509" i="2"/>
  <c r="H2510" i="2"/>
  <c r="H2511" i="2"/>
  <c r="H2512" i="2"/>
  <c r="H2513" i="2"/>
  <c r="H2514" i="2"/>
  <c r="H2515" i="2"/>
  <c r="H2516" i="2"/>
  <c r="H2517" i="2"/>
  <c r="H2518" i="2"/>
  <c r="H2519" i="2"/>
  <c r="H2520" i="2"/>
  <c r="H2521" i="2"/>
  <c r="H2522" i="2"/>
  <c r="H2523" i="2"/>
  <c r="H2524" i="2"/>
  <c r="H2525" i="2"/>
  <c r="H2526" i="2"/>
  <c r="H2527" i="2"/>
  <c r="H2528" i="2"/>
  <c r="H2529" i="2"/>
  <c r="H2530" i="2"/>
  <c r="H2531" i="2"/>
  <c r="H2532" i="2"/>
  <c r="H2533" i="2"/>
  <c r="H2534" i="2"/>
  <c r="H2535" i="2"/>
  <c r="H2536" i="2"/>
  <c r="H2537" i="2"/>
  <c r="H2538" i="2"/>
  <c r="H2539" i="2"/>
  <c r="H2540" i="2"/>
  <c r="H2541" i="2"/>
  <c r="H2542" i="2"/>
  <c r="H2543" i="2"/>
  <c r="H2544" i="2"/>
  <c r="H2545" i="2"/>
  <c r="H2546" i="2"/>
  <c r="H2547" i="2"/>
  <c r="H2548" i="2"/>
  <c r="H2549" i="2"/>
  <c r="H2550" i="2"/>
  <c r="H2551" i="2"/>
  <c r="H2552" i="2"/>
  <c r="H2553" i="2"/>
  <c r="H2554" i="2"/>
  <c r="H2555" i="2"/>
  <c r="H2556" i="2"/>
  <c r="H2557" i="2"/>
  <c r="H2558" i="2"/>
  <c r="H2559" i="2"/>
  <c r="H2560" i="2"/>
  <c r="H2561" i="2"/>
  <c r="H2562" i="2"/>
  <c r="H2563" i="2"/>
  <c r="H2564" i="2"/>
  <c r="H2565" i="2"/>
  <c r="H2566" i="2"/>
  <c r="H2567" i="2"/>
  <c r="H2568" i="2"/>
  <c r="H2569" i="2"/>
  <c r="H2570" i="2"/>
  <c r="H2571" i="2"/>
  <c r="H2572" i="2"/>
  <c r="H2573" i="2"/>
  <c r="H2574" i="2"/>
  <c r="H2575" i="2"/>
  <c r="H2576" i="2"/>
  <c r="H2577" i="2"/>
  <c r="H2578" i="2"/>
  <c r="H2579" i="2"/>
  <c r="H2580" i="2"/>
  <c r="H2581" i="2"/>
  <c r="H2582" i="2"/>
  <c r="H2583" i="2"/>
  <c r="H2584" i="2"/>
  <c r="H2585" i="2"/>
  <c r="H2586" i="2"/>
  <c r="H2587" i="2"/>
  <c r="H2588" i="2"/>
  <c r="H2589" i="2"/>
  <c r="H2590" i="2"/>
  <c r="H2591" i="2"/>
  <c r="H2592" i="2"/>
  <c r="H2593" i="2"/>
  <c r="H2594" i="2"/>
  <c r="H2595" i="2"/>
  <c r="H2596" i="2"/>
  <c r="H2597" i="2"/>
  <c r="H2598" i="2"/>
  <c r="H2599" i="2"/>
  <c r="H2600" i="2"/>
  <c r="H2601" i="2"/>
  <c r="H2602" i="2"/>
  <c r="H2603" i="2"/>
  <c r="H2604" i="2"/>
  <c r="H2605" i="2"/>
  <c r="H2606" i="2"/>
  <c r="H2607" i="2"/>
  <c r="H2608" i="2"/>
  <c r="H2609" i="2"/>
  <c r="H2610" i="2"/>
  <c r="H2611" i="2"/>
  <c r="H2612" i="2"/>
  <c r="H2613" i="2"/>
  <c r="H2614" i="2"/>
  <c r="H2615" i="2"/>
  <c r="H2616" i="2"/>
  <c r="H2617" i="2"/>
  <c r="H2618" i="2"/>
  <c r="H2619" i="2"/>
  <c r="H2620" i="2"/>
  <c r="H2621" i="2"/>
  <c r="H2622" i="2"/>
  <c r="H2623" i="2"/>
  <c r="H2624" i="2"/>
  <c r="H2625" i="2"/>
  <c r="H2626" i="2"/>
  <c r="H2627" i="2"/>
  <c r="H2628" i="2"/>
  <c r="H2629" i="2"/>
  <c r="H2630" i="2"/>
  <c r="H2631" i="2"/>
  <c r="H2632" i="2"/>
  <c r="H2633" i="2"/>
  <c r="H2634" i="2"/>
  <c r="H2635" i="2"/>
  <c r="H2636" i="2"/>
  <c r="H2637" i="2"/>
  <c r="H2638" i="2"/>
  <c r="H2639" i="2"/>
  <c r="H2640" i="2"/>
  <c r="H2641" i="2"/>
  <c r="H2642" i="2"/>
  <c r="H2643" i="2"/>
  <c r="H2644" i="2"/>
  <c r="H2645" i="2"/>
  <c r="H2646" i="2"/>
  <c r="H2647" i="2"/>
  <c r="H2648" i="2"/>
  <c r="H2649" i="2"/>
  <c r="H2650" i="2"/>
  <c r="H2651" i="2"/>
  <c r="H2652" i="2"/>
  <c r="H2653" i="2"/>
  <c r="H2654" i="2"/>
  <c r="H2655" i="2"/>
  <c r="H2656" i="2"/>
  <c r="H2657" i="2"/>
  <c r="H2658" i="2"/>
  <c r="H2659" i="2"/>
  <c r="H2660" i="2"/>
  <c r="H2661" i="2"/>
  <c r="H2662" i="2"/>
  <c r="H2663" i="2"/>
  <c r="H2664" i="2"/>
  <c r="H2665" i="2"/>
  <c r="H2666" i="2"/>
  <c r="H2667" i="2"/>
  <c r="H2668" i="2"/>
  <c r="H2669" i="2"/>
  <c r="H2670" i="2"/>
  <c r="H2671" i="2"/>
  <c r="H2672" i="2"/>
  <c r="H2673" i="2"/>
  <c r="H2674" i="2"/>
  <c r="H2675" i="2"/>
  <c r="H2676" i="2"/>
  <c r="H2677" i="2"/>
  <c r="H2678" i="2"/>
  <c r="H2679" i="2"/>
  <c r="H2680" i="2"/>
  <c r="H2681" i="2"/>
  <c r="H2682" i="2"/>
  <c r="H2683" i="2"/>
  <c r="H2684" i="2"/>
  <c r="H2685" i="2"/>
  <c r="H2686" i="2"/>
  <c r="H2687" i="2"/>
  <c r="H2688" i="2"/>
  <c r="H2689" i="2"/>
  <c r="H2690" i="2"/>
  <c r="H2691" i="2"/>
  <c r="H2692" i="2"/>
  <c r="H2693" i="2"/>
  <c r="H2694" i="2"/>
  <c r="H2695" i="2"/>
  <c r="H2696" i="2"/>
  <c r="H2697" i="2"/>
  <c r="H2698" i="2"/>
  <c r="H2699" i="2"/>
  <c r="H2700" i="2"/>
  <c r="H2701" i="2"/>
  <c r="H2702" i="2"/>
  <c r="H2703" i="2"/>
  <c r="H2704" i="2"/>
  <c r="H2705" i="2"/>
  <c r="H2706" i="2"/>
  <c r="H2707" i="2"/>
  <c r="H2708" i="2"/>
  <c r="H2709" i="2"/>
  <c r="H2710" i="2"/>
  <c r="H2711" i="2"/>
  <c r="H2712" i="2"/>
  <c r="H2713" i="2"/>
  <c r="H2714" i="2"/>
  <c r="H2715" i="2"/>
  <c r="H2716" i="2"/>
  <c r="H2717" i="2"/>
  <c r="H2718" i="2"/>
  <c r="H2719" i="2"/>
  <c r="H2720" i="2"/>
  <c r="H2721" i="2"/>
  <c r="H2722" i="2"/>
  <c r="H2723" i="2"/>
  <c r="H2724" i="2"/>
  <c r="H2725" i="2"/>
  <c r="H2726" i="2"/>
  <c r="H2727" i="2"/>
  <c r="H2728" i="2"/>
  <c r="H2729" i="2"/>
  <c r="H2730" i="2"/>
  <c r="H2731" i="2"/>
  <c r="H2732" i="2"/>
  <c r="H2733" i="2"/>
  <c r="H2734" i="2"/>
  <c r="H2735" i="2"/>
  <c r="H2736" i="2"/>
  <c r="H2737" i="2"/>
  <c r="H2738" i="2"/>
  <c r="H2739" i="2"/>
  <c r="H2740" i="2"/>
  <c r="H2741" i="2"/>
  <c r="H2742" i="2"/>
  <c r="H2743" i="2"/>
  <c r="H2744" i="2"/>
  <c r="H2745" i="2"/>
  <c r="H2746" i="2"/>
  <c r="H2747" i="2"/>
  <c r="H2748" i="2"/>
  <c r="H2749" i="2"/>
  <c r="H2750" i="2"/>
  <c r="H2751" i="2"/>
  <c r="H2752" i="2"/>
  <c r="H2753" i="2"/>
  <c r="H2754" i="2"/>
  <c r="H2755" i="2"/>
  <c r="H2756" i="2"/>
  <c r="H2757" i="2"/>
  <c r="H2758" i="2"/>
  <c r="H2759" i="2"/>
  <c r="H2760" i="2"/>
  <c r="H2761" i="2"/>
  <c r="H2762" i="2"/>
  <c r="H2763" i="2"/>
  <c r="H2764" i="2"/>
  <c r="H2765" i="2"/>
  <c r="H2766" i="2"/>
  <c r="H2767" i="2"/>
  <c r="H2768" i="2"/>
  <c r="H2769" i="2"/>
  <c r="H2770" i="2"/>
  <c r="H2771" i="2"/>
  <c r="H2772" i="2"/>
  <c r="H2773" i="2"/>
  <c r="H2774" i="2"/>
  <c r="H2775" i="2"/>
  <c r="H2776" i="2"/>
  <c r="H2777" i="2"/>
  <c r="H2778" i="2"/>
  <c r="H2779" i="2"/>
  <c r="H2780" i="2"/>
  <c r="H2781" i="2"/>
  <c r="H2782" i="2"/>
  <c r="H2783" i="2"/>
  <c r="H2784" i="2"/>
  <c r="H2785" i="2"/>
  <c r="H2786" i="2"/>
  <c r="H2787" i="2"/>
  <c r="H2788" i="2"/>
  <c r="H2789" i="2"/>
  <c r="H2790" i="2"/>
  <c r="H2791" i="2"/>
  <c r="H2792" i="2"/>
  <c r="H2793" i="2"/>
  <c r="H2794" i="2"/>
  <c r="H2795" i="2"/>
  <c r="H2796" i="2"/>
  <c r="H2797" i="2"/>
  <c r="H2798" i="2"/>
  <c r="H2799" i="2"/>
  <c r="H2800" i="2"/>
  <c r="H2801" i="2"/>
  <c r="H2802" i="2"/>
  <c r="H2803" i="2"/>
  <c r="H2804" i="2"/>
  <c r="H2805" i="2"/>
  <c r="H2806" i="2"/>
  <c r="H2807" i="2"/>
  <c r="H2808" i="2"/>
  <c r="H2809" i="2"/>
  <c r="H2810" i="2"/>
  <c r="H2811" i="2"/>
  <c r="H2812" i="2"/>
  <c r="H2813" i="2"/>
  <c r="H2814" i="2"/>
  <c r="H2815" i="2"/>
  <c r="H2816" i="2"/>
  <c r="H2817" i="2"/>
  <c r="H2818" i="2"/>
  <c r="H2819" i="2"/>
  <c r="H2820" i="2"/>
  <c r="H2821" i="2"/>
  <c r="H2822" i="2"/>
  <c r="H2823" i="2"/>
  <c r="H2824" i="2"/>
  <c r="H2825" i="2"/>
  <c r="H2826" i="2"/>
  <c r="H2827" i="2"/>
  <c r="H2828" i="2"/>
  <c r="H2829" i="2"/>
  <c r="H2830" i="2"/>
  <c r="H2831" i="2"/>
  <c r="H2832" i="2"/>
  <c r="H2833" i="2"/>
  <c r="H2834" i="2"/>
  <c r="H2835" i="2"/>
  <c r="H2836" i="2"/>
  <c r="H2837" i="2"/>
  <c r="H2838" i="2"/>
  <c r="H2839" i="2"/>
  <c r="H2840" i="2"/>
  <c r="H2841" i="2"/>
  <c r="H2842" i="2"/>
  <c r="H2843" i="2"/>
  <c r="H2844" i="2"/>
  <c r="H2845" i="2"/>
  <c r="H2846" i="2"/>
  <c r="H2847" i="2"/>
  <c r="H2848" i="2"/>
  <c r="H2849" i="2"/>
  <c r="H2850" i="2"/>
  <c r="H2851" i="2"/>
  <c r="H2852" i="2"/>
  <c r="H2853" i="2"/>
  <c r="H2854" i="2"/>
  <c r="H2855" i="2"/>
  <c r="H2856" i="2"/>
  <c r="H2857" i="2"/>
  <c r="H2858" i="2"/>
  <c r="H2859" i="2"/>
  <c r="H2860" i="2"/>
  <c r="H2861" i="2"/>
  <c r="H2862" i="2"/>
  <c r="H2863" i="2"/>
  <c r="H2864" i="2"/>
  <c r="H2865" i="2"/>
  <c r="H2866" i="2"/>
  <c r="H2867" i="2"/>
  <c r="H2868" i="2"/>
  <c r="H2869" i="2"/>
  <c r="H2870" i="2"/>
  <c r="H2871" i="2"/>
  <c r="H2872" i="2"/>
  <c r="H2873" i="2"/>
  <c r="H2874" i="2"/>
  <c r="H2875" i="2"/>
  <c r="H2876" i="2"/>
  <c r="H2877" i="2"/>
  <c r="H2878" i="2"/>
  <c r="H2879" i="2"/>
  <c r="H2880" i="2"/>
  <c r="H2881" i="2"/>
  <c r="H2882" i="2"/>
  <c r="H2883" i="2"/>
  <c r="H2884" i="2"/>
  <c r="H2885" i="2"/>
  <c r="H2886" i="2"/>
  <c r="H2887" i="2"/>
  <c r="H2888" i="2"/>
  <c r="H2889" i="2"/>
  <c r="H2890" i="2"/>
  <c r="H2891" i="2"/>
  <c r="H2892" i="2"/>
  <c r="H2893" i="2"/>
  <c r="H2894" i="2"/>
  <c r="H2895" i="2"/>
  <c r="H2896" i="2"/>
  <c r="H2897" i="2"/>
  <c r="H2898" i="2"/>
  <c r="H2899" i="2"/>
  <c r="H2900" i="2"/>
  <c r="H2901" i="2"/>
  <c r="H2902" i="2"/>
  <c r="H2903" i="2"/>
  <c r="H2904" i="2"/>
  <c r="H2905" i="2"/>
  <c r="H2906" i="2"/>
  <c r="H2907" i="2"/>
  <c r="H2908" i="2"/>
  <c r="H2909" i="2"/>
  <c r="H2910" i="2"/>
  <c r="H2911" i="2"/>
  <c r="H2912" i="2"/>
  <c r="H2913" i="2"/>
  <c r="H2914" i="2"/>
  <c r="H2915" i="2"/>
  <c r="H2916" i="2"/>
  <c r="H2917" i="2"/>
  <c r="H2918" i="2"/>
  <c r="H2919" i="2"/>
  <c r="H2920" i="2"/>
  <c r="H2921" i="2"/>
  <c r="H2922" i="2"/>
  <c r="H2923" i="2"/>
  <c r="H2924" i="2"/>
  <c r="H2925" i="2"/>
  <c r="H2926" i="2"/>
  <c r="H2927" i="2"/>
  <c r="H2928" i="2"/>
  <c r="H2929" i="2"/>
  <c r="H2930" i="2"/>
  <c r="H2931" i="2"/>
  <c r="H2932" i="2"/>
  <c r="H2933" i="2"/>
  <c r="H2934" i="2"/>
  <c r="H2935" i="2"/>
  <c r="H2936" i="2"/>
  <c r="H2937" i="2"/>
  <c r="H2938" i="2"/>
  <c r="H2939" i="2"/>
  <c r="H2940" i="2"/>
  <c r="H2941" i="2"/>
  <c r="H2942" i="2"/>
  <c r="H2943" i="2"/>
  <c r="H2944" i="2"/>
  <c r="H2945" i="2"/>
  <c r="H2946" i="2"/>
  <c r="H2947" i="2"/>
  <c r="H2948" i="2"/>
  <c r="H2949" i="2"/>
  <c r="H2950" i="2"/>
  <c r="H2951" i="2"/>
  <c r="H2952" i="2"/>
  <c r="H2953" i="2"/>
  <c r="H2954" i="2"/>
  <c r="H2955" i="2"/>
  <c r="H2956" i="2"/>
  <c r="H2957" i="2"/>
  <c r="H2958" i="2"/>
  <c r="H2959" i="2"/>
  <c r="H2960" i="2"/>
  <c r="H2961" i="2"/>
  <c r="H2962" i="2"/>
  <c r="H2963" i="2"/>
  <c r="H2964" i="2"/>
  <c r="H2965" i="2"/>
  <c r="H2966" i="2"/>
  <c r="H2967" i="2"/>
  <c r="H2968" i="2"/>
  <c r="H2969" i="2"/>
  <c r="H2970" i="2"/>
  <c r="H2971" i="2"/>
  <c r="H2972" i="2"/>
  <c r="H2973" i="2"/>
  <c r="H2974" i="2"/>
  <c r="H2975" i="2"/>
  <c r="H2976" i="2"/>
  <c r="H2977" i="2"/>
  <c r="H2978" i="2"/>
  <c r="H2979" i="2"/>
  <c r="H2980" i="2"/>
  <c r="H2981" i="2"/>
  <c r="H2982" i="2"/>
  <c r="H2983" i="2"/>
  <c r="H2984" i="2"/>
  <c r="H2985" i="2"/>
  <c r="H2986" i="2"/>
  <c r="H2987" i="2"/>
  <c r="H2988" i="2"/>
  <c r="H2989" i="2"/>
  <c r="H2990" i="2"/>
  <c r="H2991" i="2"/>
  <c r="H2992" i="2"/>
  <c r="H2993" i="2"/>
  <c r="H2994" i="2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787B1434-3F1A-4710-81DE-95294FD9CB95}" keepAlive="1" name="Query - Errors in STAMP Escapement Data" description="Connection to the 'Errors in STAMP Escapement Data' query in the workbook." type="5" refreshedVersion="0" background="1">
    <dbPr connection="Provider=Microsoft.Mashup.OleDb.1;Data Source=$Workbook$;Location=&quot;Errors in STAMP Escapement Data&quot;;Extended Properties=&quot;&quot;" command="SELECT * FROM [Errors in STAMP Escapement Data]"/>
  </connection>
  <connection id="2" xr16:uid="{66436212-1DB5-4D29-95EF-FF1A7F3982AF}" keepAlive="1" name="Query - STAMP Escapement Data" description="Connection to the 'STAMP Escapement Data' query in the workbook." type="5" refreshedVersion="8" background="1" saveData="1">
    <dbPr connection="Provider=Microsoft.Mashup.OleDb.1;Data Source=$Workbook$;Location=&quot;STAMP Escapement Data&quot;;Extended Properties=&quot;&quot;" command="SELECT * FROM [STAMP Escapement Data]"/>
  </connection>
</connections>
</file>

<file path=xl/sharedStrings.xml><?xml version="1.0" encoding="utf-8"?>
<sst xmlns="http://schemas.openxmlformats.org/spreadsheetml/2006/main" count="12" uniqueCount="12">
  <si>
    <t>DATE</t>
  </si>
  <si>
    <t>STDATE</t>
  </si>
  <si>
    <t>YEAR</t>
  </si>
  <si>
    <t>CO</t>
  </si>
  <si>
    <t>JCO</t>
  </si>
  <si>
    <t>CN</t>
  </si>
  <si>
    <t>JCN</t>
  </si>
  <si>
    <t>Row Labels</t>
  </si>
  <si>
    <t>Column Labels</t>
  </si>
  <si>
    <t>RunningCNTotal</t>
  </si>
  <si>
    <t>Sum of RunningCNTotal</t>
  </si>
  <si>
    <t>SinceAugust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</si>
</sst>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d\-mmm\-yy;@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4"/>
      <color rgb="FFFF0000"/>
      <name val="Calibri"/>
      <family val="2"/>
      <scheme val="minor"/>
    </font>
    <font>
      <sz val="12"/>
      <color indexed="8"/>
      <name val="Arial"/>
      <family val="2"/>
    </font>
    <font>
      <sz val="13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0" fontId="1" fillId="0" borderId="0"/>
    <xf numFmtId="0" fontId="1" fillId="0" borderId="0"/>
  </cellStyleXfs>
  <cellXfs count="10">
    <xf numFmtId="0" fontId="0" fillId="0" borderId="0" xfId="0"/>
    <xf numFmtId="14" fontId="0" fillId="0" borderId="0" xfId="0" applyNumberFormat="1"/>
    <xf numFmtId="0" fontId="0" fillId="0" borderId="0" xfId="0" pivotButton="1"/>
    <xf numFmtId="164" fontId="2" fillId="0" borderId="0" xfId="1" applyNumberFormat="1" applyFont="1" applyAlignment="1">
      <alignment vertical="center" wrapText="1"/>
    </xf>
    <xf numFmtId="0" fontId="3" fillId="0" borderId="0" xfId="0" applyFont="1" applyAlignment="1">
      <alignment horizontal="right"/>
    </xf>
    <xf numFmtId="0" fontId="3" fillId="0" borderId="0" xfId="0" applyFont="1"/>
    <xf numFmtId="0" fontId="4" fillId="0" borderId="0" xfId="2" applyFont="1" applyAlignment="1">
      <alignment vertical="center" wrapText="1"/>
    </xf>
    <xf numFmtId="0" fontId="0" fillId="0" borderId="0" xfId="0" applyNumberFormat="1"/>
    <xf numFmtId="1" fontId="0" fillId="0" borderId="0" xfId="0" applyNumberFormat="1"/>
    <xf numFmtId="1" fontId="0" fillId="0" borderId="0" xfId="0" applyNumberFormat="1" applyAlignment="1">
      <alignment horizontal="left"/>
    </xf>
  </cellXfs>
  <cellStyles count="3">
    <cellStyle name="Normal" xfId="0" builtinId="0"/>
    <cellStyle name="Normal 18" xfId="2" xr:uid="{526C781A-23CC-43AE-BE5C-C233CE0B473D}"/>
    <cellStyle name="Normal 8" xfId="1" xr:uid="{D9101537-24EF-4BF4-A8D1-E3F6B23D2621}"/>
  </cellStyles>
  <dxfs count="11">
    <dxf>
      <numFmt numFmtId="1" formatCode="0"/>
    </dxf>
    <dxf>
      <numFmt numFmtId="0" formatCode="General"/>
    </dxf>
    <dxf>
      <numFmt numFmtId="166" formatCode="[$-409]d\-mmm;@"/>
    </dxf>
    <dxf>
      <numFmt numFmtId="166" formatCode="[$-409]d\-mmm;@"/>
    </dxf>
    <dxf>
      <numFmt numFmtId="166" formatCode="[$-409]d\-mmm;@"/>
    </dxf>
    <dxf>
      <numFmt numFmtId="166" formatCode="[$-409]d\-mmm;@"/>
    </dxf>
    <dxf>
      <numFmt numFmtId="166" formatCode="[$-409]d\-mmm;@"/>
    </dxf>
    <dxf>
      <numFmt numFmtId="166" formatCode="[$-409]d\-mmm;@"/>
    </dxf>
    <dxf>
      <numFmt numFmtId="166" formatCode="[$-409]d\-mmm;@"/>
    </dxf>
    <dxf>
      <numFmt numFmtId="166" formatCode="[$-409]d\-mmm;@"/>
    </dxf>
    <dxf>
      <numFmt numFmtId="19" formatCode="m/d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onnections" Target="connections.xml"/><Relationship Id="rId5" Type="http://schemas.openxmlformats.org/officeDocument/2006/relationships/theme" Target="theme/theme1.xml"/><Relationship Id="rId10" Type="http://schemas.openxmlformats.org/officeDocument/2006/relationships/customXml" Target="../customXml/item1.xml"/><Relationship Id="rId4" Type="http://schemas.openxmlformats.org/officeDocument/2006/relationships/pivotCacheDefinition" Target="pivotCache/pivotCacheDefinition1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[StampRunTimming.xlsx]PIVOT!PivotTable2</c:name>
    <c:fmtId val="0"/>
  </c:pivotSource>
  <c:chart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8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9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2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3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4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5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6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7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8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9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PIVOT!$B$2:$B$3</c:f>
              <c:strCache>
                <c:ptCount val="1"/>
                <c:pt idx="0">
                  <c:v>2023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PIVOT!$A$4:$A$99</c:f>
              <c:strCache>
                <c:ptCount val="96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</c:strCache>
            </c:strRef>
          </c:cat>
          <c:val>
            <c:numRef>
              <c:f>PIVOT!$B$4:$B$99</c:f>
              <c:numCache>
                <c:formatCode>General</c:formatCode>
                <c:ptCount val="96"/>
                <c:pt idx="0">
                  <c:v>50</c:v>
                </c:pt>
                <c:pt idx="1">
                  <c:v>82</c:v>
                </c:pt>
                <c:pt idx="2">
                  <c:v>95</c:v>
                </c:pt>
                <c:pt idx="3">
                  <c:v>105</c:v>
                </c:pt>
                <c:pt idx="4">
                  <c:v>131</c:v>
                </c:pt>
                <c:pt idx="5">
                  <c:v>170</c:v>
                </c:pt>
                <c:pt idx="6">
                  <c:v>174</c:v>
                </c:pt>
                <c:pt idx="7">
                  <c:v>202</c:v>
                </c:pt>
                <c:pt idx="8">
                  <c:v>216</c:v>
                </c:pt>
                <c:pt idx="9">
                  <c:v>238</c:v>
                </c:pt>
                <c:pt idx="10">
                  <c:v>269</c:v>
                </c:pt>
                <c:pt idx="11">
                  <c:v>349</c:v>
                </c:pt>
                <c:pt idx="12">
                  <c:v>412</c:v>
                </c:pt>
                <c:pt idx="13">
                  <c:v>516</c:v>
                </c:pt>
                <c:pt idx="14">
                  <c:v>577</c:v>
                </c:pt>
                <c:pt idx="15">
                  <c:v>601</c:v>
                </c:pt>
                <c:pt idx="16">
                  <c:v>621</c:v>
                </c:pt>
                <c:pt idx="17">
                  <c:v>636</c:v>
                </c:pt>
                <c:pt idx="18">
                  <c:v>648</c:v>
                </c:pt>
                <c:pt idx="19">
                  <c:v>658</c:v>
                </c:pt>
                <c:pt idx="20">
                  <c:v>686</c:v>
                </c:pt>
                <c:pt idx="21">
                  <c:v>902</c:v>
                </c:pt>
                <c:pt idx="22">
                  <c:v>1552</c:v>
                </c:pt>
                <c:pt idx="23">
                  <c:v>2139</c:v>
                </c:pt>
                <c:pt idx="24">
                  <c:v>2885</c:v>
                </c:pt>
                <c:pt idx="25">
                  <c:v>3558</c:v>
                </c:pt>
                <c:pt idx="26">
                  <c:v>4572</c:v>
                </c:pt>
                <c:pt idx="27">
                  <c:v>5640</c:v>
                </c:pt>
                <c:pt idx="28">
                  <c:v>6513</c:v>
                </c:pt>
                <c:pt idx="29">
                  <c:v>7241</c:v>
                </c:pt>
                <c:pt idx="30">
                  <c:v>8312</c:v>
                </c:pt>
                <c:pt idx="31">
                  <c:v>8942</c:v>
                </c:pt>
                <c:pt idx="32">
                  <c:v>9557</c:v>
                </c:pt>
                <c:pt idx="33">
                  <c:v>10157</c:v>
                </c:pt>
                <c:pt idx="34">
                  <c:v>10743</c:v>
                </c:pt>
                <c:pt idx="35">
                  <c:v>11423</c:v>
                </c:pt>
                <c:pt idx="36">
                  <c:v>12546</c:v>
                </c:pt>
                <c:pt idx="37">
                  <c:v>14121</c:v>
                </c:pt>
                <c:pt idx="38">
                  <c:v>14937</c:v>
                </c:pt>
                <c:pt idx="39">
                  <c:v>15760</c:v>
                </c:pt>
                <c:pt idx="40">
                  <c:v>16850</c:v>
                </c:pt>
                <c:pt idx="41">
                  <c:v>17757</c:v>
                </c:pt>
                <c:pt idx="42">
                  <c:v>18607</c:v>
                </c:pt>
                <c:pt idx="43">
                  <c:v>19539</c:v>
                </c:pt>
                <c:pt idx="44">
                  <c:v>20550</c:v>
                </c:pt>
                <c:pt idx="45">
                  <c:v>21261</c:v>
                </c:pt>
                <c:pt idx="46">
                  <c:v>22128</c:v>
                </c:pt>
                <c:pt idx="47">
                  <c:v>23175</c:v>
                </c:pt>
                <c:pt idx="48">
                  <c:v>24169</c:v>
                </c:pt>
                <c:pt idx="49">
                  <c:v>25128</c:v>
                </c:pt>
                <c:pt idx="50">
                  <c:v>26211</c:v>
                </c:pt>
                <c:pt idx="51">
                  <c:v>27240</c:v>
                </c:pt>
                <c:pt idx="52">
                  <c:v>27904</c:v>
                </c:pt>
                <c:pt idx="53">
                  <c:v>28793</c:v>
                </c:pt>
                <c:pt idx="54">
                  <c:v>29809</c:v>
                </c:pt>
                <c:pt idx="55">
                  <c:v>30846</c:v>
                </c:pt>
                <c:pt idx="56">
                  <c:v>35852</c:v>
                </c:pt>
                <c:pt idx="57">
                  <c:v>49405</c:v>
                </c:pt>
                <c:pt idx="58">
                  <c:v>61009</c:v>
                </c:pt>
                <c:pt idx="59">
                  <c:v>63550</c:v>
                </c:pt>
                <c:pt idx="60">
                  <c:v>65081</c:v>
                </c:pt>
                <c:pt idx="61">
                  <c:v>66677</c:v>
                </c:pt>
                <c:pt idx="62">
                  <c:v>68138</c:v>
                </c:pt>
                <c:pt idx="63">
                  <c:v>69671</c:v>
                </c:pt>
                <c:pt idx="64">
                  <c:v>70983</c:v>
                </c:pt>
                <c:pt idx="65">
                  <c:v>72489</c:v>
                </c:pt>
                <c:pt idx="66">
                  <c:v>73830</c:v>
                </c:pt>
                <c:pt idx="67">
                  <c:v>75282</c:v>
                </c:pt>
                <c:pt idx="68">
                  <c:v>76933</c:v>
                </c:pt>
                <c:pt idx="69">
                  <c:v>81003</c:v>
                </c:pt>
                <c:pt idx="70">
                  <c:v>84536</c:v>
                </c:pt>
                <c:pt idx="71">
                  <c:v>87714</c:v>
                </c:pt>
                <c:pt idx="72">
                  <c:v>90641</c:v>
                </c:pt>
                <c:pt idx="73">
                  <c:v>92248</c:v>
                </c:pt>
                <c:pt idx="74">
                  <c:v>94024</c:v>
                </c:pt>
                <c:pt idx="75">
                  <c:v>95203</c:v>
                </c:pt>
                <c:pt idx="76">
                  <c:v>95719</c:v>
                </c:pt>
                <c:pt idx="77">
                  <c:v>96137</c:v>
                </c:pt>
                <c:pt idx="78">
                  <c:v>96505</c:v>
                </c:pt>
                <c:pt idx="79">
                  <c:v>96823</c:v>
                </c:pt>
                <c:pt idx="80">
                  <c:v>97091</c:v>
                </c:pt>
                <c:pt idx="81">
                  <c:v>97309</c:v>
                </c:pt>
                <c:pt idx="82">
                  <c:v>97477</c:v>
                </c:pt>
                <c:pt idx="83">
                  <c:v>97595</c:v>
                </c:pt>
                <c:pt idx="84">
                  <c:v>97663</c:v>
                </c:pt>
                <c:pt idx="85">
                  <c:v>97681</c:v>
                </c:pt>
                <c:pt idx="86">
                  <c:v>97699</c:v>
                </c:pt>
                <c:pt idx="87">
                  <c:v>97722</c:v>
                </c:pt>
                <c:pt idx="88">
                  <c:v>97822</c:v>
                </c:pt>
                <c:pt idx="89">
                  <c:v>97932</c:v>
                </c:pt>
                <c:pt idx="90">
                  <c:v>97973</c:v>
                </c:pt>
                <c:pt idx="91">
                  <c:v>98009</c:v>
                </c:pt>
                <c:pt idx="92">
                  <c:v>98034</c:v>
                </c:pt>
                <c:pt idx="93">
                  <c:v>98063</c:v>
                </c:pt>
                <c:pt idx="94">
                  <c:v>98072</c:v>
                </c:pt>
                <c:pt idx="95">
                  <c:v>98074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FE3-4920-86FD-65C4A49FA6B0}"/>
            </c:ext>
          </c:extLst>
        </c:ser>
        <c:ser>
          <c:idx val="1"/>
          <c:order val="1"/>
          <c:tx>
            <c:strRef>
              <c:f>PIVOT!$C$2:$C$3</c:f>
              <c:strCache>
                <c:ptCount val="1"/>
                <c:pt idx="0">
                  <c:v>2024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PIVOT!$A$4:$A$99</c:f>
              <c:strCache>
                <c:ptCount val="96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</c:strCache>
            </c:strRef>
          </c:cat>
          <c:val>
            <c:numRef>
              <c:f>PIVOT!$C$4:$C$99</c:f>
              <c:numCache>
                <c:formatCode>General</c:formatCode>
                <c:ptCount val="96"/>
                <c:pt idx="0">
                  <c:v>39</c:v>
                </c:pt>
                <c:pt idx="1">
                  <c:v>52</c:v>
                </c:pt>
                <c:pt idx="2">
                  <c:v>62</c:v>
                </c:pt>
                <c:pt idx="3">
                  <c:v>78</c:v>
                </c:pt>
                <c:pt idx="4">
                  <c:v>89</c:v>
                </c:pt>
                <c:pt idx="5">
                  <c:v>97</c:v>
                </c:pt>
                <c:pt idx="6">
                  <c:v>106</c:v>
                </c:pt>
                <c:pt idx="7">
                  <c:v>132</c:v>
                </c:pt>
                <c:pt idx="8">
                  <c:v>165</c:v>
                </c:pt>
                <c:pt idx="9">
                  <c:v>183</c:v>
                </c:pt>
                <c:pt idx="10">
                  <c:v>190</c:v>
                </c:pt>
                <c:pt idx="11">
                  <c:v>220</c:v>
                </c:pt>
                <c:pt idx="12">
                  <c:v>265</c:v>
                </c:pt>
                <c:pt idx="13">
                  <c:v>301</c:v>
                </c:pt>
                <c:pt idx="14">
                  <c:v>423</c:v>
                </c:pt>
                <c:pt idx="15">
                  <c:v>584</c:v>
                </c:pt>
                <c:pt idx="16">
                  <c:v>765</c:v>
                </c:pt>
                <c:pt idx="17">
                  <c:v>960</c:v>
                </c:pt>
                <c:pt idx="18">
                  <c:v>1244</c:v>
                </c:pt>
                <c:pt idx="19">
                  <c:v>1458</c:v>
                </c:pt>
                <c:pt idx="20">
                  <c:v>2090</c:v>
                </c:pt>
                <c:pt idx="21">
                  <c:v>2642</c:v>
                </c:pt>
                <c:pt idx="22">
                  <c:v>3071</c:v>
                </c:pt>
                <c:pt idx="23">
                  <c:v>3378</c:v>
                </c:pt>
                <c:pt idx="24">
                  <c:v>3562</c:v>
                </c:pt>
                <c:pt idx="25">
                  <c:v>3704</c:v>
                </c:pt>
                <c:pt idx="26">
                  <c:v>3894</c:v>
                </c:pt>
                <c:pt idx="27">
                  <c:v>4092</c:v>
                </c:pt>
                <c:pt idx="28">
                  <c:v>4358</c:v>
                </c:pt>
                <c:pt idx="29">
                  <c:v>4727</c:v>
                </c:pt>
                <c:pt idx="30">
                  <c:v>5079</c:v>
                </c:pt>
                <c:pt idx="31">
                  <c:v>5805</c:v>
                </c:pt>
                <c:pt idx="32">
                  <c:v>6665</c:v>
                </c:pt>
                <c:pt idx="33">
                  <c:v>7510</c:v>
                </c:pt>
                <c:pt idx="34">
                  <c:v>8115</c:v>
                </c:pt>
                <c:pt idx="35">
                  <c:v>8811</c:v>
                </c:pt>
                <c:pt idx="36">
                  <c:v>9213</c:v>
                </c:pt>
                <c:pt idx="37">
                  <c:v>9377</c:v>
                </c:pt>
                <c:pt idx="38">
                  <c:v>9749</c:v>
                </c:pt>
                <c:pt idx="39">
                  <c:v>10123</c:v>
                </c:pt>
                <c:pt idx="40">
                  <c:v>10509</c:v>
                </c:pt>
                <c:pt idx="41">
                  <c:v>10860</c:v>
                </c:pt>
                <c:pt idx="42">
                  <c:v>11131</c:v>
                </c:pt>
                <c:pt idx="43">
                  <c:v>11381</c:v>
                </c:pt>
                <c:pt idx="44">
                  <c:v>11745</c:v>
                </c:pt>
                <c:pt idx="45">
                  <c:v>12095</c:v>
                </c:pt>
                <c:pt idx="46">
                  <c:v>12351</c:v>
                </c:pt>
                <c:pt idx="47">
                  <c:v>12624</c:v>
                </c:pt>
                <c:pt idx="48">
                  <c:v>12947</c:v>
                </c:pt>
                <c:pt idx="49">
                  <c:v>13334</c:v>
                </c:pt>
                <c:pt idx="50">
                  <c:v>13601</c:v>
                </c:pt>
                <c:pt idx="51">
                  <c:v>13993</c:v>
                </c:pt>
                <c:pt idx="52">
                  <c:v>14455</c:v>
                </c:pt>
                <c:pt idx="53">
                  <c:v>14711</c:v>
                </c:pt>
                <c:pt idx="54">
                  <c:v>15129</c:v>
                </c:pt>
                <c:pt idx="55">
                  <c:v>15529</c:v>
                </c:pt>
                <c:pt idx="56">
                  <c:v>16315</c:v>
                </c:pt>
                <c:pt idx="57">
                  <c:v>17236</c:v>
                </c:pt>
                <c:pt idx="58">
                  <c:v>18192</c:v>
                </c:pt>
                <c:pt idx="59">
                  <c:v>19237</c:v>
                </c:pt>
                <c:pt idx="60">
                  <c:v>20287</c:v>
                </c:pt>
                <c:pt idx="61">
                  <c:v>21167</c:v>
                </c:pt>
                <c:pt idx="62">
                  <c:v>21862</c:v>
                </c:pt>
                <c:pt idx="63">
                  <c:v>22370</c:v>
                </c:pt>
                <c:pt idx="64">
                  <c:v>23048</c:v>
                </c:pt>
                <c:pt idx="65">
                  <c:v>23881</c:v>
                </c:pt>
                <c:pt idx="66">
                  <c:v>25245</c:v>
                </c:pt>
                <c:pt idx="67">
                  <c:v>27613</c:v>
                </c:pt>
                <c:pt idx="68">
                  <c:v>29934</c:v>
                </c:pt>
                <c:pt idx="69">
                  <c:v>32946</c:v>
                </c:pt>
                <c:pt idx="70">
                  <c:v>35987</c:v>
                </c:pt>
                <c:pt idx="71">
                  <c:v>37140</c:v>
                </c:pt>
                <c:pt idx="72">
                  <c:v>38237</c:v>
                </c:pt>
                <c:pt idx="73">
                  <c:v>39515</c:v>
                </c:pt>
                <c:pt idx="74">
                  <c:v>41829</c:v>
                </c:pt>
                <c:pt idx="75">
                  <c:v>42546</c:v>
                </c:pt>
                <c:pt idx="76">
                  <c:v>43080</c:v>
                </c:pt>
                <c:pt idx="77">
                  <c:v>43400</c:v>
                </c:pt>
                <c:pt idx="78">
                  <c:v>43682</c:v>
                </c:pt>
                <c:pt idx="79">
                  <c:v>43926</c:v>
                </c:pt>
                <c:pt idx="80">
                  <c:v>44132</c:v>
                </c:pt>
                <c:pt idx="81">
                  <c:v>44300</c:v>
                </c:pt>
                <c:pt idx="82">
                  <c:v>44429</c:v>
                </c:pt>
                <c:pt idx="83">
                  <c:v>44520</c:v>
                </c:pt>
                <c:pt idx="84">
                  <c:v>44581</c:v>
                </c:pt>
                <c:pt idx="85">
                  <c:v>44634</c:v>
                </c:pt>
                <c:pt idx="86">
                  <c:v>44649</c:v>
                </c:pt>
                <c:pt idx="87">
                  <c:v>44649</c:v>
                </c:pt>
                <c:pt idx="88">
                  <c:v>44651</c:v>
                </c:pt>
                <c:pt idx="89">
                  <c:v>44653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FE3-4920-86FD-65C4A49FA6B0}"/>
            </c:ext>
          </c:extLst>
        </c:ser>
        <c:ser>
          <c:idx val="2"/>
          <c:order val="2"/>
          <c:tx>
            <c:strRef>
              <c:f>PIVOT!$D$2:$D$3</c:f>
              <c:strCache>
                <c:ptCount val="1"/>
                <c:pt idx="0">
                  <c:v>2025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PIVOT!$A$4:$A$99</c:f>
              <c:strCache>
                <c:ptCount val="96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</c:strCache>
            </c:strRef>
          </c:cat>
          <c:val>
            <c:numRef>
              <c:f>PIVOT!$D$4:$D$99</c:f>
              <c:numCache>
                <c:formatCode>General</c:formatCode>
                <c:ptCount val="96"/>
                <c:pt idx="0">
                  <c:v>21</c:v>
                </c:pt>
                <c:pt idx="1">
                  <c:v>24</c:v>
                </c:pt>
                <c:pt idx="2">
                  <c:v>28</c:v>
                </c:pt>
                <c:pt idx="3">
                  <c:v>38</c:v>
                </c:pt>
                <c:pt idx="4">
                  <c:v>44</c:v>
                </c:pt>
                <c:pt idx="5">
                  <c:v>59</c:v>
                </c:pt>
                <c:pt idx="6">
                  <c:v>74</c:v>
                </c:pt>
                <c:pt idx="7">
                  <c:v>118</c:v>
                </c:pt>
                <c:pt idx="8">
                  <c:v>147</c:v>
                </c:pt>
                <c:pt idx="9">
                  <c:v>172</c:v>
                </c:pt>
                <c:pt idx="10">
                  <c:v>227</c:v>
                </c:pt>
                <c:pt idx="11">
                  <c:v>256</c:v>
                </c:pt>
                <c:pt idx="12">
                  <c:v>303</c:v>
                </c:pt>
                <c:pt idx="13">
                  <c:v>347</c:v>
                </c:pt>
                <c:pt idx="14">
                  <c:v>415</c:v>
                </c:pt>
                <c:pt idx="15">
                  <c:v>467</c:v>
                </c:pt>
                <c:pt idx="16">
                  <c:v>563</c:v>
                </c:pt>
                <c:pt idx="17">
                  <c:v>748</c:v>
                </c:pt>
                <c:pt idx="18">
                  <c:v>888</c:v>
                </c:pt>
                <c:pt idx="19">
                  <c:v>1164</c:v>
                </c:pt>
                <c:pt idx="20">
                  <c:v>1838</c:v>
                </c:pt>
                <c:pt idx="21">
                  <c:v>2275</c:v>
                </c:pt>
                <c:pt idx="22">
                  <c:v>2754</c:v>
                </c:pt>
                <c:pt idx="23">
                  <c:v>3221</c:v>
                </c:pt>
                <c:pt idx="24">
                  <c:v>3577</c:v>
                </c:pt>
                <c:pt idx="25">
                  <c:v>3874</c:v>
                </c:pt>
                <c:pt idx="26">
                  <c:v>4139</c:v>
                </c:pt>
                <c:pt idx="27">
                  <c:v>4279</c:v>
                </c:pt>
                <c:pt idx="28">
                  <c:v>4386</c:v>
                </c:pt>
                <c:pt idx="29">
                  <c:v>4539</c:v>
                </c:pt>
                <c:pt idx="30">
                  <c:v>4716</c:v>
                </c:pt>
                <c:pt idx="31">
                  <c:v>5011</c:v>
                </c:pt>
                <c:pt idx="32">
                  <c:v>5521</c:v>
                </c:pt>
                <c:pt idx="33">
                  <c:v>5939</c:v>
                </c:pt>
                <c:pt idx="34">
                  <c:v>7144</c:v>
                </c:pt>
                <c:pt idx="35">
                  <c:v>7954</c:v>
                </c:pt>
                <c:pt idx="36">
                  <c:v>8869</c:v>
                </c:pt>
                <c:pt idx="37">
                  <c:v>10087</c:v>
                </c:pt>
                <c:pt idx="38">
                  <c:v>11195</c:v>
                </c:pt>
                <c:pt idx="39">
                  <c:v>12308</c:v>
                </c:pt>
                <c:pt idx="40">
                  <c:v>13030</c:v>
                </c:pt>
                <c:pt idx="41">
                  <c:v>13784</c:v>
                </c:pt>
                <c:pt idx="42">
                  <c:v>14468</c:v>
                </c:pt>
                <c:pt idx="43">
                  <c:v>15043</c:v>
                </c:pt>
                <c:pt idx="44">
                  <c:v>15784</c:v>
                </c:pt>
                <c:pt idx="45">
                  <c:v>16390</c:v>
                </c:pt>
                <c:pt idx="46">
                  <c:v>17024</c:v>
                </c:pt>
                <c:pt idx="47">
                  <c:v>17769</c:v>
                </c:pt>
                <c:pt idx="48">
                  <c:v>18593</c:v>
                </c:pt>
                <c:pt idx="49">
                  <c:v>19081</c:v>
                </c:pt>
                <c:pt idx="50">
                  <c:v>19585</c:v>
                </c:pt>
                <c:pt idx="51">
                  <c:v>20349</c:v>
                </c:pt>
                <c:pt idx="52">
                  <c:v>21191</c:v>
                </c:pt>
                <c:pt idx="53">
                  <c:v>21756</c:v>
                </c:pt>
                <c:pt idx="54">
                  <c:v>22423</c:v>
                </c:pt>
                <c:pt idx="55">
                  <c:v>23402</c:v>
                </c:pt>
                <c:pt idx="56">
                  <c:v>23935</c:v>
                </c:pt>
                <c:pt idx="57">
                  <c:v>24771</c:v>
                </c:pt>
                <c:pt idx="58">
                  <c:v>26047</c:v>
                </c:pt>
                <c:pt idx="59">
                  <c:v>27770</c:v>
                </c:pt>
                <c:pt idx="60">
                  <c:v>29321</c:v>
                </c:pt>
                <c:pt idx="61">
                  <c:v>32689</c:v>
                </c:pt>
                <c:pt idx="62">
                  <c:v>34553</c:v>
                </c:pt>
                <c:pt idx="63">
                  <c:v>36152</c:v>
                </c:pt>
                <c:pt idx="64">
                  <c:v>37205</c:v>
                </c:pt>
                <c:pt idx="65">
                  <c:v>39106</c:v>
                </c:pt>
                <c:pt idx="66">
                  <c:v>39679</c:v>
                </c:pt>
                <c:pt idx="67">
                  <c:v>40379</c:v>
                </c:pt>
                <c:pt idx="68">
                  <c:v>41238</c:v>
                </c:pt>
                <c:pt idx="69">
                  <c:v>42018</c:v>
                </c:pt>
                <c:pt idx="70">
                  <c:v>42541</c:v>
                </c:pt>
                <c:pt idx="71">
                  <c:v>43099</c:v>
                </c:pt>
                <c:pt idx="72">
                  <c:v>43665</c:v>
                </c:pt>
                <c:pt idx="73">
                  <c:v>43956</c:v>
                </c:pt>
                <c:pt idx="74">
                  <c:v>44282</c:v>
                </c:pt>
                <c:pt idx="75">
                  <c:v>44529</c:v>
                </c:pt>
                <c:pt idx="76">
                  <c:v>44854</c:v>
                </c:pt>
                <c:pt idx="77">
                  <c:v>45159</c:v>
                </c:pt>
                <c:pt idx="78">
                  <c:v>45309</c:v>
                </c:pt>
                <c:pt idx="79">
                  <c:v>45431</c:v>
                </c:pt>
                <c:pt idx="80">
                  <c:v>45480</c:v>
                </c:pt>
                <c:pt idx="81">
                  <c:v>45543</c:v>
                </c:pt>
                <c:pt idx="82">
                  <c:v>45614</c:v>
                </c:pt>
                <c:pt idx="83">
                  <c:v>45638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0FE3-4920-86FD-65C4A49FA6B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6921759"/>
        <c:axId val="1427508591"/>
      </c:lineChart>
      <c:catAx>
        <c:axId val="144692175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27508591"/>
        <c:crosses val="autoZero"/>
        <c:auto val="1"/>
        <c:lblAlgn val="ctr"/>
        <c:lblOffset val="100"/>
        <c:noMultiLvlLbl val="0"/>
      </c:catAx>
      <c:valAx>
        <c:axId val="142750859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4692175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[StampRunTimming.xlsx]PIVOT!PivotTable2</c:name>
    <c:fmtId val="2"/>
  </c:pivotSource>
  <c:chart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9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9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9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9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9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9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2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3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4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5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6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7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8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9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2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3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4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5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6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7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8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9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2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3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4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5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6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7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8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9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2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3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4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5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6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7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8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9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PIVOT!$B$2:$B$3</c:f>
              <c:strCache>
                <c:ptCount val="1"/>
                <c:pt idx="0">
                  <c:v>2023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PIVOT!$A$4:$A$99</c:f>
              <c:strCache>
                <c:ptCount val="96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</c:strCache>
            </c:strRef>
          </c:cat>
          <c:val>
            <c:numRef>
              <c:f>PIVOT!$B$4:$B$99</c:f>
              <c:numCache>
                <c:formatCode>General</c:formatCode>
                <c:ptCount val="96"/>
                <c:pt idx="0">
                  <c:v>50</c:v>
                </c:pt>
                <c:pt idx="1">
                  <c:v>82</c:v>
                </c:pt>
                <c:pt idx="2">
                  <c:v>95</c:v>
                </c:pt>
                <c:pt idx="3">
                  <c:v>105</c:v>
                </c:pt>
                <c:pt idx="4">
                  <c:v>131</c:v>
                </c:pt>
                <c:pt idx="5">
                  <c:v>170</c:v>
                </c:pt>
                <c:pt idx="6">
                  <c:v>174</c:v>
                </c:pt>
                <c:pt idx="7">
                  <c:v>202</c:v>
                </c:pt>
                <c:pt idx="8">
                  <c:v>216</c:v>
                </c:pt>
                <c:pt idx="9">
                  <c:v>238</c:v>
                </c:pt>
                <c:pt idx="10">
                  <c:v>269</c:v>
                </c:pt>
                <c:pt idx="11">
                  <c:v>349</c:v>
                </c:pt>
                <c:pt idx="12">
                  <c:v>412</c:v>
                </c:pt>
                <c:pt idx="13">
                  <c:v>516</c:v>
                </c:pt>
                <c:pt idx="14">
                  <c:v>577</c:v>
                </c:pt>
                <c:pt idx="15">
                  <c:v>601</c:v>
                </c:pt>
                <c:pt idx="16">
                  <c:v>621</c:v>
                </c:pt>
                <c:pt idx="17">
                  <c:v>636</c:v>
                </c:pt>
                <c:pt idx="18">
                  <c:v>648</c:v>
                </c:pt>
                <c:pt idx="19">
                  <c:v>658</c:v>
                </c:pt>
                <c:pt idx="20">
                  <c:v>686</c:v>
                </c:pt>
                <c:pt idx="21">
                  <c:v>902</c:v>
                </c:pt>
                <c:pt idx="22">
                  <c:v>1552</c:v>
                </c:pt>
                <c:pt idx="23">
                  <c:v>2139</c:v>
                </c:pt>
                <c:pt idx="24">
                  <c:v>2885</c:v>
                </c:pt>
                <c:pt idx="25">
                  <c:v>3558</c:v>
                </c:pt>
                <c:pt idx="26">
                  <c:v>4572</c:v>
                </c:pt>
                <c:pt idx="27">
                  <c:v>5640</c:v>
                </c:pt>
                <c:pt idx="28">
                  <c:v>6513</c:v>
                </c:pt>
                <c:pt idx="29">
                  <c:v>7241</c:v>
                </c:pt>
                <c:pt idx="30">
                  <c:v>8312</c:v>
                </c:pt>
                <c:pt idx="31">
                  <c:v>8942</c:v>
                </c:pt>
                <c:pt idx="32">
                  <c:v>9557</c:v>
                </c:pt>
                <c:pt idx="33">
                  <c:v>10157</c:v>
                </c:pt>
                <c:pt idx="34">
                  <c:v>10743</c:v>
                </c:pt>
                <c:pt idx="35">
                  <c:v>11423</c:v>
                </c:pt>
                <c:pt idx="36">
                  <c:v>12546</c:v>
                </c:pt>
                <c:pt idx="37">
                  <c:v>14121</c:v>
                </c:pt>
                <c:pt idx="38">
                  <c:v>14937</c:v>
                </c:pt>
                <c:pt idx="39">
                  <c:v>15760</c:v>
                </c:pt>
                <c:pt idx="40">
                  <c:v>16850</c:v>
                </c:pt>
                <c:pt idx="41">
                  <c:v>17757</c:v>
                </c:pt>
                <c:pt idx="42">
                  <c:v>18607</c:v>
                </c:pt>
                <c:pt idx="43">
                  <c:v>19539</c:v>
                </c:pt>
                <c:pt idx="44">
                  <c:v>20550</c:v>
                </c:pt>
                <c:pt idx="45">
                  <c:v>21261</c:v>
                </c:pt>
                <c:pt idx="46">
                  <c:v>22128</c:v>
                </c:pt>
                <c:pt idx="47">
                  <c:v>23175</c:v>
                </c:pt>
                <c:pt idx="48">
                  <c:v>24169</c:v>
                </c:pt>
                <c:pt idx="49">
                  <c:v>25128</c:v>
                </c:pt>
                <c:pt idx="50">
                  <c:v>26211</c:v>
                </c:pt>
                <c:pt idx="51">
                  <c:v>27240</c:v>
                </c:pt>
                <c:pt idx="52">
                  <c:v>27904</c:v>
                </c:pt>
                <c:pt idx="53">
                  <c:v>28793</c:v>
                </c:pt>
                <c:pt idx="54">
                  <c:v>29809</c:v>
                </c:pt>
                <c:pt idx="55">
                  <c:v>30846</c:v>
                </c:pt>
                <c:pt idx="56">
                  <c:v>35852</c:v>
                </c:pt>
                <c:pt idx="57">
                  <c:v>49405</c:v>
                </c:pt>
                <c:pt idx="58">
                  <c:v>61009</c:v>
                </c:pt>
                <c:pt idx="59">
                  <c:v>63550</c:v>
                </c:pt>
                <c:pt idx="60">
                  <c:v>65081</c:v>
                </c:pt>
                <c:pt idx="61">
                  <c:v>66677</c:v>
                </c:pt>
                <c:pt idx="62">
                  <c:v>68138</c:v>
                </c:pt>
                <c:pt idx="63">
                  <c:v>69671</c:v>
                </c:pt>
                <c:pt idx="64">
                  <c:v>70983</c:v>
                </c:pt>
                <c:pt idx="65">
                  <c:v>72489</c:v>
                </c:pt>
                <c:pt idx="66">
                  <c:v>73830</c:v>
                </c:pt>
                <c:pt idx="67">
                  <c:v>75282</c:v>
                </c:pt>
                <c:pt idx="68">
                  <c:v>76933</c:v>
                </c:pt>
                <c:pt idx="69">
                  <c:v>81003</c:v>
                </c:pt>
                <c:pt idx="70">
                  <c:v>84536</c:v>
                </c:pt>
                <c:pt idx="71">
                  <c:v>87714</c:v>
                </c:pt>
                <c:pt idx="72">
                  <c:v>90641</c:v>
                </c:pt>
                <c:pt idx="73">
                  <c:v>92248</c:v>
                </c:pt>
                <c:pt idx="74">
                  <c:v>94024</c:v>
                </c:pt>
                <c:pt idx="75">
                  <c:v>95203</c:v>
                </c:pt>
                <c:pt idx="76">
                  <c:v>95719</c:v>
                </c:pt>
                <c:pt idx="77">
                  <c:v>96137</c:v>
                </c:pt>
                <c:pt idx="78">
                  <c:v>96505</c:v>
                </c:pt>
                <c:pt idx="79">
                  <c:v>96823</c:v>
                </c:pt>
                <c:pt idx="80">
                  <c:v>97091</c:v>
                </c:pt>
                <c:pt idx="81">
                  <c:v>97309</c:v>
                </c:pt>
                <c:pt idx="82">
                  <c:v>97477</c:v>
                </c:pt>
                <c:pt idx="83">
                  <c:v>97595</c:v>
                </c:pt>
                <c:pt idx="84">
                  <c:v>97663</c:v>
                </c:pt>
                <c:pt idx="85">
                  <c:v>97681</c:v>
                </c:pt>
                <c:pt idx="86">
                  <c:v>97699</c:v>
                </c:pt>
                <c:pt idx="87">
                  <c:v>97722</c:v>
                </c:pt>
                <c:pt idx="88">
                  <c:v>97822</c:v>
                </c:pt>
                <c:pt idx="89">
                  <c:v>97932</c:v>
                </c:pt>
                <c:pt idx="90">
                  <c:v>97973</c:v>
                </c:pt>
                <c:pt idx="91">
                  <c:v>98009</c:v>
                </c:pt>
                <c:pt idx="92">
                  <c:v>98034</c:v>
                </c:pt>
                <c:pt idx="93">
                  <c:v>98063</c:v>
                </c:pt>
                <c:pt idx="94">
                  <c:v>98072</c:v>
                </c:pt>
                <c:pt idx="95">
                  <c:v>98074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84A-466F-8AC3-2291E92A8D9D}"/>
            </c:ext>
          </c:extLst>
        </c:ser>
        <c:ser>
          <c:idx val="1"/>
          <c:order val="1"/>
          <c:tx>
            <c:strRef>
              <c:f>PIVOT!$C$2:$C$3</c:f>
              <c:strCache>
                <c:ptCount val="1"/>
                <c:pt idx="0">
                  <c:v>2024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PIVOT!$A$4:$A$99</c:f>
              <c:strCache>
                <c:ptCount val="96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</c:strCache>
            </c:strRef>
          </c:cat>
          <c:val>
            <c:numRef>
              <c:f>PIVOT!$C$4:$C$99</c:f>
              <c:numCache>
                <c:formatCode>General</c:formatCode>
                <c:ptCount val="96"/>
                <c:pt idx="0">
                  <c:v>39</c:v>
                </c:pt>
                <c:pt idx="1">
                  <c:v>52</c:v>
                </c:pt>
                <c:pt idx="2">
                  <c:v>62</c:v>
                </c:pt>
                <c:pt idx="3">
                  <c:v>78</c:v>
                </c:pt>
                <c:pt idx="4">
                  <c:v>89</c:v>
                </c:pt>
                <c:pt idx="5">
                  <c:v>97</c:v>
                </c:pt>
                <c:pt idx="6">
                  <c:v>106</c:v>
                </c:pt>
                <c:pt idx="7">
                  <c:v>132</c:v>
                </c:pt>
                <c:pt idx="8">
                  <c:v>165</c:v>
                </c:pt>
                <c:pt idx="9">
                  <c:v>183</c:v>
                </c:pt>
                <c:pt idx="10">
                  <c:v>190</c:v>
                </c:pt>
                <c:pt idx="11">
                  <c:v>220</c:v>
                </c:pt>
                <c:pt idx="12">
                  <c:v>265</c:v>
                </c:pt>
                <c:pt idx="13">
                  <c:v>301</c:v>
                </c:pt>
                <c:pt idx="14">
                  <c:v>423</c:v>
                </c:pt>
                <c:pt idx="15">
                  <c:v>584</c:v>
                </c:pt>
                <c:pt idx="16">
                  <c:v>765</c:v>
                </c:pt>
                <c:pt idx="17">
                  <c:v>960</c:v>
                </c:pt>
                <c:pt idx="18">
                  <c:v>1244</c:v>
                </c:pt>
                <c:pt idx="19">
                  <c:v>1458</c:v>
                </c:pt>
                <c:pt idx="20">
                  <c:v>2090</c:v>
                </c:pt>
                <c:pt idx="21">
                  <c:v>2642</c:v>
                </c:pt>
                <c:pt idx="22">
                  <c:v>3071</c:v>
                </c:pt>
                <c:pt idx="23">
                  <c:v>3378</c:v>
                </c:pt>
                <c:pt idx="24">
                  <c:v>3562</c:v>
                </c:pt>
                <c:pt idx="25">
                  <c:v>3704</c:v>
                </c:pt>
                <c:pt idx="26">
                  <c:v>3894</c:v>
                </c:pt>
                <c:pt idx="27">
                  <c:v>4092</c:v>
                </c:pt>
                <c:pt idx="28">
                  <c:v>4358</c:v>
                </c:pt>
                <c:pt idx="29">
                  <c:v>4727</c:v>
                </c:pt>
                <c:pt idx="30">
                  <c:v>5079</c:v>
                </c:pt>
                <c:pt idx="31">
                  <c:v>5805</c:v>
                </c:pt>
                <c:pt idx="32">
                  <c:v>6665</c:v>
                </c:pt>
                <c:pt idx="33">
                  <c:v>7510</c:v>
                </c:pt>
                <c:pt idx="34">
                  <c:v>8115</c:v>
                </c:pt>
                <c:pt idx="35">
                  <c:v>8811</c:v>
                </c:pt>
                <c:pt idx="36">
                  <c:v>9213</c:v>
                </c:pt>
                <c:pt idx="37">
                  <c:v>9377</c:v>
                </c:pt>
                <c:pt idx="38">
                  <c:v>9749</c:v>
                </c:pt>
                <c:pt idx="39">
                  <c:v>10123</c:v>
                </c:pt>
                <c:pt idx="40">
                  <c:v>10509</c:v>
                </c:pt>
                <c:pt idx="41">
                  <c:v>10860</c:v>
                </c:pt>
                <c:pt idx="42">
                  <c:v>11131</c:v>
                </c:pt>
                <c:pt idx="43">
                  <c:v>11381</c:v>
                </c:pt>
                <c:pt idx="44">
                  <c:v>11745</c:v>
                </c:pt>
                <c:pt idx="45">
                  <c:v>12095</c:v>
                </c:pt>
                <c:pt idx="46">
                  <c:v>12351</c:v>
                </c:pt>
                <c:pt idx="47">
                  <c:v>12624</c:v>
                </c:pt>
                <c:pt idx="48">
                  <c:v>12947</c:v>
                </c:pt>
                <c:pt idx="49">
                  <c:v>13334</c:v>
                </c:pt>
                <c:pt idx="50">
                  <c:v>13601</c:v>
                </c:pt>
                <c:pt idx="51">
                  <c:v>13993</c:v>
                </c:pt>
                <c:pt idx="52">
                  <c:v>14455</c:v>
                </c:pt>
                <c:pt idx="53">
                  <c:v>14711</c:v>
                </c:pt>
                <c:pt idx="54">
                  <c:v>15129</c:v>
                </c:pt>
                <c:pt idx="55">
                  <c:v>15529</c:v>
                </c:pt>
                <c:pt idx="56">
                  <c:v>16315</c:v>
                </c:pt>
                <c:pt idx="57">
                  <c:v>17236</c:v>
                </c:pt>
                <c:pt idx="58">
                  <c:v>18192</c:v>
                </c:pt>
                <c:pt idx="59">
                  <c:v>19237</c:v>
                </c:pt>
                <c:pt idx="60">
                  <c:v>20287</c:v>
                </c:pt>
                <c:pt idx="61">
                  <c:v>21167</c:v>
                </c:pt>
                <c:pt idx="62">
                  <c:v>21862</c:v>
                </c:pt>
                <c:pt idx="63">
                  <c:v>22370</c:v>
                </c:pt>
                <c:pt idx="64">
                  <c:v>23048</c:v>
                </c:pt>
                <c:pt idx="65">
                  <c:v>23881</c:v>
                </c:pt>
                <c:pt idx="66">
                  <c:v>25245</c:v>
                </c:pt>
                <c:pt idx="67">
                  <c:v>27613</c:v>
                </c:pt>
                <c:pt idx="68">
                  <c:v>29934</c:v>
                </c:pt>
                <c:pt idx="69">
                  <c:v>32946</c:v>
                </c:pt>
                <c:pt idx="70">
                  <c:v>35987</c:v>
                </c:pt>
                <c:pt idx="71">
                  <c:v>37140</c:v>
                </c:pt>
                <c:pt idx="72">
                  <c:v>38237</c:v>
                </c:pt>
                <c:pt idx="73">
                  <c:v>39515</c:v>
                </c:pt>
                <c:pt idx="74">
                  <c:v>41829</c:v>
                </c:pt>
                <c:pt idx="75">
                  <c:v>42546</c:v>
                </c:pt>
                <c:pt idx="76">
                  <c:v>43080</c:v>
                </c:pt>
                <c:pt idx="77">
                  <c:v>43400</c:v>
                </c:pt>
                <c:pt idx="78">
                  <c:v>43682</c:v>
                </c:pt>
                <c:pt idx="79">
                  <c:v>43926</c:v>
                </c:pt>
                <c:pt idx="80">
                  <c:v>44132</c:v>
                </c:pt>
                <c:pt idx="81">
                  <c:v>44300</c:v>
                </c:pt>
                <c:pt idx="82">
                  <c:v>44429</c:v>
                </c:pt>
                <c:pt idx="83">
                  <c:v>44520</c:v>
                </c:pt>
                <c:pt idx="84">
                  <c:v>44581</c:v>
                </c:pt>
                <c:pt idx="85">
                  <c:v>44634</c:v>
                </c:pt>
                <c:pt idx="86">
                  <c:v>44649</c:v>
                </c:pt>
                <c:pt idx="87">
                  <c:v>44649</c:v>
                </c:pt>
                <c:pt idx="88">
                  <c:v>44651</c:v>
                </c:pt>
                <c:pt idx="89">
                  <c:v>44653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84A-466F-8AC3-2291E92A8D9D}"/>
            </c:ext>
          </c:extLst>
        </c:ser>
        <c:ser>
          <c:idx val="2"/>
          <c:order val="2"/>
          <c:tx>
            <c:strRef>
              <c:f>PIVOT!$D$2:$D$3</c:f>
              <c:strCache>
                <c:ptCount val="1"/>
                <c:pt idx="0">
                  <c:v>2025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PIVOT!$A$4:$A$99</c:f>
              <c:strCache>
                <c:ptCount val="96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</c:strCache>
            </c:strRef>
          </c:cat>
          <c:val>
            <c:numRef>
              <c:f>PIVOT!$D$4:$D$99</c:f>
              <c:numCache>
                <c:formatCode>General</c:formatCode>
                <c:ptCount val="96"/>
                <c:pt idx="0">
                  <c:v>21</c:v>
                </c:pt>
                <c:pt idx="1">
                  <c:v>24</c:v>
                </c:pt>
                <c:pt idx="2">
                  <c:v>28</c:v>
                </c:pt>
                <c:pt idx="3">
                  <c:v>38</c:v>
                </c:pt>
                <c:pt idx="4">
                  <c:v>44</c:v>
                </c:pt>
                <c:pt idx="5">
                  <c:v>59</c:v>
                </c:pt>
                <c:pt idx="6">
                  <c:v>74</c:v>
                </c:pt>
                <c:pt idx="7">
                  <c:v>118</c:v>
                </c:pt>
                <c:pt idx="8">
                  <c:v>147</c:v>
                </c:pt>
                <c:pt idx="9">
                  <c:v>172</c:v>
                </c:pt>
                <c:pt idx="10">
                  <c:v>227</c:v>
                </c:pt>
                <c:pt idx="11">
                  <c:v>256</c:v>
                </c:pt>
                <c:pt idx="12">
                  <c:v>303</c:v>
                </c:pt>
                <c:pt idx="13">
                  <c:v>347</c:v>
                </c:pt>
                <c:pt idx="14">
                  <c:v>415</c:v>
                </c:pt>
                <c:pt idx="15">
                  <c:v>467</c:v>
                </c:pt>
                <c:pt idx="16">
                  <c:v>563</c:v>
                </c:pt>
                <c:pt idx="17">
                  <c:v>748</c:v>
                </c:pt>
                <c:pt idx="18">
                  <c:v>888</c:v>
                </c:pt>
                <c:pt idx="19">
                  <c:v>1164</c:v>
                </c:pt>
                <c:pt idx="20">
                  <c:v>1838</c:v>
                </c:pt>
                <c:pt idx="21">
                  <c:v>2275</c:v>
                </c:pt>
                <c:pt idx="22">
                  <c:v>2754</c:v>
                </c:pt>
                <c:pt idx="23">
                  <c:v>3221</c:v>
                </c:pt>
                <c:pt idx="24">
                  <c:v>3577</c:v>
                </c:pt>
                <c:pt idx="25">
                  <c:v>3874</c:v>
                </c:pt>
                <c:pt idx="26">
                  <c:v>4139</c:v>
                </c:pt>
                <c:pt idx="27">
                  <c:v>4279</c:v>
                </c:pt>
                <c:pt idx="28">
                  <c:v>4386</c:v>
                </c:pt>
                <c:pt idx="29">
                  <c:v>4539</c:v>
                </c:pt>
                <c:pt idx="30">
                  <c:v>4716</c:v>
                </c:pt>
                <c:pt idx="31">
                  <c:v>5011</c:v>
                </c:pt>
                <c:pt idx="32">
                  <c:v>5521</c:v>
                </c:pt>
                <c:pt idx="33">
                  <c:v>5939</c:v>
                </c:pt>
                <c:pt idx="34">
                  <c:v>7144</c:v>
                </c:pt>
                <c:pt idx="35">
                  <c:v>7954</c:v>
                </c:pt>
                <c:pt idx="36">
                  <c:v>8869</c:v>
                </c:pt>
                <c:pt idx="37">
                  <c:v>10087</c:v>
                </c:pt>
                <c:pt idx="38">
                  <c:v>11195</c:v>
                </c:pt>
                <c:pt idx="39">
                  <c:v>12308</c:v>
                </c:pt>
                <c:pt idx="40">
                  <c:v>13030</c:v>
                </c:pt>
                <c:pt idx="41">
                  <c:v>13784</c:v>
                </c:pt>
                <c:pt idx="42">
                  <c:v>14468</c:v>
                </c:pt>
                <c:pt idx="43">
                  <c:v>15043</c:v>
                </c:pt>
                <c:pt idx="44">
                  <c:v>15784</c:v>
                </c:pt>
                <c:pt idx="45">
                  <c:v>16390</c:v>
                </c:pt>
                <c:pt idx="46">
                  <c:v>17024</c:v>
                </c:pt>
                <c:pt idx="47">
                  <c:v>17769</c:v>
                </c:pt>
                <c:pt idx="48">
                  <c:v>18593</c:v>
                </c:pt>
                <c:pt idx="49">
                  <c:v>19081</c:v>
                </c:pt>
                <c:pt idx="50">
                  <c:v>19585</c:v>
                </c:pt>
                <c:pt idx="51">
                  <c:v>20349</c:v>
                </c:pt>
                <c:pt idx="52">
                  <c:v>21191</c:v>
                </c:pt>
                <c:pt idx="53">
                  <c:v>21756</c:v>
                </c:pt>
                <c:pt idx="54">
                  <c:v>22423</c:v>
                </c:pt>
                <c:pt idx="55">
                  <c:v>23402</c:v>
                </c:pt>
                <c:pt idx="56">
                  <c:v>23935</c:v>
                </c:pt>
                <c:pt idx="57">
                  <c:v>24771</c:v>
                </c:pt>
                <c:pt idx="58">
                  <c:v>26047</c:v>
                </c:pt>
                <c:pt idx="59">
                  <c:v>27770</c:v>
                </c:pt>
                <c:pt idx="60">
                  <c:v>29321</c:v>
                </c:pt>
                <c:pt idx="61">
                  <c:v>32689</c:v>
                </c:pt>
                <c:pt idx="62">
                  <c:v>34553</c:v>
                </c:pt>
                <c:pt idx="63">
                  <c:v>36152</c:v>
                </c:pt>
                <c:pt idx="64">
                  <c:v>37205</c:v>
                </c:pt>
                <c:pt idx="65">
                  <c:v>39106</c:v>
                </c:pt>
                <c:pt idx="66">
                  <c:v>39679</c:v>
                </c:pt>
                <c:pt idx="67">
                  <c:v>40379</c:v>
                </c:pt>
                <c:pt idx="68">
                  <c:v>41238</c:v>
                </c:pt>
                <c:pt idx="69">
                  <c:v>42018</c:v>
                </c:pt>
                <c:pt idx="70">
                  <c:v>42541</c:v>
                </c:pt>
                <c:pt idx="71">
                  <c:v>43099</c:v>
                </c:pt>
                <c:pt idx="72">
                  <c:v>43665</c:v>
                </c:pt>
                <c:pt idx="73">
                  <c:v>43956</c:v>
                </c:pt>
                <c:pt idx="74">
                  <c:v>44282</c:v>
                </c:pt>
                <c:pt idx="75">
                  <c:v>44529</c:v>
                </c:pt>
                <c:pt idx="76">
                  <c:v>44854</c:v>
                </c:pt>
                <c:pt idx="77">
                  <c:v>45159</c:v>
                </c:pt>
                <c:pt idx="78">
                  <c:v>45309</c:v>
                </c:pt>
                <c:pt idx="79">
                  <c:v>45431</c:v>
                </c:pt>
                <c:pt idx="80">
                  <c:v>45480</c:v>
                </c:pt>
                <c:pt idx="81">
                  <c:v>45543</c:v>
                </c:pt>
                <c:pt idx="82">
                  <c:v>45614</c:v>
                </c:pt>
                <c:pt idx="83">
                  <c:v>45638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B84A-466F-8AC3-2291E92A8D9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6921759"/>
        <c:axId val="1427508591"/>
      </c:lineChart>
      <c:catAx>
        <c:axId val="1446921759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27508591"/>
        <c:crosses val="autoZero"/>
        <c:auto val="1"/>
        <c:lblAlgn val="ctr"/>
        <c:lblOffset val="100"/>
        <c:tickLblSkip val="10"/>
        <c:tickMarkSkip val="10"/>
        <c:noMultiLvlLbl val="0"/>
      </c:catAx>
      <c:valAx>
        <c:axId val="142750859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46921759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161924</xdr:colOff>
      <xdr:row>6</xdr:row>
      <xdr:rowOff>28575</xdr:rowOff>
    </xdr:from>
    <xdr:to>
      <xdr:col>26</xdr:col>
      <xdr:colOff>85724</xdr:colOff>
      <xdr:row>31</xdr:row>
      <xdr:rowOff>28574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751B45D4-FF5C-E3AD-10CC-7524D430930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152400</xdr:colOff>
      <xdr:row>6</xdr:row>
      <xdr:rowOff>133350</xdr:rowOff>
    </xdr:from>
    <xdr:to>
      <xdr:col>17</xdr:col>
      <xdr:colOff>485775</xdr:colOff>
      <xdr:row>33</xdr:row>
      <xdr:rowOff>152400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58E921A-7685-47AA-91A8-BBCADF94B8F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Pourfaraj, Vahab (DFO/MPO)" refreshedDate="46283.669624421294" createdVersion="8" refreshedVersion="8" minRefreshableVersion="3" recordCount="3065" xr:uid="{7A78EEF2-3F13-48E4-A1A2-A812BB0CFE59}">
  <cacheSource type="worksheet">
    <worksheetSource name="STAMP_Escapement_Data"/>
  </cacheSource>
  <cacheFields count="9">
    <cacheField name="DATE" numFmtId="0">
      <sharedItems containsNonDate="0" containsDate="1" containsString="0" containsBlank="1" minDate="1986-09-18T00:00:00" maxDate="2025-10-24T00:00:00"/>
    </cacheField>
    <cacheField name="STDATE" numFmtId="0">
      <sharedItems containsBlank="1" containsMixedTypes="1" containsNumber="1" containsInteger="1" minValue="731" maxValue="1130"/>
    </cacheField>
    <cacheField name="YEAR" numFmtId="0">
      <sharedItems containsString="0" containsBlank="1" containsNumber="1" containsInteger="1" minValue="1986" maxValue="2025" count="41">
        <n v="1986"/>
        <n v="1987"/>
        <n v="1988"/>
        <n v="1989"/>
        <n v="1990"/>
        <n v="1991"/>
        <n v="1992"/>
        <n v="1993"/>
        <n v="1994"/>
        <n v="1995"/>
        <n v="1996"/>
        <n v="1997"/>
        <n v="1998"/>
        <n v="1999"/>
        <n v="2000"/>
        <n v="2001"/>
        <n v="2002"/>
        <n v="2003"/>
        <n v="2004"/>
        <n v="2005"/>
        <n v="2006"/>
        <n v="2007"/>
        <n v="2008"/>
        <n v="2009"/>
        <n v="2010"/>
        <n v="2011"/>
        <n v="2012"/>
        <n v="2013"/>
        <n v="2014"/>
        <n v="2015"/>
        <n v="2016"/>
        <n v="2017"/>
        <n v="2018"/>
        <n v="2019"/>
        <n v="2020"/>
        <n v="2021"/>
        <n v="2022"/>
        <n v="2023"/>
        <n v="2024"/>
        <n v="2025"/>
        <m/>
      </sharedItems>
    </cacheField>
    <cacheField name="CO" numFmtId="0">
      <sharedItems containsString="0" containsBlank="1" containsNumber="1" containsInteger="1" minValue="0" maxValue="6757"/>
    </cacheField>
    <cacheField name="JCO" numFmtId="0">
      <sharedItems containsString="0" containsBlank="1" containsNumber="1" containsInteger="1" minValue="-3" maxValue="520"/>
    </cacheField>
    <cacheField name="CN" numFmtId="0">
      <sharedItems containsString="0" containsBlank="1" containsNumber="1" containsInteger="1" minValue="0" maxValue="13553"/>
    </cacheField>
    <cacheField name="JCN" numFmtId="0">
      <sharedItems containsString="0" containsBlank="1" containsNumber="1" containsInteger="1" minValue="0" maxValue="967"/>
    </cacheField>
    <cacheField name="RunningCNTotal" numFmtId="0">
      <sharedItems containsString="0" containsBlank="1" containsNumber="1" containsInteger="1" minValue="0" maxValue="140805"/>
    </cacheField>
    <cacheField name="SinceAugust" numFmtId="1">
      <sharedItems containsSemiMixedTypes="0" containsString="0" containsNumber="1" containsInteger="1" minValue="-214" maxValue="121" count="147">
        <n v="48"/>
        <n v="49"/>
        <n v="50"/>
        <n v="51"/>
        <n v="52"/>
        <n v="53"/>
        <n v="54"/>
        <n v="55"/>
        <n v="56"/>
        <n v="57"/>
        <n v="58"/>
        <n v="59"/>
        <n v="60"/>
        <n v="61"/>
        <n v="62"/>
        <n v="63"/>
        <n v="64"/>
        <n v="65"/>
        <n v="66"/>
        <n v="67"/>
        <n v="68"/>
        <n v="69"/>
        <n v="70"/>
        <n v="71"/>
        <n v="72"/>
        <n v="73"/>
        <n v="74"/>
        <n v="75"/>
        <n v="76"/>
        <n v="77"/>
        <n v="78"/>
        <n v="79"/>
        <n v="80"/>
        <n v="81"/>
        <n v="82"/>
        <n v="83"/>
        <n v="84"/>
        <n v="85"/>
        <n v="86"/>
        <n v="87"/>
        <n v="88"/>
        <n v="89"/>
        <n v="90"/>
        <n v="91"/>
        <n v="92"/>
        <n v="93"/>
        <n v="94"/>
        <n v="95"/>
        <n v="96"/>
        <n v="97"/>
        <n v="98"/>
        <n v="99"/>
        <n v="100"/>
        <n v="101"/>
        <n v="102"/>
        <n v="103"/>
        <n v="104"/>
        <n v="105"/>
        <n v="106"/>
        <n v="107"/>
        <n v="108"/>
        <n v="109"/>
        <n v="110"/>
        <n v="45"/>
        <n v="46"/>
        <n v="47"/>
        <n v="111"/>
        <n v="44"/>
        <n v="41"/>
        <n v="42"/>
        <n v="43"/>
        <n v="37"/>
        <n v="38"/>
        <n v="39"/>
        <n v="40"/>
        <n v="32"/>
        <n v="33"/>
        <n v="34"/>
        <n v="35"/>
        <n v="36"/>
        <n v="31"/>
        <n v="30"/>
        <n v="13"/>
        <n v="14"/>
        <n v="15"/>
        <n v="16"/>
        <n v="17"/>
        <n v="18"/>
        <n v="19"/>
        <n v="20"/>
        <n v="21"/>
        <n v="22"/>
        <n v="23"/>
        <n v="24"/>
        <n v="25"/>
        <n v="26"/>
        <n v="27"/>
        <n v="28"/>
        <n v="29"/>
        <n v="-1"/>
        <n v="0"/>
        <n v="1"/>
        <n v="2"/>
        <n v="3"/>
        <n v="4"/>
        <n v="5"/>
        <n v="6"/>
        <n v="7"/>
        <n v="8"/>
        <n v="9"/>
        <n v="10"/>
        <n v="11"/>
        <n v="12"/>
        <n v="112"/>
        <n v="113"/>
        <n v="114"/>
        <n v="115"/>
        <n v="116"/>
        <n v="117"/>
        <n v="118"/>
        <n v="119"/>
        <n v="120"/>
        <n v="121"/>
        <n v="-24"/>
        <n v="-23"/>
        <n v="-22"/>
        <n v="-21"/>
        <n v="-20"/>
        <n v="-19"/>
        <n v="-18"/>
        <n v="-17"/>
        <n v="-16"/>
        <n v="-15"/>
        <n v="-14"/>
        <n v="-13"/>
        <n v="-12"/>
        <n v="-11"/>
        <n v="-10"/>
        <n v="-9"/>
        <n v="-8"/>
        <n v="-7"/>
        <n v="-6"/>
        <n v="-5"/>
        <n v="-4"/>
        <n v="-3"/>
        <n v="-2"/>
        <n v="-214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065">
  <r>
    <d v="1986-09-18T00:00:00"/>
    <n v="918"/>
    <x v="0"/>
    <n v="35"/>
    <m/>
    <n v="94"/>
    <m/>
    <n v="94"/>
    <x v="0"/>
  </r>
  <r>
    <d v="1986-09-19T00:00:00"/>
    <n v="919"/>
    <x v="0"/>
    <n v="448"/>
    <m/>
    <n v="197"/>
    <m/>
    <n v="291"/>
    <x v="1"/>
  </r>
  <r>
    <d v="1986-09-20T00:00:00"/>
    <n v="920"/>
    <x v="0"/>
    <n v="7"/>
    <m/>
    <n v="438"/>
    <m/>
    <n v="729"/>
    <x v="2"/>
  </r>
  <r>
    <d v="1986-09-21T00:00:00"/>
    <n v="921"/>
    <x v="0"/>
    <n v="836"/>
    <m/>
    <n v="634"/>
    <m/>
    <n v="1363"/>
    <x v="3"/>
  </r>
  <r>
    <d v="1986-09-22T00:00:00"/>
    <n v="922"/>
    <x v="0"/>
    <n v="2103"/>
    <m/>
    <n v="1336"/>
    <m/>
    <n v="2699"/>
    <x v="4"/>
  </r>
  <r>
    <d v="1986-09-23T00:00:00"/>
    <n v="923"/>
    <x v="0"/>
    <n v="504"/>
    <m/>
    <n v="1307"/>
    <m/>
    <n v="4006"/>
    <x v="5"/>
  </r>
  <r>
    <d v="1986-09-24T00:00:00"/>
    <n v="924"/>
    <x v="0"/>
    <n v="188"/>
    <m/>
    <n v="298"/>
    <m/>
    <n v="4304"/>
    <x v="6"/>
  </r>
  <r>
    <d v="1986-09-25T00:00:00"/>
    <n v="925"/>
    <x v="0"/>
    <n v="1273"/>
    <m/>
    <n v="568"/>
    <m/>
    <n v="4872"/>
    <x v="7"/>
  </r>
  <r>
    <d v="1986-09-26T00:00:00"/>
    <n v="926"/>
    <x v="0"/>
    <n v="1033"/>
    <m/>
    <n v="493"/>
    <m/>
    <n v="5365"/>
    <x v="8"/>
  </r>
  <r>
    <d v="1986-09-27T00:00:00"/>
    <n v="927"/>
    <x v="0"/>
    <n v="12"/>
    <m/>
    <n v="86"/>
    <m/>
    <n v="5451"/>
    <x v="9"/>
  </r>
  <r>
    <d v="1986-09-28T00:00:00"/>
    <n v="928"/>
    <x v="0"/>
    <n v="302"/>
    <m/>
    <n v="272"/>
    <m/>
    <n v="5723"/>
    <x v="10"/>
  </r>
  <r>
    <d v="1986-09-29T00:00:00"/>
    <n v="929"/>
    <x v="0"/>
    <n v="1442"/>
    <m/>
    <n v="677"/>
    <m/>
    <n v="6400"/>
    <x v="11"/>
  </r>
  <r>
    <d v="1986-09-30T00:00:00"/>
    <n v="930"/>
    <x v="0"/>
    <n v="830"/>
    <m/>
    <n v="643"/>
    <m/>
    <n v="7043"/>
    <x v="12"/>
  </r>
  <r>
    <d v="1986-10-01T00:00:00"/>
    <n v="1001"/>
    <x v="0"/>
    <n v="1816"/>
    <m/>
    <n v="561"/>
    <m/>
    <n v="7604"/>
    <x v="13"/>
  </r>
  <r>
    <d v="1986-10-02T00:00:00"/>
    <n v="1002"/>
    <x v="0"/>
    <n v="1514"/>
    <m/>
    <n v="682"/>
    <m/>
    <n v="8286"/>
    <x v="14"/>
  </r>
  <r>
    <d v="1986-10-03T00:00:00"/>
    <n v="1003"/>
    <x v="0"/>
    <n v="1754"/>
    <m/>
    <n v="596"/>
    <m/>
    <n v="8882"/>
    <x v="15"/>
  </r>
  <r>
    <d v="1986-10-04T00:00:00"/>
    <n v="1004"/>
    <x v="0"/>
    <n v="2363"/>
    <m/>
    <n v="1203"/>
    <m/>
    <n v="10085"/>
    <x v="16"/>
  </r>
  <r>
    <d v="1986-10-05T00:00:00"/>
    <n v="1005"/>
    <x v="0"/>
    <n v="1831"/>
    <m/>
    <n v="1722"/>
    <m/>
    <n v="11807"/>
    <x v="17"/>
  </r>
  <r>
    <d v="1986-10-06T00:00:00"/>
    <n v="1006"/>
    <x v="0"/>
    <n v="955"/>
    <m/>
    <n v="1014"/>
    <m/>
    <n v="12821"/>
    <x v="18"/>
  </r>
  <r>
    <d v="1986-10-07T00:00:00"/>
    <n v="1007"/>
    <x v="0"/>
    <n v="804"/>
    <m/>
    <n v="1796"/>
    <m/>
    <n v="14617"/>
    <x v="19"/>
  </r>
  <r>
    <d v="1986-10-08T00:00:00"/>
    <n v="1008"/>
    <x v="0"/>
    <n v="607"/>
    <m/>
    <n v="2448"/>
    <m/>
    <n v="17065"/>
    <x v="20"/>
  </r>
  <r>
    <d v="1986-10-09T00:00:00"/>
    <n v="1009"/>
    <x v="0"/>
    <n v="489"/>
    <m/>
    <n v="2268"/>
    <m/>
    <n v="19333"/>
    <x v="21"/>
  </r>
  <r>
    <d v="1986-10-10T00:00:00"/>
    <n v="1010"/>
    <x v="0"/>
    <n v="368"/>
    <m/>
    <n v="1394"/>
    <m/>
    <n v="20727"/>
    <x v="22"/>
  </r>
  <r>
    <d v="1986-10-11T00:00:00"/>
    <n v="1011"/>
    <x v="0"/>
    <n v="265"/>
    <m/>
    <n v="928"/>
    <m/>
    <n v="21655"/>
    <x v="23"/>
  </r>
  <r>
    <d v="1986-10-12T00:00:00"/>
    <n v="1012"/>
    <x v="0"/>
    <n v="248"/>
    <m/>
    <n v="892"/>
    <m/>
    <n v="22547"/>
    <x v="24"/>
  </r>
  <r>
    <d v="1986-10-13T00:00:00"/>
    <n v="1013"/>
    <x v="0"/>
    <n v="202"/>
    <m/>
    <n v="841"/>
    <m/>
    <n v="23388"/>
    <x v="25"/>
  </r>
  <r>
    <d v="1986-10-14T00:00:00"/>
    <n v="1014"/>
    <x v="0"/>
    <n v="290"/>
    <m/>
    <n v="928"/>
    <m/>
    <n v="24316"/>
    <x v="26"/>
  </r>
  <r>
    <d v="1986-10-15T00:00:00"/>
    <n v="1015"/>
    <x v="0"/>
    <n v="750"/>
    <m/>
    <n v="1371"/>
    <m/>
    <n v="25687"/>
    <x v="27"/>
  </r>
  <r>
    <d v="1986-10-16T00:00:00"/>
    <n v="1016"/>
    <x v="0"/>
    <n v="236"/>
    <m/>
    <n v="1798"/>
    <m/>
    <n v="27485"/>
    <x v="28"/>
  </r>
  <r>
    <d v="1986-10-17T00:00:00"/>
    <n v="1017"/>
    <x v="0"/>
    <n v="145"/>
    <m/>
    <n v="650"/>
    <m/>
    <n v="28135"/>
    <x v="29"/>
  </r>
  <r>
    <d v="1986-10-18T00:00:00"/>
    <n v="1018"/>
    <x v="0"/>
    <n v="232"/>
    <m/>
    <n v="1375"/>
    <m/>
    <n v="29510"/>
    <x v="30"/>
  </r>
  <r>
    <d v="1986-10-19T00:00:00"/>
    <n v="1019"/>
    <x v="0"/>
    <n v="91"/>
    <m/>
    <n v="422"/>
    <m/>
    <n v="29932"/>
    <x v="31"/>
  </r>
  <r>
    <d v="1986-10-20T00:00:00"/>
    <n v="1020"/>
    <x v="0"/>
    <n v="199"/>
    <m/>
    <n v="1048"/>
    <m/>
    <n v="30980"/>
    <x v="32"/>
  </r>
  <r>
    <d v="1986-10-21T00:00:00"/>
    <n v="1021"/>
    <x v="0"/>
    <n v="187"/>
    <m/>
    <n v="630"/>
    <m/>
    <n v="31610"/>
    <x v="33"/>
  </r>
  <r>
    <d v="1986-10-22T00:00:00"/>
    <n v="1022"/>
    <x v="0"/>
    <n v="321"/>
    <m/>
    <n v="701"/>
    <m/>
    <n v="32311"/>
    <x v="34"/>
  </r>
  <r>
    <d v="1986-10-23T00:00:00"/>
    <n v="1023"/>
    <x v="0"/>
    <n v="452"/>
    <m/>
    <n v="1136"/>
    <m/>
    <n v="33447"/>
    <x v="35"/>
  </r>
  <r>
    <d v="1986-10-24T00:00:00"/>
    <n v="1024"/>
    <x v="0"/>
    <n v="223"/>
    <m/>
    <n v="481"/>
    <m/>
    <n v="33928"/>
    <x v="36"/>
  </r>
  <r>
    <d v="1986-10-25T00:00:00"/>
    <n v="1025"/>
    <x v="0"/>
    <n v="146"/>
    <m/>
    <n v="261"/>
    <m/>
    <n v="34189"/>
    <x v="37"/>
  </r>
  <r>
    <d v="1986-10-26T00:00:00"/>
    <n v="1026"/>
    <x v="0"/>
    <n v="47"/>
    <m/>
    <n v="104"/>
    <m/>
    <n v="34293"/>
    <x v="38"/>
  </r>
  <r>
    <d v="1986-10-27T00:00:00"/>
    <n v="1027"/>
    <x v="0"/>
    <n v="494"/>
    <m/>
    <n v="289"/>
    <m/>
    <n v="34582"/>
    <x v="39"/>
  </r>
  <r>
    <d v="1986-10-28T00:00:00"/>
    <n v="1028"/>
    <x v="0"/>
    <n v="0"/>
    <m/>
    <n v="0"/>
    <m/>
    <n v="34582"/>
    <x v="40"/>
  </r>
  <r>
    <d v="1986-10-29T00:00:00"/>
    <n v="1029"/>
    <x v="0"/>
    <n v="116"/>
    <m/>
    <n v="75"/>
    <m/>
    <n v="34657"/>
    <x v="41"/>
  </r>
  <r>
    <d v="1986-10-30T00:00:00"/>
    <n v="1030"/>
    <x v="0"/>
    <n v="136"/>
    <m/>
    <n v="10"/>
    <m/>
    <n v="34667"/>
    <x v="42"/>
  </r>
  <r>
    <d v="1986-10-31T00:00:00"/>
    <n v="1031"/>
    <x v="0"/>
    <n v="326"/>
    <m/>
    <n v="5"/>
    <m/>
    <n v="34672"/>
    <x v="43"/>
  </r>
  <r>
    <d v="1986-11-01T00:00:00"/>
    <n v="1101"/>
    <x v="0"/>
    <n v="130"/>
    <m/>
    <n v="1"/>
    <m/>
    <n v="34673"/>
    <x v="44"/>
  </r>
  <r>
    <d v="1986-11-02T00:00:00"/>
    <n v="1102"/>
    <x v="0"/>
    <n v="74"/>
    <m/>
    <n v="5"/>
    <m/>
    <n v="34678"/>
    <x v="45"/>
  </r>
  <r>
    <d v="1986-11-03T00:00:00"/>
    <n v="1103"/>
    <x v="0"/>
    <n v="65"/>
    <m/>
    <n v="31"/>
    <m/>
    <n v="34709"/>
    <x v="46"/>
  </r>
  <r>
    <d v="1986-11-04T00:00:00"/>
    <n v="1104"/>
    <x v="0"/>
    <n v="75"/>
    <m/>
    <n v="44"/>
    <m/>
    <n v="34753"/>
    <x v="47"/>
  </r>
  <r>
    <d v="1986-11-05T00:00:00"/>
    <n v="1105"/>
    <x v="0"/>
    <n v="63"/>
    <m/>
    <n v="33"/>
    <m/>
    <n v="34786"/>
    <x v="48"/>
  </r>
  <r>
    <d v="1986-11-06T00:00:00"/>
    <n v="1106"/>
    <x v="0"/>
    <n v="77"/>
    <m/>
    <n v="14"/>
    <m/>
    <n v="34800"/>
    <x v="49"/>
  </r>
  <r>
    <d v="1986-11-07T00:00:00"/>
    <n v="1107"/>
    <x v="0"/>
    <n v="22"/>
    <m/>
    <n v="1"/>
    <m/>
    <n v="34801"/>
    <x v="50"/>
  </r>
  <r>
    <d v="1986-11-08T00:00:00"/>
    <n v="1108"/>
    <x v="0"/>
    <n v="0"/>
    <m/>
    <n v="0"/>
    <m/>
    <n v="34801"/>
    <x v="51"/>
  </r>
  <r>
    <d v="1986-11-09T00:00:00"/>
    <n v="1109"/>
    <x v="0"/>
    <n v="69"/>
    <m/>
    <n v="320"/>
    <m/>
    <n v="35121"/>
    <x v="52"/>
  </r>
  <r>
    <d v="1987-09-28T00:00:00"/>
    <n v="928"/>
    <x v="1"/>
    <n v="1152"/>
    <m/>
    <n v="293"/>
    <m/>
    <n v="293"/>
    <x v="10"/>
  </r>
  <r>
    <d v="1987-09-29T00:00:00"/>
    <n v="929"/>
    <x v="1"/>
    <n v="1701"/>
    <m/>
    <n v="371"/>
    <m/>
    <n v="664"/>
    <x v="11"/>
  </r>
  <r>
    <d v="1987-09-30T00:00:00"/>
    <n v="930"/>
    <x v="1"/>
    <n v="1042"/>
    <m/>
    <n v="453"/>
    <m/>
    <n v="1117"/>
    <x v="12"/>
  </r>
  <r>
    <d v="1987-10-01T00:00:00"/>
    <n v="1001"/>
    <x v="1"/>
    <n v="1484"/>
    <m/>
    <n v="569"/>
    <m/>
    <n v="1686"/>
    <x v="13"/>
  </r>
  <r>
    <d v="1987-10-02T00:00:00"/>
    <n v="1002"/>
    <x v="1"/>
    <n v="1985"/>
    <m/>
    <n v="785"/>
    <m/>
    <n v="2471"/>
    <x v="14"/>
  </r>
  <r>
    <d v="1987-10-03T00:00:00"/>
    <n v="1003"/>
    <x v="1"/>
    <n v="1507"/>
    <m/>
    <n v="861"/>
    <m/>
    <n v="3332"/>
    <x v="15"/>
  </r>
  <r>
    <d v="1987-10-04T00:00:00"/>
    <n v="1004"/>
    <x v="1"/>
    <n v="1423"/>
    <m/>
    <n v="1052"/>
    <m/>
    <n v="4384"/>
    <x v="16"/>
  </r>
  <r>
    <d v="1987-10-05T00:00:00"/>
    <n v="1005"/>
    <x v="1"/>
    <n v="1233"/>
    <m/>
    <n v="869"/>
    <m/>
    <n v="5253"/>
    <x v="17"/>
  </r>
  <r>
    <d v="1987-10-06T00:00:00"/>
    <n v="1006"/>
    <x v="1"/>
    <n v="820"/>
    <m/>
    <n v="702"/>
    <m/>
    <n v="5955"/>
    <x v="18"/>
  </r>
  <r>
    <d v="1987-10-07T00:00:00"/>
    <n v="1007"/>
    <x v="1"/>
    <n v="445"/>
    <m/>
    <n v="1004"/>
    <m/>
    <n v="6959"/>
    <x v="19"/>
  </r>
  <r>
    <d v="1987-10-08T00:00:00"/>
    <n v="1008"/>
    <x v="1"/>
    <n v="484"/>
    <m/>
    <n v="2030"/>
    <m/>
    <n v="8989"/>
    <x v="20"/>
  </r>
  <r>
    <d v="1987-10-09T00:00:00"/>
    <n v="1009"/>
    <x v="1"/>
    <n v="463"/>
    <m/>
    <n v="5407"/>
    <m/>
    <n v="14396"/>
    <x v="21"/>
  </r>
  <r>
    <d v="1987-10-10T00:00:00"/>
    <n v="1010"/>
    <x v="1"/>
    <n v="423"/>
    <m/>
    <n v="7780"/>
    <m/>
    <n v="22176"/>
    <x v="22"/>
  </r>
  <r>
    <d v="1987-10-11T00:00:00"/>
    <n v="1011"/>
    <x v="1"/>
    <n v="319"/>
    <m/>
    <n v="4238"/>
    <m/>
    <n v="26414"/>
    <x v="23"/>
  </r>
  <r>
    <d v="1987-10-12T00:00:00"/>
    <n v="1012"/>
    <x v="1"/>
    <n v="285"/>
    <m/>
    <n v="4293"/>
    <m/>
    <n v="30707"/>
    <x v="24"/>
  </r>
  <r>
    <d v="1987-10-13T00:00:00"/>
    <n v="1013"/>
    <x v="1"/>
    <n v="89"/>
    <m/>
    <n v="2032"/>
    <m/>
    <n v="32739"/>
    <x v="25"/>
  </r>
  <r>
    <d v="1987-10-14T00:00:00"/>
    <n v="1014"/>
    <x v="1"/>
    <n v="119"/>
    <m/>
    <n v="2958"/>
    <m/>
    <n v="35697"/>
    <x v="26"/>
  </r>
  <r>
    <d v="1987-10-15T00:00:00"/>
    <n v="1015"/>
    <x v="1"/>
    <n v="144"/>
    <m/>
    <n v="2222"/>
    <m/>
    <n v="37919"/>
    <x v="27"/>
  </r>
  <r>
    <d v="1987-10-16T00:00:00"/>
    <n v="1016"/>
    <x v="1"/>
    <n v="109"/>
    <m/>
    <n v="1963"/>
    <m/>
    <n v="39882"/>
    <x v="28"/>
  </r>
  <r>
    <d v="1987-10-17T00:00:00"/>
    <n v="1017"/>
    <x v="1"/>
    <n v="268"/>
    <m/>
    <n v="2989"/>
    <m/>
    <n v="42871"/>
    <x v="29"/>
  </r>
  <r>
    <d v="1987-10-18T00:00:00"/>
    <n v="1018"/>
    <x v="1"/>
    <n v="159"/>
    <m/>
    <n v="1720"/>
    <m/>
    <n v="44591"/>
    <x v="30"/>
  </r>
  <r>
    <d v="1987-10-19T00:00:00"/>
    <n v="1019"/>
    <x v="1"/>
    <n v="27"/>
    <m/>
    <n v="1066"/>
    <m/>
    <n v="45657"/>
    <x v="31"/>
  </r>
  <r>
    <d v="1987-10-20T00:00:00"/>
    <n v="1020"/>
    <x v="1"/>
    <n v="61"/>
    <m/>
    <n v="521"/>
    <m/>
    <n v="46178"/>
    <x v="32"/>
  </r>
  <r>
    <d v="1987-10-21T00:00:00"/>
    <n v="1021"/>
    <x v="1"/>
    <n v="26"/>
    <m/>
    <n v="1118"/>
    <m/>
    <n v="47296"/>
    <x v="33"/>
  </r>
  <r>
    <d v="1987-10-22T00:00:00"/>
    <n v="1022"/>
    <x v="1"/>
    <n v="89"/>
    <m/>
    <n v="1153"/>
    <m/>
    <n v="48449"/>
    <x v="34"/>
  </r>
  <r>
    <d v="1987-10-23T00:00:00"/>
    <n v="1023"/>
    <x v="1"/>
    <n v="21"/>
    <m/>
    <n v="883"/>
    <m/>
    <n v="49332"/>
    <x v="35"/>
  </r>
  <r>
    <d v="1987-10-24T00:00:00"/>
    <n v="1024"/>
    <x v="1"/>
    <n v="92"/>
    <m/>
    <n v="735"/>
    <m/>
    <n v="50067"/>
    <x v="36"/>
  </r>
  <r>
    <d v="1987-10-25T00:00:00"/>
    <n v="1025"/>
    <x v="1"/>
    <n v="99"/>
    <m/>
    <n v="670"/>
    <m/>
    <n v="50737"/>
    <x v="37"/>
  </r>
  <r>
    <d v="1987-10-26T00:00:00"/>
    <n v="1026"/>
    <x v="1"/>
    <n v="55"/>
    <m/>
    <n v="413"/>
    <m/>
    <n v="51150"/>
    <x v="38"/>
  </r>
  <r>
    <d v="1987-10-27T00:00:00"/>
    <n v="1027"/>
    <x v="1"/>
    <n v="94"/>
    <m/>
    <n v="573"/>
    <m/>
    <n v="51723"/>
    <x v="39"/>
  </r>
  <r>
    <d v="1987-10-28T00:00:00"/>
    <n v="1028"/>
    <x v="1"/>
    <n v="45"/>
    <m/>
    <n v="288"/>
    <m/>
    <n v="52011"/>
    <x v="40"/>
  </r>
  <r>
    <d v="1987-10-29T00:00:00"/>
    <n v="1029"/>
    <x v="1"/>
    <n v="75"/>
    <m/>
    <n v="299"/>
    <m/>
    <n v="52310"/>
    <x v="41"/>
  </r>
  <r>
    <d v="1987-10-30T00:00:00"/>
    <n v="1030"/>
    <x v="1"/>
    <n v="36"/>
    <m/>
    <n v="152"/>
    <m/>
    <n v="52462"/>
    <x v="42"/>
  </r>
  <r>
    <d v="1987-10-31T00:00:00"/>
    <n v="1031"/>
    <x v="1"/>
    <n v="154"/>
    <m/>
    <n v="271"/>
    <m/>
    <n v="52733"/>
    <x v="43"/>
  </r>
  <r>
    <d v="1987-11-01T00:00:00"/>
    <n v="1101"/>
    <x v="1"/>
    <n v="258"/>
    <m/>
    <n v="178"/>
    <m/>
    <n v="52911"/>
    <x v="44"/>
  </r>
  <r>
    <d v="1987-11-02T00:00:00"/>
    <n v="1102"/>
    <x v="1"/>
    <n v="29"/>
    <m/>
    <n v="40"/>
    <m/>
    <n v="52951"/>
    <x v="45"/>
  </r>
  <r>
    <d v="1987-11-03T00:00:00"/>
    <n v="1103"/>
    <x v="1"/>
    <n v="44"/>
    <m/>
    <n v="61"/>
    <m/>
    <n v="53012"/>
    <x v="46"/>
  </r>
  <r>
    <d v="1987-11-04T00:00:00"/>
    <n v="1104"/>
    <x v="1"/>
    <n v="15"/>
    <m/>
    <n v="33"/>
    <m/>
    <n v="53045"/>
    <x v="47"/>
  </r>
  <r>
    <d v="1987-11-05T00:00:00"/>
    <n v="1105"/>
    <x v="1"/>
    <n v="28"/>
    <m/>
    <n v="48"/>
    <m/>
    <n v="53093"/>
    <x v="48"/>
  </r>
  <r>
    <d v="1987-11-06T00:00:00"/>
    <n v="1106"/>
    <x v="1"/>
    <n v="8"/>
    <m/>
    <n v="25"/>
    <m/>
    <n v="53118"/>
    <x v="49"/>
  </r>
  <r>
    <d v="1987-11-07T00:00:00"/>
    <n v="1107"/>
    <x v="1"/>
    <n v="25"/>
    <m/>
    <n v="48"/>
    <m/>
    <n v="53166"/>
    <x v="50"/>
  </r>
  <r>
    <d v="1987-11-08T00:00:00"/>
    <n v="1108"/>
    <x v="1"/>
    <n v="0"/>
    <m/>
    <n v="13"/>
    <m/>
    <n v="53179"/>
    <x v="51"/>
  </r>
  <r>
    <d v="1987-11-09T00:00:00"/>
    <n v="1109"/>
    <x v="1"/>
    <n v="1"/>
    <m/>
    <n v="15"/>
    <m/>
    <n v="53194"/>
    <x v="52"/>
  </r>
  <r>
    <d v="1987-11-10T00:00:00"/>
    <n v="1110"/>
    <x v="1"/>
    <n v="3"/>
    <m/>
    <n v="4"/>
    <m/>
    <n v="53198"/>
    <x v="53"/>
  </r>
  <r>
    <d v="1987-11-11T00:00:00"/>
    <n v="1111"/>
    <x v="1"/>
    <n v="18"/>
    <m/>
    <n v="0"/>
    <m/>
    <n v="53198"/>
    <x v="54"/>
  </r>
  <r>
    <d v="1987-11-12T00:00:00"/>
    <n v="1112"/>
    <x v="1"/>
    <n v="52"/>
    <m/>
    <n v="3"/>
    <m/>
    <n v="53201"/>
    <x v="55"/>
  </r>
  <r>
    <d v="1987-11-13T00:00:00"/>
    <n v="1113"/>
    <x v="1"/>
    <n v="16"/>
    <m/>
    <n v="2"/>
    <m/>
    <n v="53203"/>
    <x v="56"/>
  </r>
  <r>
    <d v="1987-11-14T00:00:00"/>
    <n v="1114"/>
    <x v="1"/>
    <n v="9"/>
    <m/>
    <n v="4"/>
    <m/>
    <n v="53207"/>
    <x v="57"/>
  </r>
  <r>
    <d v="1987-11-15T00:00:00"/>
    <n v="1115"/>
    <x v="1"/>
    <n v="10"/>
    <m/>
    <n v="2"/>
    <m/>
    <n v="53209"/>
    <x v="58"/>
  </r>
  <r>
    <d v="1987-11-16T00:00:00"/>
    <n v="1116"/>
    <x v="1"/>
    <n v="0"/>
    <m/>
    <n v="0"/>
    <m/>
    <n v="53209"/>
    <x v="59"/>
  </r>
  <r>
    <d v="1987-11-17T00:00:00"/>
    <n v="1117"/>
    <x v="1"/>
    <n v="5"/>
    <m/>
    <n v="6"/>
    <m/>
    <n v="53215"/>
    <x v="60"/>
  </r>
  <r>
    <d v="1987-11-18T00:00:00"/>
    <n v="1118"/>
    <x v="1"/>
    <n v="1"/>
    <m/>
    <n v="1"/>
    <m/>
    <n v="53216"/>
    <x v="61"/>
  </r>
  <r>
    <d v="1987-11-19T00:00:00"/>
    <n v="1119"/>
    <x v="1"/>
    <n v="0"/>
    <m/>
    <n v="0"/>
    <m/>
    <n v="53216"/>
    <x v="62"/>
  </r>
  <r>
    <d v="1988-09-15T00:00:00"/>
    <n v="915"/>
    <x v="2"/>
    <n v="25"/>
    <n v="0"/>
    <n v="684"/>
    <n v="20"/>
    <n v="684"/>
    <x v="63"/>
  </r>
  <r>
    <d v="1988-09-16T00:00:00"/>
    <n v="916"/>
    <x v="2"/>
    <n v="53"/>
    <n v="23"/>
    <n v="1574"/>
    <n v="241"/>
    <n v="2258"/>
    <x v="64"/>
  </r>
  <r>
    <d v="1988-09-17T00:00:00"/>
    <n v="917"/>
    <x v="2"/>
    <n v="431"/>
    <n v="77"/>
    <n v="1789"/>
    <n v="414"/>
    <n v="4047"/>
    <x v="65"/>
  </r>
  <r>
    <d v="1988-09-18T00:00:00"/>
    <n v="918"/>
    <x v="2"/>
    <n v="582"/>
    <n v="160"/>
    <n v="1165"/>
    <n v="157"/>
    <n v="5212"/>
    <x v="0"/>
  </r>
  <r>
    <d v="1988-09-19T00:00:00"/>
    <n v="919"/>
    <x v="2"/>
    <n v="682"/>
    <n v="216"/>
    <n v="1864"/>
    <n v="533"/>
    <n v="7076"/>
    <x v="1"/>
  </r>
  <r>
    <d v="1988-09-20T00:00:00"/>
    <n v="920"/>
    <x v="2"/>
    <n v="952"/>
    <n v="58"/>
    <n v="1554"/>
    <n v="617"/>
    <n v="8630"/>
    <x v="2"/>
  </r>
  <r>
    <d v="1988-09-21T00:00:00"/>
    <n v="921"/>
    <x v="2"/>
    <n v="987"/>
    <n v="152"/>
    <n v="1059"/>
    <n v="457"/>
    <n v="9689"/>
    <x v="3"/>
  </r>
  <r>
    <d v="1988-09-22T00:00:00"/>
    <n v="922"/>
    <x v="2"/>
    <n v="761"/>
    <n v="34"/>
    <n v="3968"/>
    <n v="967"/>
    <n v="13657"/>
    <x v="4"/>
  </r>
  <r>
    <d v="1988-09-23T00:00:00"/>
    <n v="923"/>
    <x v="2"/>
    <n v="577"/>
    <n v="67"/>
    <n v="1392"/>
    <n v="653"/>
    <n v="15049"/>
    <x v="5"/>
  </r>
  <r>
    <d v="1988-09-24T00:00:00"/>
    <n v="924"/>
    <x v="2"/>
    <n v="362"/>
    <n v="38"/>
    <n v="775"/>
    <n v="277"/>
    <n v="15824"/>
    <x v="6"/>
  </r>
  <r>
    <d v="1988-09-25T00:00:00"/>
    <n v="925"/>
    <x v="2"/>
    <n v="556"/>
    <n v="57"/>
    <n v="1499"/>
    <n v="413"/>
    <n v="17323"/>
    <x v="7"/>
  </r>
  <r>
    <d v="1988-09-26T00:00:00"/>
    <n v="926"/>
    <x v="2"/>
    <n v="282"/>
    <n v="8"/>
    <n v="1176"/>
    <n v="257"/>
    <n v="18499"/>
    <x v="8"/>
  </r>
  <r>
    <d v="1988-09-27T00:00:00"/>
    <n v="927"/>
    <x v="2"/>
    <n v="164"/>
    <n v="0"/>
    <n v="1496"/>
    <n v="268"/>
    <n v="19995"/>
    <x v="9"/>
  </r>
  <r>
    <d v="1988-09-28T00:00:00"/>
    <n v="928"/>
    <x v="2"/>
    <n v="67"/>
    <n v="4"/>
    <n v="844"/>
    <n v="189"/>
    <n v="20839"/>
    <x v="10"/>
  </r>
  <r>
    <d v="1988-09-29T00:00:00"/>
    <n v="929"/>
    <x v="2"/>
    <n v="76"/>
    <n v="3"/>
    <n v="1105"/>
    <n v="263"/>
    <n v="21944"/>
    <x v="11"/>
  </r>
  <r>
    <d v="1988-09-30T00:00:00"/>
    <n v="930"/>
    <x v="2"/>
    <n v="36"/>
    <n v="6"/>
    <n v="1360"/>
    <n v="275"/>
    <n v="23304"/>
    <x v="12"/>
  </r>
  <r>
    <d v="1988-10-01T00:00:00"/>
    <n v="1001"/>
    <x v="2"/>
    <n v="22"/>
    <n v="1"/>
    <n v="705"/>
    <n v="332"/>
    <n v="24009"/>
    <x v="13"/>
  </r>
  <r>
    <d v="1988-10-02T00:00:00"/>
    <n v="1002"/>
    <x v="2"/>
    <n v="41"/>
    <n v="2"/>
    <n v="858"/>
    <n v="461"/>
    <n v="24867"/>
    <x v="14"/>
  </r>
  <r>
    <d v="1988-10-03T00:00:00"/>
    <n v="1003"/>
    <x v="2"/>
    <n v="11"/>
    <n v="3"/>
    <n v="329"/>
    <n v="232"/>
    <n v="25196"/>
    <x v="15"/>
  </r>
  <r>
    <d v="1988-10-04T00:00:00"/>
    <n v="1004"/>
    <x v="2"/>
    <n v="170"/>
    <n v="11"/>
    <n v="1371"/>
    <n v="334"/>
    <n v="26567"/>
    <x v="16"/>
  </r>
  <r>
    <d v="1988-10-05T00:00:00"/>
    <n v="1005"/>
    <x v="2"/>
    <n v="482"/>
    <n v="11"/>
    <n v="1863"/>
    <n v="273"/>
    <n v="28430"/>
    <x v="17"/>
  </r>
  <r>
    <d v="1988-10-06T00:00:00"/>
    <n v="1006"/>
    <x v="2"/>
    <n v="132"/>
    <n v="14"/>
    <n v="1487"/>
    <n v="94"/>
    <n v="29917"/>
    <x v="18"/>
  </r>
  <r>
    <d v="1988-10-07T00:00:00"/>
    <n v="1007"/>
    <x v="2"/>
    <n v="269"/>
    <n v="7"/>
    <n v="1721"/>
    <n v="215"/>
    <n v="31638"/>
    <x v="19"/>
  </r>
  <r>
    <d v="1988-10-08T00:00:00"/>
    <n v="1008"/>
    <x v="2"/>
    <n v="192"/>
    <n v="42"/>
    <n v="2070"/>
    <n v="153"/>
    <n v="33708"/>
    <x v="20"/>
  </r>
  <r>
    <d v="1988-10-09T00:00:00"/>
    <n v="1009"/>
    <x v="2"/>
    <n v="144"/>
    <n v="56"/>
    <n v="1277"/>
    <n v="178"/>
    <n v="34985"/>
    <x v="21"/>
  </r>
  <r>
    <d v="1988-10-10T00:00:00"/>
    <n v="1010"/>
    <x v="2"/>
    <n v="61"/>
    <n v="37"/>
    <n v="1044"/>
    <n v="127"/>
    <n v="36029"/>
    <x v="22"/>
  </r>
  <r>
    <d v="1988-10-11T00:00:00"/>
    <n v="1011"/>
    <x v="2"/>
    <n v="27"/>
    <n v="35"/>
    <n v="1513"/>
    <n v="73"/>
    <n v="37542"/>
    <x v="23"/>
  </r>
  <r>
    <d v="1988-10-12T00:00:00"/>
    <n v="1012"/>
    <x v="2"/>
    <n v="38"/>
    <n v="17"/>
    <n v="1001"/>
    <n v="45"/>
    <n v="38543"/>
    <x v="24"/>
  </r>
  <r>
    <d v="1988-10-13T00:00:00"/>
    <n v="1013"/>
    <x v="2"/>
    <n v="115"/>
    <n v="39"/>
    <n v="1225"/>
    <n v="26"/>
    <n v="39768"/>
    <x v="25"/>
  </r>
  <r>
    <d v="1988-10-14T00:00:00"/>
    <n v="1014"/>
    <x v="2"/>
    <n v="279"/>
    <n v="35"/>
    <n v="2206"/>
    <n v="39"/>
    <n v="41974"/>
    <x v="26"/>
  </r>
  <r>
    <d v="1988-10-15T00:00:00"/>
    <n v="1015"/>
    <x v="2"/>
    <n v="214"/>
    <n v="46"/>
    <n v="2284"/>
    <n v="111"/>
    <n v="44258"/>
    <x v="27"/>
  </r>
  <r>
    <d v="1988-10-16T00:00:00"/>
    <n v="1016"/>
    <x v="2"/>
    <n v="186"/>
    <n v="79"/>
    <n v="2321"/>
    <n v="101"/>
    <n v="46579"/>
    <x v="28"/>
  </r>
  <r>
    <d v="1988-10-17T00:00:00"/>
    <n v="1017"/>
    <x v="2"/>
    <n v="171"/>
    <n v="36"/>
    <n v="2362"/>
    <n v="104"/>
    <n v="48941"/>
    <x v="29"/>
  </r>
  <r>
    <d v="1988-10-18T00:00:00"/>
    <n v="1018"/>
    <x v="2"/>
    <n v="47"/>
    <n v="10"/>
    <n v="1352"/>
    <n v="45"/>
    <n v="50293"/>
    <x v="30"/>
  </r>
  <r>
    <d v="1988-10-19T00:00:00"/>
    <n v="1019"/>
    <x v="2"/>
    <n v="162"/>
    <n v="34"/>
    <n v="1690"/>
    <n v="91"/>
    <n v="51983"/>
    <x v="31"/>
  </r>
  <r>
    <d v="1988-10-20T00:00:00"/>
    <n v="1020"/>
    <x v="2"/>
    <n v="118"/>
    <n v="20"/>
    <n v="1776"/>
    <n v="137"/>
    <n v="53759"/>
    <x v="32"/>
  </r>
  <r>
    <d v="1988-10-21T00:00:00"/>
    <n v="1021"/>
    <x v="2"/>
    <n v="214"/>
    <n v="70"/>
    <n v="1979"/>
    <n v="271"/>
    <n v="55738"/>
    <x v="33"/>
  </r>
  <r>
    <d v="1988-10-22T00:00:00"/>
    <n v="1022"/>
    <x v="2"/>
    <n v="159"/>
    <n v="55"/>
    <n v="2029"/>
    <n v="129"/>
    <n v="57767"/>
    <x v="34"/>
  </r>
  <r>
    <d v="1988-10-23T00:00:00"/>
    <n v="1023"/>
    <x v="2"/>
    <n v="123"/>
    <n v="17"/>
    <n v="1583"/>
    <n v="111"/>
    <n v="59350"/>
    <x v="35"/>
  </r>
  <r>
    <d v="1988-10-24T00:00:00"/>
    <n v="1024"/>
    <x v="2"/>
    <n v="92"/>
    <n v="32"/>
    <n v="1226"/>
    <n v="77"/>
    <n v="60576"/>
    <x v="36"/>
  </r>
  <r>
    <d v="1988-10-25T00:00:00"/>
    <n v="1025"/>
    <x v="2"/>
    <n v="70"/>
    <n v="20"/>
    <n v="1167"/>
    <n v="56"/>
    <n v="61743"/>
    <x v="37"/>
  </r>
  <r>
    <d v="1988-10-26T00:00:00"/>
    <n v="1026"/>
    <x v="2"/>
    <n v="54"/>
    <n v="17"/>
    <n v="1224"/>
    <n v="53"/>
    <n v="62967"/>
    <x v="38"/>
  </r>
  <r>
    <d v="1988-10-27T00:00:00"/>
    <n v="1027"/>
    <x v="2"/>
    <n v="29"/>
    <n v="15"/>
    <n v="682"/>
    <n v="27"/>
    <n v="63649"/>
    <x v="39"/>
  </r>
  <r>
    <d v="1988-10-28T00:00:00"/>
    <n v="1028"/>
    <x v="2"/>
    <n v="27"/>
    <n v="10"/>
    <n v="666"/>
    <n v="54"/>
    <n v="64315"/>
    <x v="40"/>
  </r>
  <r>
    <d v="1988-10-29T00:00:00"/>
    <n v="1029"/>
    <x v="2"/>
    <n v="42"/>
    <n v="20"/>
    <n v="605"/>
    <n v="35"/>
    <n v="64920"/>
    <x v="41"/>
  </r>
  <r>
    <d v="1988-10-30T00:00:00"/>
    <n v="1030"/>
    <x v="2"/>
    <n v="34"/>
    <n v="25"/>
    <n v="553"/>
    <n v="41"/>
    <n v="65473"/>
    <x v="42"/>
  </r>
  <r>
    <d v="1988-10-31T00:00:00"/>
    <n v="1031"/>
    <x v="2"/>
    <n v="58"/>
    <n v="9"/>
    <n v="315"/>
    <n v="27"/>
    <n v="65788"/>
    <x v="43"/>
  </r>
  <r>
    <d v="1988-11-01T00:00:00"/>
    <n v="1101"/>
    <x v="2"/>
    <n v="1"/>
    <n v="0"/>
    <n v="41"/>
    <n v="6"/>
    <n v="65829"/>
    <x v="44"/>
  </r>
  <r>
    <d v="1988-11-02T00:00:00"/>
    <n v="1102"/>
    <x v="2"/>
    <n v="55"/>
    <n v="4"/>
    <n v="126"/>
    <n v="35"/>
    <n v="65955"/>
    <x v="45"/>
  </r>
  <r>
    <d v="1988-11-03T00:00:00"/>
    <n v="1103"/>
    <x v="2"/>
    <n v="8"/>
    <n v="1"/>
    <n v="97"/>
    <n v="13"/>
    <n v="66052"/>
    <x v="46"/>
  </r>
  <r>
    <d v="1988-11-04T00:00:00"/>
    <n v="1104"/>
    <x v="2"/>
    <n v="0"/>
    <n v="0"/>
    <n v="7"/>
    <n v="4"/>
    <n v="66059"/>
    <x v="47"/>
  </r>
  <r>
    <d v="1988-11-05T00:00:00"/>
    <n v="1105"/>
    <x v="2"/>
    <n v="0"/>
    <n v="0"/>
    <n v="0"/>
    <n v="0"/>
    <n v="66059"/>
    <x v="48"/>
  </r>
  <r>
    <d v="1988-11-06T00:00:00"/>
    <n v="1106"/>
    <x v="2"/>
    <n v="0"/>
    <n v="0"/>
    <n v="0"/>
    <n v="0"/>
    <n v="66059"/>
    <x v="49"/>
  </r>
  <r>
    <d v="1988-11-07T00:00:00"/>
    <n v="1107"/>
    <x v="2"/>
    <n v="0"/>
    <n v="0"/>
    <n v="0"/>
    <n v="0"/>
    <n v="66059"/>
    <x v="50"/>
  </r>
  <r>
    <d v="1988-11-08T00:00:00"/>
    <n v="1108"/>
    <x v="2"/>
    <n v="0"/>
    <n v="0"/>
    <n v="0"/>
    <n v="0"/>
    <n v="66059"/>
    <x v="51"/>
  </r>
  <r>
    <d v="1988-11-09T00:00:00"/>
    <n v="1109"/>
    <x v="2"/>
    <n v="0"/>
    <n v="0"/>
    <n v="0"/>
    <n v="0"/>
    <n v="66059"/>
    <x v="52"/>
  </r>
  <r>
    <d v="1988-11-10T00:00:00"/>
    <n v="1110"/>
    <x v="2"/>
    <n v="45"/>
    <n v="0"/>
    <n v="15"/>
    <n v="5"/>
    <n v="66074"/>
    <x v="53"/>
  </r>
  <r>
    <d v="1988-11-11T00:00:00"/>
    <n v="1111"/>
    <x v="2"/>
    <n v="21"/>
    <n v="0"/>
    <n v="17"/>
    <n v="6"/>
    <n v="66091"/>
    <x v="54"/>
  </r>
  <r>
    <d v="1988-11-12T00:00:00"/>
    <n v="1112"/>
    <x v="2"/>
    <n v="19"/>
    <n v="0"/>
    <n v="19"/>
    <n v="2"/>
    <n v="66110"/>
    <x v="55"/>
  </r>
  <r>
    <d v="1988-11-13T00:00:00"/>
    <n v="1113"/>
    <x v="2"/>
    <n v="21"/>
    <n v="1"/>
    <n v="11"/>
    <n v="2"/>
    <n v="66121"/>
    <x v="56"/>
  </r>
  <r>
    <d v="1988-11-14T00:00:00"/>
    <n v="1114"/>
    <x v="2"/>
    <n v="10"/>
    <n v="1"/>
    <n v="12"/>
    <n v="12"/>
    <n v="66133"/>
    <x v="57"/>
  </r>
  <r>
    <d v="1988-11-15T00:00:00"/>
    <n v="1115"/>
    <x v="2"/>
    <n v="16"/>
    <n v="0"/>
    <n v="12"/>
    <n v="4"/>
    <n v="66145"/>
    <x v="58"/>
  </r>
  <r>
    <d v="1988-11-16T00:00:00"/>
    <n v="1116"/>
    <x v="2"/>
    <n v="5"/>
    <n v="0"/>
    <n v="10"/>
    <n v="3"/>
    <n v="66155"/>
    <x v="59"/>
  </r>
  <r>
    <d v="1988-11-17T00:00:00"/>
    <n v="1117"/>
    <x v="2"/>
    <n v="5"/>
    <n v="0"/>
    <n v="7"/>
    <n v="1"/>
    <n v="66162"/>
    <x v="60"/>
  </r>
  <r>
    <d v="1988-11-18T00:00:00"/>
    <n v="1118"/>
    <x v="2"/>
    <n v="7"/>
    <n v="0"/>
    <n v="6"/>
    <n v="1"/>
    <n v="66168"/>
    <x v="61"/>
  </r>
  <r>
    <d v="1988-11-19T00:00:00"/>
    <n v="1119"/>
    <x v="2"/>
    <n v="0"/>
    <n v="0"/>
    <n v="0"/>
    <n v="0"/>
    <n v="66168"/>
    <x v="62"/>
  </r>
  <r>
    <d v="1988-11-20T00:00:00"/>
    <n v="1120"/>
    <x v="2"/>
    <n v="5"/>
    <n v="0"/>
    <n v="3"/>
    <n v="2"/>
    <n v="66171"/>
    <x v="66"/>
  </r>
  <r>
    <d v="1989-09-14T00:00:00"/>
    <n v="914"/>
    <x v="3"/>
    <n v="1"/>
    <n v="8"/>
    <n v="85"/>
    <n v="10"/>
    <n v="85"/>
    <x v="67"/>
  </r>
  <r>
    <d v="1989-09-15T00:00:00"/>
    <n v="915"/>
    <x v="3"/>
    <n v="10"/>
    <n v="7"/>
    <n v="969"/>
    <n v="40"/>
    <n v="1054"/>
    <x v="63"/>
  </r>
  <r>
    <d v="1989-09-16T00:00:00"/>
    <n v="916"/>
    <x v="3"/>
    <n v="162"/>
    <n v="47"/>
    <n v="1433"/>
    <n v="121"/>
    <n v="2487"/>
    <x v="64"/>
  </r>
  <r>
    <d v="1989-09-17T00:00:00"/>
    <n v="917"/>
    <x v="3"/>
    <n v="533"/>
    <n v="85"/>
    <n v="2143"/>
    <n v="265"/>
    <n v="4630"/>
    <x v="65"/>
  </r>
  <r>
    <d v="1989-09-18T00:00:00"/>
    <n v="918"/>
    <x v="3"/>
    <n v="755"/>
    <n v="95"/>
    <n v="1344"/>
    <n v="255"/>
    <n v="5974"/>
    <x v="0"/>
  </r>
  <r>
    <d v="1989-09-19T00:00:00"/>
    <n v="919"/>
    <x v="3"/>
    <n v="895"/>
    <n v="155"/>
    <n v="1260"/>
    <n v="431"/>
    <n v="7234"/>
    <x v="1"/>
  </r>
  <r>
    <d v="1989-09-20T00:00:00"/>
    <n v="920"/>
    <x v="3"/>
    <n v="1383"/>
    <n v="213"/>
    <n v="875"/>
    <n v="535"/>
    <n v="8109"/>
    <x v="2"/>
  </r>
  <r>
    <d v="1989-09-21T00:00:00"/>
    <n v="921"/>
    <x v="3"/>
    <n v="1257"/>
    <n v="253"/>
    <n v="549"/>
    <n v="543"/>
    <n v="8658"/>
    <x v="3"/>
  </r>
  <r>
    <d v="1989-09-22T00:00:00"/>
    <n v="922"/>
    <x v="3"/>
    <n v="729"/>
    <n v="128"/>
    <n v="884"/>
    <n v="225"/>
    <n v="9542"/>
    <x v="4"/>
  </r>
  <r>
    <d v="1989-09-23T00:00:00"/>
    <n v="923"/>
    <x v="3"/>
    <n v="573"/>
    <n v="88"/>
    <n v="525"/>
    <n v="151"/>
    <n v="10067"/>
    <x v="5"/>
  </r>
  <r>
    <d v="1989-09-24T00:00:00"/>
    <n v="924"/>
    <x v="3"/>
    <n v="454"/>
    <n v="87"/>
    <n v="450"/>
    <n v="184"/>
    <n v="10517"/>
    <x v="6"/>
  </r>
  <r>
    <d v="1989-09-25T00:00:00"/>
    <n v="925"/>
    <x v="3"/>
    <n v="606"/>
    <n v="317"/>
    <n v="771"/>
    <n v="657"/>
    <n v="11288"/>
    <x v="7"/>
  </r>
  <r>
    <d v="1989-09-26T00:00:00"/>
    <n v="926"/>
    <x v="3"/>
    <n v="717"/>
    <n v="356"/>
    <n v="770"/>
    <n v="666"/>
    <n v="12058"/>
    <x v="8"/>
  </r>
  <r>
    <d v="1989-09-27T00:00:00"/>
    <n v="927"/>
    <x v="3"/>
    <n v="1098"/>
    <n v="374"/>
    <n v="811"/>
    <n v="628"/>
    <n v="12869"/>
    <x v="9"/>
  </r>
  <r>
    <d v="1989-09-28T00:00:00"/>
    <n v="928"/>
    <x v="3"/>
    <n v="1361"/>
    <n v="273"/>
    <n v="823"/>
    <n v="692"/>
    <n v="13692"/>
    <x v="10"/>
  </r>
  <r>
    <d v="1989-09-29T00:00:00"/>
    <n v="929"/>
    <x v="3"/>
    <n v="1222"/>
    <n v="209"/>
    <n v="771"/>
    <n v="549"/>
    <n v="14463"/>
    <x v="11"/>
  </r>
  <r>
    <d v="1989-09-30T00:00:00"/>
    <n v="930"/>
    <x v="3"/>
    <n v="1242"/>
    <n v="266"/>
    <n v="676"/>
    <n v="562"/>
    <n v="15139"/>
    <x v="12"/>
  </r>
  <r>
    <d v="1989-10-01T00:00:00"/>
    <n v="1001"/>
    <x v="3"/>
    <n v="1039"/>
    <n v="175"/>
    <n v="603"/>
    <n v="477"/>
    <n v="15742"/>
    <x v="13"/>
  </r>
  <r>
    <d v="1989-10-02T00:00:00"/>
    <n v="1002"/>
    <x v="3"/>
    <n v="1122"/>
    <n v="155"/>
    <n v="802"/>
    <n v="477"/>
    <n v="16544"/>
    <x v="14"/>
  </r>
  <r>
    <d v="1989-10-03T00:00:00"/>
    <n v="1003"/>
    <x v="3"/>
    <n v="1445"/>
    <n v="183"/>
    <n v="1362"/>
    <n v="627"/>
    <n v="17906"/>
    <x v="15"/>
  </r>
  <r>
    <d v="1989-10-04T00:00:00"/>
    <n v="1004"/>
    <x v="3"/>
    <n v="950"/>
    <n v="105"/>
    <n v="2197"/>
    <n v="386"/>
    <n v="20103"/>
    <x v="16"/>
  </r>
  <r>
    <d v="1989-10-05T00:00:00"/>
    <n v="1005"/>
    <x v="3"/>
    <n v="1249"/>
    <n v="127"/>
    <n v="2161"/>
    <n v="544"/>
    <n v="22264"/>
    <x v="17"/>
  </r>
  <r>
    <d v="1989-10-06T00:00:00"/>
    <n v="1006"/>
    <x v="3"/>
    <n v="1465"/>
    <n v="104"/>
    <n v="2178"/>
    <n v="577"/>
    <n v="24442"/>
    <x v="18"/>
  </r>
  <r>
    <d v="1989-10-07T00:00:00"/>
    <n v="1007"/>
    <x v="3"/>
    <n v="475"/>
    <n v="116"/>
    <n v="2044"/>
    <n v="615"/>
    <n v="26486"/>
    <x v="19"/>
  </r>
  <r>
    <d v="1989-10-08T00:00:00"/>
    <n v="1008"/>
    <x v="3"/>
    <n v="1343"/>
    <n v="101"/>
    <n v="2044"/>
    <n v="484"/>
    <n v="28530"/>
    <x v="20"/>
  </r>
  <r>
    <d v="1989-10-09T00:00:00"/>
    <n v="1009"/>
    <x v="3"/>
    <n v="1067"/>
    <n v="106"/>
    <n v="2198"/>
    <n v="519"/>
    <n v="30728"/>
    <x v="21"/>
  </r>
  <r>
    <d v="1989-10-10T00:00:00"/>
    <n v="1010"/>
    <x v="3"/>
    <n v="845"/>
    <n v="91"/>
    <n v="1948"/>
    <n v="543"/>
    <n v="32676"/>
    <x v="22"/>
  </r>
  <r>
    <d v="1989-10-11T00:00:00"/>
    <n v="1011"/>
    <x v="3"/>
    <n v="254"/>
    <n v="24"/>
    <n v="1002"/>
    <n v="96"/>
    <n v="33678"/>
    <x v="23"/>
  </r>
  <r>
    <d v="1989-10-12T00:00:00"/>
    <n v="1012"/>
    <x v="3"/>
    <n v="749"/>
    <n v="45"/>
    <n v="2533"/>
    <n v="249"/>
    <n v="36211"/>
    <x v="24"/>
  </r>
  <r>
    <d v="1989-10-13T00:00:00"/>
    <n v="1013"/>
    <x v="3"/>
    <n v="1095"/>
    <n v="56"/>
    <n v="2424"/>
    <n v="434"/>
    <n v="38635"/>
    <x v="25"/>
  </r>
  <r>
    <d v="1989-10-14T00:00:00"/>
    <n v="1014"/>
    <x v="3"/>
    <n v="1063"/>
    <n v="52"/>
    <n v="2003"/>
    <n v="404"/>
    <n v="40638"/>
    <x v="26"/>
  </r>
  <r>
    <d v="1989-10-15T00:00:00"/>
    <n v="1015"/>
    <x v="3"/>
    <n v="739"/>
    <n v="31"/>
    <n v="1560"/>
    <n v="268"/>
    <n v="42198"/>
    <x v="27"/>
  </r>
  <r>
    <d v="1989-10-16T00:00:00"/>
    <n v="1016"/>
    <x v="3"/>
    <n v="643"/>
    <n v="31"/>
    <n v="1625"/>
    <n v="202"/>
    <n v="43823"/>
    <x v="28"/>
  </r>
  <r>
    <d v="1989-10-17T00:00:00"/>
    <n v="1017"/>
    <x v="3"/>
    <n v="468"/>
    <n v="28"/>
    <n v="1908"/>
    <n v="158"/>
    <n v="45731"/>
    <x v="29"/>
  </r>
  <r>
    <d v="1989-10-18T00:00:00"/>
    <n v="1018"/>
    <x v="3"/>
    <n v="784"/>
    <n v="29"/>
    <n v="4677"/>
    <n v="412"/>
    <n v="50408"/>
    <x v="30"/>
  </r>
  <r>
    <d v="1989-10-19T00:00:00"/>
    <n v="1019"/>
    <x v="3"/>
    <n v="364"/>
    <n v="4"/>
    <n v="2650"/>
    <n v="123"/>
    <n v="53058"/>
    <x v="31"/>
  </r>
  <r>
    <d v="1989-10-20T00:00:00"/>
    <n v="1020"/>
    <x v="3"/>
    <n v="218"/>
    <n v="3"/>
    <n v="1831"/>
    <n v="200"/>
    <n v="54889"/>
    <x v="32"/>
  </r>
  <r>
    <d v="1989-10-21T00:00:00"/>
    <n v="1021"/>
    <x v="3"/>
    <n v="710"/>
    <n v="39"/>
    <n v="480"/>
    <n v="302"/>
    <n v="55369"/>
    <x v="33"/>
  </r>
  <r>
    <d v="1989-10-22T00:00:00"/>
    <n v="1022"/>
    <x v="3"/>
    <n v="374"/>
    <n v="8"/>
    <n v="559"/>
    <n v="120"/>
    <n v="55928"/>
    <x v="34"/>
  </r>
  <r>
    <d v="1989-10-23T00:00:00"/>
    <n v="1023"/>
    <x v="3"/>
    <n v="208"/>
    <n v="9"/>
    <n v="640"/>
    <n v="62"/>
    <n v="56568"/>
    <x v="35"/>
  </r>
  <r>
    <d v="1989-10-24T00:00:00"/>
    <n v="1024"/>
    <x v="3"/>
    <n v="0"/>
    <n v="0"/>
    <n v="0"/>
    <n v="0"/>
    <n v="56568"/>
    <x v="36"/>
  </r>
  <r>
    <d v="1989-10-25T00:00:00"/>
    <n v="1025"/>
    <x v="3"/>
    <n v="0"/>
    <n v="0"/>
    <n v="0"/>
    <n v="0"/>
    <n v="56568"/>
    <x v="37"/>
  </r>
  <r>
    <d v="1989-10-26T00:00:00"/>
    <n v="1026"/>
    <x v="3"/>
    <n v="0"/>
    <n v="0"/>
    <n v="0"/>
    <n v="0"/>
    <n v="56568"/>
    <x v="38"/>
  </r>
  <r>
    <d v="1989-10-27T00:00:00"/>
    <n v="1027"/>
    <x v="3"/>
    <n v="0"/>
    <n v="0"/>
    <n v="0"/>
    <n v="0"/>
    <n v="56568"/>
    <x v="39"/>
  </r>
  <r>
    <d v="1989-10-28T00:00:00"/>
    <n v="1028"/>
    <x v="3"/>
    <n v="300"/>
    <n v="3"/>
    <n v="468"/>
    <n v="160"/>
    <n v="57036"/>
    <x v="40"/>
  </r>
  <r>
    <d v="1989-10-29T00:00:00"/>
    <n v="1029"/>
    <x v="3"/>
    <n v="453"/>
    <n v="4"/>
    <n v="707"/>
    <n v="232"/>
    <n v="57743"/>
    <x v="41"/>
  </r>
  <r>
    <d v="1989-10-30T00:00:00"/>
    <n v="1030"/>
    <x v="3"/>
    <n v="312"/>
    <n v="8"/>
    <n v="472"/>
    <n v="130"/>
    <n v="58215"/>
    <x v="42"/>
  </r>
  <r>
    <d v="1989-10-31T00:00:00"/>
    <n v="1031"/>
    <x v="3"/>
    <n v="203"/>
    <n v="4"/>
    <n v="553"/>
    <n v="105"/>
    <n v="58768"/>
    <x v="43"/>
  </r>
  <r>
    <d v="1989-11-01T00:00:00"/>
    <n v="1101"/>
    <x v="3"/>
    <n v="45"/>
    <n v="6"/>
    <n v="214"/>
    <n v="56"/>
    <n v="58982"/>
    <x v="44"/>
  </r>
  <r>
    <d v="1989-11-02T00:00:00"/>
    <n v="1102"/>
    <x v="3"/>
    <n v="35"/>
    <n v="0"/>
    <n v="183"/>
    <n v="40"/>
    <n v="59165"/>
    <x v="45"/>
  </r>
  <r>
    <d v="1989-11-03T00:00:00"/>
    <n v="1103"/>
    <x v="3"/>
    <n v="45"/>
    <n v="0"/>
    <n v="228"/>
    <n v="39"/>
    <n v="59393"/>
    <x v="46"/>
  </r>
  <r>
    <d v="1989-11-04T00:00:00"/>
    <n v="1104"/>
    <x v="3"/>
    <n v="42"/>
    <n v="3"/>
    <n v="218"/>
    <n v="27"/>
    <n v="59611"/>
    <x v="47"/>
  </r>
  <r>
    <d v="1989-11-05T00:00:00"/>
    <n v="1105"/>
    <x v="3"/>
    <n v="72"/>
    <n v="1"/>
    <n v="172"/>
    <n v="26"/>
    <n v="59783"/>
    <x v="48"/>
  </r>
  <r>
    <d v="1989-11-06T00:00:00"/>
    <n v="1106"/>
    <x v="3"/>
    <n v="50"/>
    <n v="7"/>
    <n v="101"/>
    <n v="42"/>
    <n v="59884"/>
    <x v="49"/>
  </r>
  <r>
    <d v="1989-11-07T00:00:00"/>
    <n v="1107"/>
    <x v="3"/>
    <n v="21"/>
    <n v="1"/>
    <n v="45"/>
    <n v="27"/>
    <n v="59929"/>
    <x v="50"/>
  </r>
  <r>
    <d v="1989-11-08T00:00:00"/>
    <n v="1108"/>
    <x v="3"/>
    <n v="56"/>
    <n v="4"/>
    <n v="112"/>
    <n v="60"/>
    <n v="60041"/>
    <x v="51"/>
  </r>
  <r>
    <d v="1989-11-09T00:00:00"/>
    <n v="1109"/>
    <x v="3"/>
    <n v="72"/>
    <n v="0"/>
    <n v="99"/>
    <n v="88"/>
    <n v="60140"/>
    <x v="52"/>
  </r>
  <r>
    <d v="1989-11-10T00:00:00"/>
    <n v="1110"/>
    <x v="3"/>
    <n v="34"/>
    <n v="0"/>
    <n v="25"/>
    <n v="50"/>
    <n v="60165"/>
    <x v="53"/>
  </r>
  <r>
    <d v="1989-11-11T00:00:00"/>
    <n v="1111"/>
    <x v="3"/>
    <n v="182"/>
    <n v="1"/>
    <n v="32"/>
    <n v="30"/>
    <n v="60197"/>
    <x v="54"/>
  </r>
  <r>
    <d v="1989-11-12T00:00:00"/>
    <n v="1112"/>
    <x v="3"/>
    <n v="186"/>
    <n v="2"/>
    <n v="44"/>
    <n v="27"/>
    <n v="60241"/>
    <x v="55"/>
  </r>
  <r>
    <d v="1989-11-13T00:00:00"/>
    <n v="1113"/>
    <x v="3"/>
    <n v="25"/>
    <n v="3"/>
    <n v="15"/>
    <n v="31"/>
    <n v="60256"/>
    <x v="56"/>
  </r>
  <r>
    <d v="1989-11-14T00:00:00"/>
    <n v="1114"/>
    <x v="3"/>
    <n v="17"/>
    <n v="2"/>
    <n v="13"/>
    <n v="24"/>
    <n v="60269"/>
    <x v="57"/>
  </r>
  <r>
    <d v="1989-11-15T00:00:00"/>
    <n v="1115"/>
    <x v="3"/>
    <n v="8"/>
    <n v="1"/>
    <n v="12"/>
    <n v="18"/>
    <n v="60281"/>
    <x v="58"/>
  </r>
  <r>
    <d v="1989-11-16T00:00:00"/>
    <n v="1116"/>
    <x v="3"/>
    <n v="0"/>
    <n v="0"/>
    <n v="10"/>
    <n v="11"/>
    <n v="60291"/>
    <x v="59"/>
  </r>
  <r>
    <d v="1989-11-17T00:00:00"/>
    <n v="1117"/>
    <x v="3"/>
    <n v="11"/>
    <n v="0"/>
    <n v="11"/>
    <n v="1"/>
    <n v="60302"/>
    <x v="60"/>
  </r>
  <r>
    <d v="1989-11-18T00:00:00"/>
    <n v="1118"/>
    <x v="3"/>
    <n v="28"/>
    <n v="0"/>
    <n v="10"/>
    <n v="6"/>
    <n v="60312"/>
    <x v="61"/>
  </r>
  <r>
    <d v="1989-11-19T00:00:00"/>
    <n v="1119"/>
    <x v="3"/>
    <n v="22"/>
    <n v="0"/>
    <n v="4"/>
    <n v="0"/>
    <n v="60316"/>
    <x v="62"/>
  </r>
  <r>
    <d v="1990-09-11T00:00:00"/>
    <n v="911"/>
    <x v="4"/>
    <n v="120"/>
    <n v="86"/>
    <n v="635"/>
    <n v="250"/>
    <n v="635"/>
    <x v="68"/>
  </r>
  <r>
    <d v="1990-09-12T00:00:00"/>
    <n v="912"/>
    <x v="4"/>
    <n v="167"/>
    <n v="45"/>
    <n v="787"/>
    <n v="280"/>
    <n v="1422"/>
    <x v="69"/>
  </r>
  <r>
    <d v="1990-09-13T00:00:00"/>
    <n v="913"/>
    <x v="4"/>
    <n v="220"/>
    <n v="133"/>
    <n v="173"/>
    <n v="98"/>
    <n v="1595"/>
    <x v="70"/>
  </r>
  <r>
    <d v="1990-09-14T00:00:00"/>
    <n v="914"/>
    <x v="4"/>
    <n v="278"/>
    <n v="83"/>
    <n v="1018"/>
    <n v="374"/>
    <n v="2613"/>
    <x v="67"/>
  </r>
  <r>
    <d v="1990-09-15T00:00:00"/>
    <n v="915"/>
    <x v="4"/>
    <n v="455"/>
    <n v="259"/>
    <n v="1046"/>
    <n v="460"/>
    <n v="3659"/>
    <x v="63"/>
  </r>
  <r>
    <d v="1990-09-16T00:00:00"/>
    <n v="916"/>
    <x v="4"/>
    <n v="809"/>
    <n v="293"/>
    <n v="1574"/>
    <n v="561"/>
    <n v="5233"/>
    <x v="64"/>
  </r>
  <r>
    <d v="1990-09-17T00:00:00"/>
    <n v="917"/>
    <x v="4"/>
    <n v="691"/>
    <n v="256"/>
    <n v="1213"/>
    <n v="721"/>
    <n v="6446"/>
    <x v="65"/>
  </r>
  <r>
    <d v="1990-09-18T00:00:00"/>
    <n v="918"/>
    <x v="4"/>
    <n v="788"/>
    <n v="280"/>
    <n v="479"/>
    <n v="397"/>
    <n v="6925"/>
    <x v="0"/>
  </r>
  <r>
    <d v="1990-09-19T00:00:00"/>
    <n v="919"/>
    <x v="4"/>
    <n v="1297"/>
    <n v="276"/>
    <n v="548"/>
    <n v="416"/>
    <n v="7473"/>
    <x v="1"/>
  </r>
  <r>
    <d v="1990-09-20T00:00:00"/>
    <n v="920"/>
    <x v="4"/>
    <n v="809"/>
    <n v="195"/>
    <n v="501"/>
    <n v="453"/>
    <n v="7974"/>
    <x v="2"/>
  </r>
  <r>
    <d v="1990-09-21T00:00:00"/>
    <n v="921"/>
    <x v="4"/>
    <n v="802"/>
    <n v="204"/>
    <n v="704"/>
    <n v="471"/>
    <n v="8678"/>
    <x v="3"/>
  </r>
  <r>
    <d v="1990-09-22T00:00:00"/>
    <n v="922"/>
    <x v="4"/>
    <n v="1082"/>
    <n v="216"/>
    <n v="585"/>
    <n v="322"/>
    <n v="9263"/>
    <x v="4"/>
  </r>
  <r>
    <d v="1990-09-23T00:00:00"/>
    <n v="923"/>
    <x v="4"/>
    <n v="1165"/>
    <n v="280"/>
    <n v="1005"/>
    <n v="588"/>
    <n v="10268"/>
    <x v="5"/>
  </r>
  <r>
    <d v="1990-09-24T00:00:00"/>
    <n v="924"/>
    <x v="4"/>
    <n v="883"/>
    <n v="160"/>
    <n v="3093"/>
    <n v="643"/>
    <n v="13361"/>
    <x v="6"/>
  </r>
  <r>
    <d v="1990-09-25T00:00:00"/>
    <n v="925"/>
    <x v="4"/>
    <n v="1722"/>
    <n v="191"/>
    <n v="2410"/>
    <n v="593"/>
    <n v="15771"/>
    <x v="7"/>
  </r>
  <r>
    <d v="1990-09-26T00:00:00"/>
    <n v="926"/>
    <x v="4"/>
    <n v="1423"/>
    <n v="114"/>
    <n v="1899"/>
    <n v="555"/>
    <n v="17670"/>
    <x v="8"/>
  </r>
  <r>
    <d v="1990-09-27T00:00:00"/>
    <n v="927"/>
    <x v="4"/>
    <n v="1096"/>
    <n v="121"/>
    <n v="1806"/>
    <n v="598"/>
    <n v="19476"/>
    <x v="9"/>
  </r>
  <r>
    <d v="1990-09-28T00:00:00"/>
    <n v="928"/>
    <x v="4"/>
    <n v="944"/>
    <n v="125"/>
    <n v="2537"/>
    <n v="706"/>
    <n v="22013"/>
    <x v="10"/>
  </r>
  <r>
    <d v="1990-09-29T00:00:00"/>
    <n v="929"/>
    <x v="4"/>
    <n v="1024"/>
    <n v="171"/>
    <n v="2535"/>
    <n v="636"/>
    <n v="24548"/>
    <x v="11"/>
  </r>
  <r>
    <d v="1990-09-30T00:00:00"/>
    <n v="930"/>
    <x v="4"/>
    <n v="1456"/>
    <n v="169"/>
    <n v="3871"/>
    <n v="536"/>
    <n v="28419"/>
    <x v="12"/>
  </r>
  <r>
    <d v="1990-10-01T00:00:00"/>
    <n v="1001"/>
    <x v="4"/>
    <n v="2015"/>
    <n v="216"/>
    <n v="2872"/>
    <n v="292"/>
    <n v="31291"/>
    <x v="13"/>
  </r>
  <r>
    <d v="1990-10-02T00:00:00"/>
    <n v="1002"/>
    <x v="4"/>
    <n v="1689"/>
    <n v="109"/>
    <n v="5382"/>
    <n v="171"/>
    <n v="36673"/>
    <x v="14"/>
  </r>
  <r>
    <d v="1990-10-03T00:00:00"/>
    <n v="1003"/>
    <x v="4"/>
    <n v="1353"/>
    <n v="44"/>
    <n v="4721"/>
    <n v="150"/>
    <n v="41394"/>
    <x v="15"/>
  </r>
  <r>
    <d v="1990-10-04T00:00:00"/>
    <n v="1004"/>
    <x v="4"/>
    <n v="1822"/>
    <n v="47"/>
    <n v="4996"/>
    <n v="202"/>
    <n v="46390"/>
    <x v="16"/>
  </r>
  <r>
    <d v="1990-10-05T00:00:00"/>
    <n v="1005"/>
    <x v="4"/>
    <n v="1920"/>
    <n v="57"/>
    <n v="4025"/>
    <n v="159"/>
    <n v="50415"/>
    <x v="17"/>
  </r>
  <r>
    <d v="1990-10-06T00:00:00"/>
    <n v="1006"/>
    <x v="4"/>
    <n v="1763"/>
    <n v="46"/>
    <n v="3768"/>
    <n v="166"/>
    <n v="54183"/>
    <x v="18"/>
  </r>
  <r>
    <d v="1990-10-07T00:00:00"/>
    <n v="1007"/>
    <x v="4"/>
    <n v="2009"/>
    <n v="84"/>
    <n v="2809"/>
    <n v="159"/>
    <n v="56992"/>
    <x v="19"/>
  </r>
  <r>
    <d v="1990-10-08T00:00:00"/>
    <n v="1008"/>
    <x v="4"/>
    <n v="1690"/>
    <n v="86"/>
    <n v="2639"/>
    <n v="228"/>
    <n v="59631"/>
    <x v="20"/>
  </r>
  <r>
    <d v="1990-10-09T00:00:00"/>
    <n v="1009"/>
    <x v="4"/>
    <n v="845"/>
    <n v="68"/>
    <n v="2434"/>
    <n v="170"/>
    <n v="62065"/>
    <x v="21"/>
  </r>
  <r>
    <d v="1990-10-10T00:00:00"/>
    <n v="1010"/>
    <x v="4"/>
    <n v="1827"/>
    <n v="86"/>
    <n v="2734"/>
    <n v="248"/>
    <n v="64799"/>
    <x v="22"/>
  </r>
  <r>
    <d v="1990-10-11T00:00:00"/>
    <n v="1011"/>
    <x v="4"/>
    <n v="972"/>
    <n v="74"/>
    <n v="2117"/>
    <n v="206"/>
    <n v="66916"/>
    <x v="23"/>
  </r>
  <r>
    <d v="1990-10-12T00:00:00"/>
    <n v="1012"/>
    <x v="4"/>
    <n v="1389"/>
    <n v="95"/>
    <n v="3462"/>
    <n v="214"/>
    <n v="70378"/>
    <x v="24"/>
  </r>
  <r>
    <d v="1990-10-13T00:00:00"/>
    <n v="1013"/>
    <x v="4"/>
    <n v="1059"/>
    <n v="71"/>
    <n v="3525"/>
    <n v="258"/>
    <n v="73903"/>
    <x v="25"/>
  </r>
  <r>
    <d v="1990-10-14T00:00:00"/>
    <n v="1014"/>
    <x v="4"/>
    <n v="377"/>
    <n v="46"/>
    <n v="2725"/>
    <n v="247"/>
    <n v="76628"/>
    <x v="26"/>
  </r>
  <r>
    <d v="1990-10-15T00:00:00"/>
    <n v="1015"/>
    <x v="4"/>
    <n v="554"/>
    <n v="57"/>
    <n v="2861"/>
    <n v="254"/>
    <n v="79489"/>
    <x v="27"/>
  </r>
  <r>
    <d v="1990-10-16T00:00:00"/>
    <n v="1016"/>
    <x v="4"/>
    <n v="342"/>
    <n v="39"/>
    <n v="2619"/>
    <n v="254"/>
    <n v="82108"/>
    <x v="28"/>
  </r>
  <r>
    <d v="1990-10-17T00:00:00"/>
    <n v="1017"/>
    <x v="4"/>
    <n v="186"/>
    <n v="26"/>
    <n v="2169"/>
    <n v="237"/>
    <n v="84277"/>
    <x v="29"/>
  </r>
  <r>
    <d v="1990-10-18T00:00:00"/>
    <n v="1018"/>
    <x v="4"/>
    <n v="658"/>
    <n v="39"/>
    <n v="3624"/>
    <n v="224"/>
    <n v="87901"/>
    <x v="30"/>
  </r>
  <r>
    <d v="1990-10-19T00:00:00"/>
    <n v="1019"/>
    <x v="4"/>
    <n v="446"/>
    <n v="25"/>
    <n v="3264"/>
    <n v="229"/>
    <n v="91165"/>
    <x v="31"/>
  </r>
  <r>
    <d v="1990-10-20T00:00:00"/>
    <n v="1020"/>
    <x v="4"/>
    <n v="227"/>
    <n v="28"/>
    <n v="2487"/>
    <n v="207"/>
    <n v="93652"/>
    <x v="32"/>
  </r>
  <r>
    <d v="1990-10-21T00:00:00"/>
    <n v="1021"/>
    <x v="4"/>
    <n v="172"/>
    <n v="6"/>
    <n v="1360"/>
    <n v="101"/>
    <n v="95012"/>
    <x v="33"/>
  </r>
  <r>
    <d v="1990-10-22T00:00:00"/>
    <n v="1022"/>
    <x v="4"/>
    <n v="368"/>
    <n v="13"/>
    <n v="2293"/>
    <n v="103"/>
    <n v="97305"/>
    <x v="34"/>
  </r>
  <r>
    <d v="1990-10-23T00:00:00"/>
    <n v="1023"/>
    <x v="4"/>
    <n v="242"/>
    <n v="18"/>
    <n v="1719"/>
    <n v="130"/>
    <n v="99024"/>
    <x v="35"/>
  </r>
  <r>
    <d v="1990-10-24T00:00:00"/>
    <n v="1024"/>
    <x v="4"/>
    <n v="53"/>
    <n v="22"/>
    <n v="2688"/>
    <n v="463"/>
    <n v="101712"/>
    <x v="36"/>
  </r>
  <r>
    <d v="1990-10-25T00:00:00"/>
    <n v="1025"/>
    <x v="4"/>
    <n v="1202"/>
    <n v="78"/>
    <n v="3567"/>
    <n v="806"/>
    <n v="105279"/>
    <x v="37"/>
  </r>
  <r>
    <d v="1990-10-26T00:00:00"/>
    <n v="1026"/>
    <x v="4"/>
    <n v="617"/>
    <n v="15"/>
    <n v="2029"/>
    <n v="398"/>
    <n v="107308"/>
    <x v="38"/>
  </r>
  <r>
    <d v="1990-10-27T00:00:00"/>
    <n v="1027"/>
    <x v="4"/>
    <n v="557"/>
    <n v="101"/>
    <n v="2701"/>
    <n v="433"/>
    <n v="110009"/>
    <x v="39"/>
  </r>
  <r>
    <d v="1990-10-28T00:00:00"/>
    <n v="1028"/>
    <x v="4"/>
    <n v="464"/>
    <n v="17"/>
    <n v="2295"/>
    <n v="514"/>
    <n v="112304"/>
    <x v="40"/>
  </r>
  <r>
    <d v="1990-10-29T00:00:00"/>
    <n v="1029"/>
    <x v="4"/>
    <n v="293"/>
    <n v="7"/>
    <n v="1423"/>
    <n v="393"/>
    <n v="113727"/>
    <x v="41"/>
  </r>
  <r>
    <d v="1990-10-30T00:00:00"/>
    <n v="1030"/>
    <x v="4"/>
    <n v="15"/>
    <n v="4"/>
    <n v="349"/>
    <n v="110"/>
    <n v="114076"/>
    <x v="42"/>
  </r>
  <r>
    <d v="1990-10-31T00:00:00"/>
    <n v="1031"/>
    <x v="4"/>
    <n v="94"/>
    <n v="1"/>
    <n v="955"/>
    <n v="287"/>
    <n v="115031"/>
    <x v="43"/>
  </r>
  <r>
    <d v="1990-11-01T00:00:00"/>
    <n v="1101"/>
    <x v="4"/>
    <n v="128"/>
    <n v="17"/>
    <n v="233"/>
    <n v="67"/>
    <n v="115264"/>
    <x v="44"/>
  </r>
  <r>
    <d v="1990-11-02T00:00:00"/>
    <n v="1102"/>
    <x v="4"/>
    <n v="351"/>
    <n v="12"/>
    <n v="365"/>
    <n v="66"/>
    <n v="115629"/>
    <x v="45"/>
  </r>
  <r>
    <d v="1990-11-03T00:00:00"/>
    <n v="1103"/>
    <x v="4"/>
    <n v="153"/>
    <n v="3"/>
    <n v="395"/>
    <n v="76"/>
    <n v="116024"/>
    <x v="46"/>
  </r>
  <r>
    <d v="1990-11-04T00:00:00"/>
    <n v="1104"/>
    <x v="4"/>
    <n v="169"/>
    <n v="8"/>
    <n v="389"/>
    <n v="115"/>
    <n v="116413"/>
    <x v="47"/>
  </r>
  <r>
    <d v="1990-11-05T00:00:00"/>
    <n v="1105"/>
    <x v="4"/>
    <n v="115"/>
    <n v="3"/>
    <n v="259"/>
    <n v="63"/>
    <n v="116672"/>
    <x v="48"/>
  </r>
  <r>
    <d v="1990-11-06T00:00:00"/>
    <n v="1106"/>
    <x v="4"/>
    <n v="46"/>
    <n v="2"/>
    <n v="194"/>
    <n v="33"/>
    <n v="116866"/>
    <x v="49"/>
  </r>
  <r>
    <d v="1990-11-07T00:00:00"/>
    <n v="1107"/>
    <x v="4"/>
    <n v="24"/>
    <n v="4"/>
    <n v="174"/>
    <n v="43"/>
    <n v="117040"/>
    <x v="50"/>
  </r>
  <r>
    <d v="1990-11-08T00:00:00"/>
    <n v="1108"/>
    <x v="4"/>
    <n v="4"/>
    <n v="0"/>
    <n v="66"/>
    <n v="15"/>
    <n v="117106"/>
    <x v="51"/>
  </r>
  <r>
    <d v="1991-09-07T00:00:00"/>
    <n v="907"/>
    <x v="5"/>
    <n v="46"/>
    <n v="3"/>
    <n v="88"/>
    <n v="24"/>
    <n v="88"/>
    <x v="71"/>
  </r>
  <r>
    <d v="1991-09-08T00:00:00"/>
    <n v="908"/>
    <x v="5"/>
    <n v="371"/>
    <n v="86"/>
    <n v="1086"/>
    <n v="204"/>
    <n v="1174"/>
    <x v="72"/>
  </r>
  <r>
    <d v="1991-09-09T00:00:00"/>
    <n v="909"/>
    <x v="5"/>
    <n v="332"/>
    <n v="73"/>
    <n v="1964"/>
    <n v="398"/>
    <n v="3138"/>
    <x v="73"/>
  </r>
  <r>
    <d v="1991-09-10T00:00:00"/>
    <n v="910"/>
    <x v="5"/>
    <n v="398"/>
    <n v="96"/>
    <n v="1513"/>
    <n v="474"/>
    <n v="4651"/>
    <x v="74"/>
  </r>
  <r>
    <d v="1991-09-11T00:00:00"/>
    <n v="911"/>
    <x v="5"/>
    <n v="341"/>
    <n v="146"/>
    <n v="2318"/>
    <n v="548"/>
    <n v="6969"/>
    <x v="68"/>
  </r>
  <r>
    <d v="1991-09-12T00:00:00"/>
    <n v="912"/>
    <x v="5"/>
    <n v="434"/>
    <n v="152"/>
    <n v="2164"/>
    <n v="402"/>
    <n v="9133"/>
    <x v="69"/>
  </r>
  <r>
    <d v="1991-09-13T00:00:00"/>
    <n v="913"/>
    <x v="5"/>
    <n v="625"/>
    <n v="126"/>
    <n v="1692"/>
    <n v="167"/>
    <n v="10825"/>
    <x v="70"/>
  </r>
  <r>
    <d v="1991-09-14T00:00:00"/>
    <n v="914"/>
    <x v="5"/>
    <n v="687"/>
    <n v="124"/>
    <n v="1072"/>
    <n v="176"/>
    <n v="11897"/>
    <x v="67"/>
  </r>
  <r>
    <d v="1991-09-15T00:00:00"/>
    <n v="915"/>
    <x v="5"/>
    <n v="743"/>
    <n v="126"/>
    <n v="2036"/>
    <n v="471"/>
    <n v="13933"/>
    <x v="63"/>
  </r>
  <r>
    <d v="1991-09-16T00:00:00"/>
    <n v="916"/>
    <x v="5"/>
    <n v="792"/>
    <n v="274"/>
    <n v="1926"/>
    <n v="578"/>
    <n v="15859"/>
    <x v="64"/>
  </r>
  <r>
    <d v="1991-09-17T00:00:00"/>
    <n v="917"/>
    <x v="5"/>
    <n v="891"/>
    <n v="339"/>
    <n v="1681"/>
    <n v="517"/>
    <n v="17540"/>
    <x v="65"/>
  </r>
  <r>
    <d v="1991-09-18T00:00:00"/>
    <n v="918"/>
    <x v="5"/>
    <n v="781"/>
    <n v="330"/>
    <n v="1529"/>
    <n v="432"/>
    <n v="19069"/>
    <x v="0"/>
  </r>
  <r>
    <d v="1991-09-19T00:00:00"/>
    <n v="919"/>
    <x v="5"/>
    <n v="430"/>
    <n v="252"/>
    <n v="1542"/>
    <n v="445"/>
    <n v="20611"/>
    <x v="1"/>
  </r>
  <r>
    <d v="1991-09-20T00:00:00"/>
    <n v="920"/>
    <x v="5"/>
    <n v="489"/>
    <n v="220"/>
    <n v="1697"/>
    <n v="447"/>
    <n v="22308"/>
    <x v="2"/>
  </r>
  <r>
    <d v="1991-09-21T00:00:00"/>
    <n v="921"/>
    <x v="5"/>
    <n v="990"/>
    <n v="215"/>
    <n v="1514"/>
    <n v="384"/>
    <n v="23822"/>
    <x v="3"/>
  </r>
  <r>
    <d v="1991-09-22T00:00:00"/>
    <n v="922"/>
    <x v="5"/>
    <n v="2389"/>
    <n v="346"/>
    <n v="1403"/>
    <n v="444"/>
    <n v="25225"/>
    <x v="4"/>
  </r>
  <r>
    <d v="1991-09-23T00:00:00"/>
    <n v="923"/>
    <x v="5"/>
    <n v="1722"/>
    <n v="278"/>
    <n v="1061"/>
    <n v="329"/>
    <n v="26286"/>
    <x v="5"/>
  </r>
  <r>
    <d v="1991-09-24T00:00:00"/>
    <n v="924"/>
    <x v="5"/>
    <n v="2101"/>
    <n v="240"/>
    <n v="1428"/>
    <n v="395"/>
    <n v="27714"/>
    <x v="6"/>
  </r>
  <r>
    <d v="1991-09-25T00:00:00"/>
    <n v="925"/>
    <x v="5"/>
    <n v="2077"/>
    <n v="406"/>
    <n v="1768"/>
    <n v="458"/>
    <n v="29482"/>
    <x v="7"/>
  </r>
  <r>
    <d v="1991-09-26T00:00:00"/>
    <n v="926"/>
    <x v="5"/>
    <n v="2289"/>
    <n v="479"/>
    <n v="1545"/>
    <n v="529"/>
    <n v="31027"/>
    <x v="8"/>
  </r>
  <r>
    <d v="1991-09-27T00:00:00"/>
    <n v="927"/>
    <x v="5"/>
    <n v="1733"/>
    <n v="328"/>
    <n v="1184"/>
    <n v="418"/>
    <n v="32211"/>
    <x v="9"/>
  </r>
  <r>
    <d v="1991-09-28T00:00:00"/>
    <n v="928"/>
    <x v="5"/>
    <n v="2163"/>
    <n v="248"/>
    <n v="1262"/>
    <n v="324"/>
    <n v="33473"/>
    <x v="10"/>
  </r>
  <r>
    <d v="1991-09-29T00:00:00"/>
    <n v="929"/>
    <x v="5"/>
    <n v="1473"/>
    <n v="174"/>
    <n v="1194"/>
    <n v="360"/>
    <n v="34667"/>
    <x v="11"/>
  </r>
  <r>
    <d v="1991-09-30T00:00:00"/>
    <n v="930"/>
    <x v="5"/>
    <n v="745"/>
    <n v="187"/>
    <n v="1400"/>
    <n v="352"/>
    <n v="36067"/>
    <x v="12"/>
  </r>
  <r>
    <d v="1991-10-01T00:00:00"/>
    <n v="1001"/>
    <x v="5"/>
    <n v="1068"/>
    <n v="193"/>
    <n v="2504"/>
    <n v="763"/>
    <n v="38571"/>
    <x v="13"/>
  </r>
  <r>
    <d v="1991-10-02T00:00:00"/>
    <n v="1002"/>
    <x v="5"/>
    <n v="839"/>
    <n v="119"/>
    <n v="3461"/>
    <n v="880"/>
    <n v="42032"/>
    <x v="14"/>
  </r>
  <r>
    <d v="1991-10-03T00:00:00"/>
    <n v="1003"/>
    <x v="5"/>
    <n v="714"/>
    <n v="137"/>
    <n v="2664"/>
    <n v="670"/>
    <n v="44696"/>
    <x v="15"/>
  </r>
  <r>
    <d v="1991-10-04T00:00:00"/>
    <n v="1004"/>
    <x v="5"/>
    <n v="850"/>
    <n v="112"/>
    <n v="3280"/>
    <n v="422"/>
    <n v="47976"/>
    <x v="16"/>
  </r>
  <r>
    <d v="1991-10-05T00:00:00"/>
    <n v="1005"/>
    <x v="5"/>
    <n v="839"/>
    <n v="138"/>
    <n v="2785"/>
    <n v="467"/>
    <n v="50761"/>
    <x v="17"/>
  </r>
  <r>
    <d v="1991-10-06T00:00:00"/>
    <n v="1006"/>
    <x v="5"/>
    <n v="924"/>
    <n v="165"/>
    <n v="4883"/>
    <n v="406"/>
    <n v="55644"/>
    <x v="18"/>
  </r>
  <r>
    <d v="1991-10-07T00:00:00"/>
    <n v="1007"/>
    <x v="5"/>
    <n v="812"/>
    <n v="101"/>
    <n v="7187"/>
    <n v="439"/>
    <n v="62831"/>
    <x v="19"/>
  </r>
  <r>
    <d v="1991-10-08T00:00:00"/>
    <n v="1008"/>
    <x v="5"/>
    <n v="942"/>
    <n v="97"/>
    <n v="5775"/>
    <n v="393"/>
    <n v="68606"/>
    <x v="20"/>
  </r>
  <r>
    <d v="1991-10-09T00:00:00"/>
    <n v="1009"/>
    <x v="5"/>
    <n v="849"/>
    <n v="135"/>
    <n v="4274"/>
    <n v="339"/>
    <n v="72880"/>
    <x v="21"/>
  </r>
  <r>
    <d v="1991-10-10T00:00:00"/>
    <n v="1010"/>
    <x v="5"/>
    <n v="673"/>
    <n v="137"/>
    <n v="3359"/>
    <n v="283"/>
    <n v="76239"/>
    <x v="22"/>
  </r>
  <r>
    <d v="1991-10-11T00:00:00"/>
    <n v="1011"/>
    <x v="5"/>
    <n v="593"/>
    <n v="157"/>
    <n v="3230"/>
    <n v="340"/>
    <n v="79469"/>
    <x v="23"/>
  </r>
  <r>
    <d v="1991-10-12T00:00:00"/>
    <n v="1012"/>
    <x v="5"/>
    <n v="482"/>
    <n v="120"/>
    <n v="2726"/>
    <n v="325"/>
    <n v="82195"/>
    <x v="24"/>
  </r>
  <r>
    <d v="1991-10-13T00:00:00"/>
    <n v="1013"/>
    <x v="5"/>
    <n v="311"/>
    <n v="73"/>
    <n v="2934"/>
    <n v="236"/>
    <n v="85129"/>
    <x v="25"/>
  </r>
  <r>
    <d v="1991-10-14T00:00:00"/>
    <n v="1014"/>
    <x v="5"/>
    <n v="224"/>
    <n v="66"/>
    <n v="3023"/>
    <n v="241"/>
    <n v="88152"/>
    <x v="26"/>
  </r>
  <r>
    <d v="1991-10-15T00:00:00"/>
    <n v="1015"/>
    <x v="5"/>
    <n v="151"/>
    <n v="76"/>
    <n v="2377"/>
    <n v="229"/>
    <n v="90529"/>
    <x v="27"/>
  </r>
  <r>
    <d v="1991-10-16T00:00:00"/>
    <n v="1016"/>
    <x v="5"/>
    <n v="190"/>
    <n v="63"/>
    <n v="2477"/>
    <n v="218"/>
    <n v="93006"/>
    <x v="28"/>
  </r>
  <r>
    <d v="1991-10-17T00:00:00"/>
    <n v="1017"/>
    <x v="5"/>
    <n v="400"/>
    <n v="64"/>
    <n v="2995"/>
    <n v="187"/>
    <n v="96001"/>
    <x v="29"/>
  </r>
  <r>
    <d v="1991-10-18T00:00:00"/>
    <n v="1018"/>
    <x v="5"/>
    <n v="247"/>
    <n v="42"/>
    <n v="3564"/>
    <n v="197"/>
    <n v="99565"/>
    <x v="30"/>
  </r>
  <r>
    <d v="1991-10-19T00:00:00"/>
    <n v="1019"/>
    <x v="5"/>
    <n v="156"/>
    <n v="41"/>
    <n v="2940"/>
    <n v="255"/>
    <n v="102505"/>
    <x v="31"/>
  </r>
  <r>
    <d v="1991-10-20T00:00:00"/>
    <n v="1020"/>
    <x v="5"/>
    <n v="176"/>
    <n v="37"/>
    <n v="2094"/>
    <n v="203"/>
    <n v="104599"/>
    <x v="32"/>
  </r>
  <r>
    <d v="1991-10-21T00:00:00"/>
    <n v="1021"/>
    <x v="5"/>
    <n v="157"/>
    <n v="32"/>
    <n v="1726"/>
    <n v="219"/>
    <n v="106325"/>
    <x v="33"/>
  </r>
  <r>
    <d v="1991-10-22T00:00:00"/>
    <n v="1022"/>
    <x v="5"/>
    <n v="99"/>
    <n v="16"/>
    <n v="1405"/>
    <n v="123"/>
    <n v="107730"/>
    <x v="34"/>
  </r>
  <r>
    <d v="1991-10-23T00:00:00"/>
    <n v="1023"/>
    <x v="5"/>
    <n v="126"/>
    <n v="20"/>
    <n v="1445"/>
    <n v="124"/>
    <n v="109175"/>
    <x v="35"/>
  </r>
  <r>
    <d v="1991-10-24T00:00:00"/>
    <n v="1024"/>
    <x v="5"/>
    <n v="75"/>
    <n v="22"/>
    <n v="1038"/>
    <n v="97"/>
    <n v="110213"/>
    <x v="36"/>
  </r>
  <r>
    <d v="1991-10-25T00:00:00"/>
    <n v="1025"/>
    <x v="5"/>
    <n v="93"/>
    <n v="14"/>
    <n v="771"/>
    <n v="63"/>
    <n v="110984"/>
    <x v="37"/>
  </r>
  <r>
    <d v="1991-10-26T00:00:00"/>
    <n v="1026"/>
    <x v="5"/>
    <n v="60"/>
    <n v="10"/>
    <n v="538"/>
    <n v="47"/>
    <n v="111522"/>
    <x v="38"/>
  </r>
  <r>
    <d v="1991-10-27T00:00:00"/>
    <n v="1027"/>
    <x v="5"/>
    <n v="46"/>
    <n v="10"/>
    <n v="373"/>
    <n v="44"/>
    <n v="111895"/>
    <x v="39"/>
  </r>
  <r>
    <d v="1991-10-28T00:00:00"/>
    <n v="1028"/>
    <x v="5"/>
    <n v="32"/>
    <n v="5"/>
    <n v="325"/>
    <n v="11"/>
    <n v="112220"/>
    <x v="40"/>
  </r>
  <r>
    <d v="1991-10-29T00:00:00"/>
    <n v="1029"/>
    <x v="5"/>
    <n v="18"/>
    <n v="6"/>
    <n v="242"/>
    <n v="12"/>
    <n v="112462"/>
    <x v="41"/>
  </r>
  <r>
    <d v="1991-10-30T00:00:00"/>
    <n v="1030"/>
    <x v="5"/>
    <n v="22"/>
    <n v="4"/>
    <n v="205"/>
    <n v="28"/>
    <n v="112667"/>
    <x v="42"/>
  </r>
  <r>
    <d v="1991-10-31T00:00:00"/>
    <n v="1031"/>
    <x v="5"/>
    <n v="29"/>
    <n v="3"/>
    <n v="189"/>
    <n v="30"/>
    <n v="112856"/>
    <x v="43"/>
  </r>
  <r>
    <d v="1991-11-01T00:00:00"/>
    <n v="1101"/>
    <x v="5"/>
    <n v="35"/>
    <n v="8"/>
    <n v="304"/>
    <n v="38"/>
    <n v="113160"/>
    <x v="44"/>
  </r>
  <r>
    <d v="1991-11-02T00:00:00"/>
    <n v="1102"/>
    <x v="5"/>
    <n v="27"/>
    <n v="6"/>
    <n v="199"/>
    <n v="31"/>
    <n v="113359"/>
    <x v="45"/>
  </r>
  <r>
    <d v="1991-11-03T00:00:00"/>
    <n v="1103"/>
    <x v="5"/>
    <n v="6"/>
    <n v="2"/>
    <n v="71"/>
    <n v="14"/>
    <n v="113430"/>
    <x v="46"/>
  </r>
  <r>
    <d v="1991-11-04T00:00:00"/>
    <n v="1104"/>
    <x v="5"/>
    <n v="31"/>
    <n v="6"/>
    <n v="257"/>
    <n v="36"/>
    <n v="113687"/>
    <x v="47"/>
  </r>
  <r>
    <d v="1991-11-05T00:00:00"/>
    <n v="1105"/>
    <x v="5"/>
    <n v="74"/>
    <n v="9"/>
    <n v="206"/>
    <n v="30"/>
    <n v="113893"/>
    <x v="48"/>
  </r>
  <r>
    <d v="1991-11-06T00:00:00"/>
    <n v="1106"/>
    <x v="5"/>
    <n v="74"/>
    <n v="8"/>
    <n v="89"/>
    <n v="19"/>
    <n v="113982"/>
    <x v="49"/>
  </r>
  <r>
    <d v="1991-11-07T00:00:00"/>
    <n v="1107"/>
    <x v="5"/>
    <n v="20"/>
    <n v="8"/>
    <n v="61"/>
    <n v="5"/>
    <n v="114043"/>
    <x v="50"/>
  </r>
  <r>
    <d v="1991-11-08T00:00:00"/>
    <n v="1108"/>
    <x v="5"/>
    <n v="191"/>
    <n v="26"/>
    <n v="243"/>
    <n v="64"/>
    <n v="114286"/>
    <x v="51"/>
  </r>
  <r>
    <d v="1991-11-09T00:00:00"/>
    <n v="1109"/>
    <x v="5"/>
    <n v="183"/>
    <n v="27"/>
    <n v="100"/>
    <n v="29"/>
    <n v="114386"/>
    <x v="52"/>
  </r>
  <r>
    <d v="1991-11-10T00:00:00"/>
    <n v="1110"/>
    <x v="5"/>
    <n v="69"/>
    <n v="9"/>
    <n v="28"/>
    <n v="10"/>
    <n v="114414"/>
    <x v="53"/>
  </r>
  <r>
    <d v="1992-09-02T00:00:00"/>
    <n v="902"/>
    <x v="6"/>
    <n v="23"/>
    <n v="9"/>
    <n v="0"/>
    <n v="0"/>
    <n v="0"/>
    <x v="75"/>
  </r>
  <r>
    <d v="1992-09-03T00:00:00"/>
    <n v="903"/>
    <x v="6"/>
    <n v="1197"/>
    <n v="136"/>
    <n v="1594"/>
    <n v="45"/>
    <n v="1594"/>
    <x v="76"/>
  </r>
  <r>
    <d v="1992-09-04T00:00:00"/>
    <n v="904"/>
    <x v="6"/>
    <n v="380"/>
    <n v="68"/>
    <n v="72"/>
    <n v="18"/>
    <n v="1666"/>
    <x v="77"/>
  </r>
  <r>
    <d v="1992-09-05T00:00:00"/>
    <n v="905"/>
    <x v="6"/>
    <n v="299"/>
    <n v="53"/>
    <n v="260"/>
    <n v="20"/>
    <n v="1926"/>
    <x v="78"/>
  </r>
  <r>
    <d v="1992-09-06T00:00:00"/>
    <n v="906"/>
    <x v="6"/>
    <n v="376"/>
    <n v="49"/>
    <n v="163"/>
    <n v="17"/>
    <n v="2089"/>
    <x v="79"/>
  </r>
  <r>
    <d v="1992-09-07T00:00:00"/>
    <n v="907"/>
    <x v="6"/>
    <n v="720"/>
    <n v="80"/>
    <n v="468"/>
    <n v="41"/>
    <n v="2557"/>
    <x v="71"/>
  </r>
  <r>
    <d v="1992-09-08T00:00:00"/>
    <n v="908"/>
    <x v="6"/>
    <n v="642"/>
    <n v="124"/>
    <n v="397"/>
    <n v="31"/>
    <n v="2954"/>
    <x v="72"/>
  </r>
  <r>
    <d v="1992-09-09T00:00:00"/>
    <n v="909"/>
    <x v="6"/>
    <n v="909"/>
    <n v="131"/>
    <n v="1858"/>
    <n v="233"/>
    <n v="4812"/>
    <x v="73"/>
  </r>
  <r>
    <d v="1992-09-10T00:00:00"/>
    <n v="910"/>
    <x v="6"/>
    <n v="1185"/>
    <n v="227"/>
    <n v="433"/>
    <n v="176"/>
    <n v="5245"/>
    <x v="74"/>
  </r>
  <r>
    <d v="1992-09-11T00:00:00"/>
    <n v="911"/>
    <x v="6"/>
    <n v="1299"/>
    <n v="259"/>
    <n v="621"/>
    <n v="90"/>
    <n v="5866"/>
    <x v="68"/>
  </r>
  <r>
    <d v="1992-09-12T00:00:00"/>
    <n v="912"/>
    <x v="6"/>
    <n v="905"/>
    <n v="200"/>
    <n v="289"/>
    <n v="32"/>
    <n v="6155"/>
    <x v="69"/>
  </r>
  <r>
    <d v="1992-09-13T00:00:00"/>
    <n v="913"/>
    <x v="6"/>
    <n v="1134"/>
    <n v="195"/>
    <n v="1368"/>
    <n v="55"/>
    <n v="7523"/>
    <x v="70"/>
  </r>
  <r>
    <d v="1992-09-14T00:00:00"/>
    <n v="914"/>
    <x v="6"/>
    <n v="1123"/>
    <n v="172"/>
    <n v="2279"/>
    <n v="45"/>
    <n v="9802"/>
    <x v="67"/>
  </r>
  <r>
    <d v="1992-09-15T00:00:00"/>
    <n v="915"/>
    <x v="6"/>
    <n v="1740"/>
    <n v="254"/>
    <n v="2500"/>
    <n v="22"/>
    <n v="12302"/>
    <x v="63"/>
  </r>
  <r>
    <d v="1992-09-16T00:00:00"/>
    <n v="916"/>
    <x v="6"/>
    <n v="1553"/>
    <n v="200"/>
    <n v="3762"/>
    <n v="29"/>
    <n v="16064"/>
    <x v="64"/>
  </r>
  <r>
    <d v="1992-09-17T00:00:00"/>
    <n v="917"/>
    <x v="6"/>
    <n v="2799"/>
    <n v="137"/>
    <n v="2061"/>
    <n v="188"/>
    <n v="18125"/>
    <x v="65"/>
  </r>
  <r>
    <d v="1992-09-18T00:00:00"/>
    <n v="918"/>
    <x v="6"/>
    <n v="2332"/>
    <n v="133"/>
    <n v="3621"/>
    <n v="181"/>
    <n v="21746"/>
    <x v="0"/>
  </r>
  <r>
    <d v="1992-09-19T00:00:00"/>
    <n v="919"/>
    <x v="6"/>
    <n v="2598"/>
    <n v="175"/>
    <n v="2219"/>
    <n v="157"/>
    <n v="23965"/>
    <x v="1"/>
  </r>
  <r>
    <d v="1992-09-20T00:00:00"/>
    <n v="920"/>
    <x v="6"/>
    <n v="1921"/>
    <n v="144"/>
    <n v="1456"/>
    <n v="69"/>
    <n v="25421"/>
    <x v="2"/>
  </r>
  <r>
    <d v="1992-09-21T00:00:00"/>
    <n v="921"/>
    <x v="6"/>
    <n v="1570"/>
    <n v="109"/>
    <n v="1706"/>
    <n v="148"/>
    <n v="27127"/>
    <x v="3"/>
  </r>
  <r>
    <d v="1992-09-22T00:00:00"/>
    <n v="922"/>
    <x v="6"/>
    <n v="1223"/>
    <n v="81"/>
    <n v="1955"/>
    <n v="78"/>
    <n v="29082"/>
    <x v="4"/>
  </r>
  <r>
    <d v="1992-09-23T00:00:00"/>
    <n v="923"/>
    <x v="6"/>
    <n v="1047"/>
    <n v="57"/>
    <n v="1987"/>
    <n v="164"/>
    <n v="31069"/>
    <x v="5"/>
  </r>
  <r>
    <d v="1992-09-24T00:00:00"/>
    <n v="924"/>
    <x v="6"/>
    <n v="1620"/>
    <n v="179"/>
    <n v="3423"/>
    <n v="141"/>
    <n v="34492"/>
    <x v="6"/>
  </r>
  <r>
    <d v="1992-09-25T00:00:00"/>
    <n v="925"/>
    <x v="6"/>
    <n v="1547"/>
    <n v="159"/>
    <n v="1998"/>
    <n v="84"/>
    <n v="36490"/>
    <x v="7"/>
  </r>
  <r>
    <d v="1992-09-26T00:00:00"/>
    <n v="926"/>
    <x v="6"/>
    <n v="1570"/>
    <n v="270"/>
    <n v="3918"/>
    <n v="99"/>
    <n v="40408"/>
    <x v="8"/>
  </r>
  <r>
    <d v="1992-09-27T00:00:00"/>
    <n v="927"/>
    <x v="6"/>
    <n v="1241"/>
    <n v="269"/>
    <n v="4041"/>
    <n v="84"/>
    <n v="44449"/>
    <x v="9"/>
  </r>
  <r>
    <d v="1992-09-28T00:00:00"/>
    <n v="928"/>
    <x v="6"/>
    <n v="1208"/>
    <n v="274"/>
    <n v="3507"/>
    <n v="58"/>
    <n v="47956"/>
    <x v="10"/>
  </r>
  <r>
    <d v="1992-09-29T00:00:00"/>
    <n v="929"/>
    <x v="6"/>
    <n v="1824"/>
    <n v="314"/>
    <n v="2430"/>
    <n v="62"/>
    <n v="50386"/>
    <x v="11"/>
  </r>
  <r>
    <d v="1992-09-30T00:00:00"/>
    <n v="930"/>
    <x v="6"/>
    <n v="1751"/>
    <n v="357"/>
    <n v="2399"/>
    <n v="87"/>
    <n v="52785"/>
    <x v="12"/>
  </r>
  <r>
    <d v="1992-10-01T00:00:00"/>
    <n v="1001"/>
    <x v="6"/>
    <n v="1390"/>
    <n v="246"/>
    <n v="2664"/>
    <n v="172"/>
    <n v="55449"/>
    <x v="13"/>
  </r>
  <r>
    <d v="1992-10-02T00:00:00"/>
    <n v="1002"/>
    <x v="6"/>
    <n v="1341"/>
    <n v="160"/>
    <n v="2878"/>
    <n v="88"/>
    <n v="58327"/>
    <x v="14"/>
  </r>
  <r>
    <d v="1992-10-03T00:00:00"/>
    <n v="1003"/>
    <x v="6"/>
    <n v="1082"/>
    <n v="163"/>
    <n v="2279"/>
    <n v="26"/>
    <n v="60606"/>
    <x v="15"/>
  </r>
  <r>
    <d v="1992-10-04T00:00:00"/>
    <n v="1004"/>
    <x v="6"/>
    <n v="710"/>
    <n v="130"/>
    <n v="3385"/>
    <n v="33"/>
    <n v="63991"/>
    <x v="16"/>
  </r>
  <r>
    <d v="1992-10-05T00:00:00"/>
    <n v="1005"/>
    <x v="6"/>
    <n v="586"/>
    <n v="109"/>
    <n v="4848"/>
    <n v="71"/>
    <n v="68839"/>
    <x v="17"/>
  </r>
  <r>
    <d v="1992-10-06T00:00:00"/>
    <n v="1006"/>
    <x v="6"/>
    <n v="661"/>
    <n v="134"/>
    <n v="3147"/>
    <n v="101"/>
    <n v="71986"/>
    <x v="18"/>
  </r>
  <r>
    <d v="1992-10-07T00:00:00"/>
    <n v="1007"/>
    <x v="6"/>
    <n v="1008"/>
    <n v="178"/>
    <n v="2998"/>
    <n v="123"/>
    <n v="74984"/>
    <x v="19"/>
  </r>
  <r>
    <d v="1992-10-08T00:00:00"/>
    <n v="1008"/>
    <x v="6"/>
    <n v="1158"/>
    <n v="229"/>
    <n v="3625"/>
    <n v="70"/>
    <n v="78609"/>
    <x v="20"/>
  </r>
  <r>
    <d v="1992-10-09T00:00:00"/>
    <n v="1009"/>
    <x v="6"/>
    <n v="520"/>
    <n v="120"/>
    <n v="6893"/>
    <n v="52"/>
    <n v="85502"/>
    <x v="21"/>
  </r>
  <r>
    <d v="1992-10-10T00:00:00"/>
    <n v="1010"/>
    <x v="6"/>
    <n v="451"/>
    <n v="91"/>
    <n v="5266"/>
    <n v="70"/>
    <n v="90768"/>
    <x v="22"/>
  </r>
  <r>
    <d v="1992-10-11T00:00:00"/>
    <n v="1011"/>
    <x v="6"/>
    <n v="592"/>
    <n v="124"/>
    <n v="4107"/>
    <n v="29"/>
    <n v="94875"/>
    <x v="23"/>
  </r>
  <r>
    <d v="1992-10-12T00:00:00"/>
    <n v="1012"/>
    <x v="6"/>
    <n v="243"/>
    <n v="88"/>
    <n v="3486"/>
    <n v="34"/>
    <n v="98361"/>
    <x v="24"/>
  </r>
  <r>
    <d v="1992-10-13T00:00:00"/>
    <n v="1013"/>
    <x v="6"/>
    <n v="211"/>
    <n v="59"/>
    <n v="2305"/>
    <n v="26"/>
    <n v="100666"/>
    <x v="25"/>
  </r>
  <r>
    <d v="1992-10-14T00:00:00"/>
    <n v="1014"/>
    <x v="6"/>
    <n v="198"/>
    <n v="55"/>
    <n v="2264"/>
    <n v="37"/>
    <n v="102930"/>
    <x v="26"/>
  </r>
  <r>
    <d v="1992-10-15T00:00:00"/>
    <n v="1015"/>
    <x v="6"/>
    <n v="145"/>
    <n v="46"/>
    <n v="1750"/>
    <n v="51"/>
    <n v="104680"/>
    <x v="27"/>
  </r>
  <r>
    <d v="1992-10-16T00:00:00"/>
    <n v="1016"/>
    <x v="6"/>
    <n v="280"/>
    <n v="92"/>
    <n v="1962"/>
    <n v="56"/>
    <n v="106642"/>
    <x v="28"/>
  </r>
  <r>
    <d v="1992-10-17T00:00:00"/>
    <n v="1017"/>
    <x v="6"/>
    <n v="170"/>
    <n v="42"/>
    <n v="2819"/>
    <n v="52"/>
    <n v="109461"/>
    <x v="29"/>
  </r>
  <r>
    <d v="1992-10-18T00:00:00"/>
    <n v="1018"/>
    <x v="6"/>
    <n v="311"/>
    <n v="70"/>
    <n v="3953"/>
    <n v="27"/>
    <n v="113414"/>
    <x v="30"/>
  </r>
  <r>
    <d v="1992-10-19T00:00:00"/>
    <n v="1019"/>
    <x v="6"/>
    <n v="116"/>
    <n v="126"/>
    <n v="1078"/>
    <n v="35"/>
    <n v="114492"/>
    <x v="31"/>
  </r>
  <r>
    <d v="1992-10-20T00:00:00"/>
    <n v="1020"/>
    <x v="6"/>
    <n v="125"/>
    <n v="164"/>
    <n v="5566"/>
    <n v="106"/>
    <n v="120058"/>
    <x v="32"/>
  </r>
  <r>
    <d v="1992-10-21T00:00:00"/>
    <n v="1021"/>
    <x v="6"/>
    <n v="252"/>
    <n v="65"/>
    <n v="4852"/>
    <n v="116"/>
    <n v="124910"/>
    <x v="33"/>
  </r>
  <r>
    <d v="1992-10-22T00:00:00"/>
    <n v="1022"/>
    <x v="6"/>
    <n v="95"/>
    <n v="25"/>
    <n v="3661"/>
    <n v="80"/>
    <n v="128571"/>
    <x v="34"/>
  </r>
  <r>
    <d v="1992-10-23T00:00:00"/>
    <n v="1023"/>
    <x v="6"/>
    <n v="32"/>
    <n v="8"/>
    <n v="2299"/>
    <n v="32"/>
    <n v="130870"/>
    <x v="35"/>
  </r>
  <r>
    <d v="1992-10-24T00:00:00"/>
    <n v="1024"/>
    <x v="6"/>
    <n v="0"/>
    <n v="0"/>
    <n v="50"/>
    <n v="0"/>
    <n v="130920"/>
    <x v="36"/>
  </r>
  <r>
    <d v="1992-10-25T00:00:00"/>
    <n v="1025"/>
    <x v="6"/>
    <n v="0"/>
    <n v="0"/>
    <n v="96"/>
    <n v="0"/>
    <n v="131016"/>
    <x v="37"/>
  </r>
  <r>
    <d v="1992-10-26T00:00:00"/>
    <n v="1026"/>
    <x v="6"/>
    <n v="39"/>
    <n v="19"/>
    <n v="2640"/>
    <n v="34"/>
    <n v="133656"/>
    <x v="38"/>
  </r>
  <r>
    <d v="1992-10-27T00:00:00"/>
    <n v="1027"/>
    <x v="6"/>
    <n v="28"/>
    <n v="10"/>
    <n v="2305"/>
    <n v="24"/>
    <n v="135961"/>
    <x v="39"/>
  </r>
  <r>
    <d v="1992-10-28T00:00:00"/>
    <n v="1028"/>
    <x v="6"/>
    <n v="167"/>
    <n v="29"/>
    <n v="1589"/>
    <n v="17"/>
    <n v="137550"/>
    <x v="40"/>
  </r>
  <r>
    <d v="1992-10-29T00:00:00"/>
    <n v="1029"/>
    <x v="6"/>
    <n v="163"/>
    <n v="17"/>
    <n v="28"/>
    <n v="0"/>
    <n v="137578"/>
    <x v="41"/>
  </r>
  <r>
    <d v="1992-10-30T00:00:00"/>
    <n v="1030"/>
    <x v="6"/>
    <n v="117"/>
    <n v="73"/>
    <n v="2754"/>
    <n v="36"/>
    <n v="140332"/>
    <x v="42"/>
  </r>
  <r>
    <d v="1992-10-31T00:00:00"/>
    <n v="1031"/>
    <x v="6"/>
    <n v="29"/>
    <n v="2"/>
    <n v="200"/>
    <n v="0"/>
    <n v="140532"/>
    <x v="43"/>
  </r>
  <r>
    <d v="1992-11-01T00:00:00"/>
    <n v="1101"/>
    <x v="6"/>
    <n v="0"/>
    <n v="0"/>
    <n v="31"/>
    <n v="2"/>
    <n v="140563"/>
    <x v="44"/>
  </r>
  <r>
    <d v="1992-11-02T00:00:00"/>
    <n v="1102"/>
    <x v="6"/>
    <n v="15"/>
    <n v="3"/>
    <n v="12"/>
    <n v="0"/>
    <n v="140575"/>
    <x v="45"/>
  </r>
  <r>
    <d v="1992-11-03T00:00:00"/>
    <n v="1103"/>
    <x v="6"/>
    <n v="41"/>
    <n v="14"/>
    <n v="35"/>
    <n v="1"/>
    <n v="140610"/>
    <x v="46"/>
  </r>
  <r>
    <d v="1992-11-04T00:00:00"/>
    <n v="1104"/>
    <x v="6"/>
    <n v="22"/>
    <n v="12"/>
    <n v="32"/>
    <n v="1"/>
    <n v="140642"/>
    <x v="47"/>
  </r>
  <r>
    <d v="1992-11-05T00:00:00"/>
    <n v="1105"/>
    <x v="6"/>
    <n v="36"/>
    <n v="12"/>
    <n v="46"/>
    <n v="0"/>
    <n v="140688"/>
    <x v="48"/>
  </r>
  <r>
    <d v="1992-11-06T00:00:00"/>
    <n v="1106"/>
    <x v="6"/>
    <n v="21"/>
    <n v="14"/>
    <n v="30"/>
    <n v="0"/>
    <n v="140718"/>
    <x v="49"/>
  </r>
  <r>
    <d v="1992-11-07T00:00:00"/>
    <n v="1107"/>
    <x v="6"/>
    <n v="14"/>
    <n v="2"/>
    <n v="46"/>
    <n v="0"/>
    <n v="140764"/>
    <x v="50"/>
  </r>
  <r>
    <d v="1992-11-08T00:00:00"/>
    <n v="1108"/>
    <x v="6"/>
    <n v="13"/>
    <n v="6"/>
    <n v="23"/>
    <n v="0"/>
    <n v="140787"/>
    <x v="51"/>
  </r>
  <r>
    <d v="1992-11-09T00:00:00"/>
    <n v="1109"/>
    <x v="6"/>
    <n v="16"/>
    <n v="8"/>
    <n v="11"/>
    <n v="0"/>
    <n v="140798"/>
    <x v="52"/>
  </r>
  <r>
    <d v="1992-11-10T00:00:00"/>
    <n v="1110"/>
    <x v="6"/>
    <n v="14"/>
    <n v="8"/>
    <n v="7"/>
    <n v="0"/>
    <n v="140805"/>
    <x v="53"/>
  </r>
  <r>
    <d v="1993-09-02T00:00:00"/>
    <n v="902"/>
    <x v="7"/>
    <n v="50"/>
    <n v="3"/>
    <n v="138"/>
    <n v="28"/>
    <n v="138"/>
    <x v="75"/>
  </r>
  <r>
    <d v="1993-09-03T00:00:00"/>
    <n v="903"/>
    <x v="7"/>
    <n v="41"/>
    <n v="6"/>
    <n v="475"/>
    <n v="74"/>
    <n v="613"/>
    <x v="76"/>
  </r>
  <r>
    <d v="1993-09-04T00:00:00"/>
    <n v="904"/>
    <x v="7"/>
    <n v="13"/>
    <n v="8"/>
    <n v="263"/>
    <n v="49"/>
    <n v="876"/>
    <x v="77"/>
  </r>
  <r>
    <d v="1993-09-05T00:00:00"/>
    <n v="905"/>
    <x v="7"/>
    <n v="8"/>
    <n v="5"/>
    <n v="115"/>
    <n v="20"/>
    <n v="991"/>
    <x v="78"/>
  </r>
  <r>
    <d v="1993-09-06T00:00:00"/>
    <n v="906"/>
    <x v="7"/>
    <n v="9"/>
    <n v="8"/>
    <n v="96"/>
    <n v="63"/>
    <n v="1087"/>
    <x v="79"/>
  </r>
  <r>
    <d v="1993-09-07T00:00:00"/>
    <n v="907"/>
    <x v="7"/>
    <n v="5"/>
    <n v="3"/>
    <n v="345"/>
    <n v="89"/>
    <n v="1432"/>
    <x v="71"/>
  </r>
  <r>
    <d v="1993-09-08T00:00:00"/>
    <n v="908"/>
    <x v="7"/>
    <n v="7"/>
    <n v="8"/>
    <n v="125"/>
    <n v="22"/>
    <n v="1557"/>
    <x v="72"/>
  </r>
  <r>
    <d v="1993-09-09T00:00:00"/>
    <n v="909"/>
    <x v="7"/>
    <n v="24"/>
    <n v="7"/>
    <n v="108"/>
    <n v="8"/>
    <n v="1665"/>
    <x v="73"/>
  </r>
  <r>
    <d v="1993-09-10T00:00:00"/>
    <n v="910"/>
    <x v="7"/>
    <n v="18"/>
    <n v="15"/>
    <n v="102"/>
    <n v="14"/>
    <n v="1767"/>
    <x v="74"/>
  </r>
  <r>
    <d v="1993-09-11T00:00:00"/>
    <n v="911"/>
    <x v="7"/>
    <n v="36"/>
    <n v="19"/>
    <n v="281"/>
    <n v="16"/>
    <n v="2048"/>
    <x v="68"/>
  </r>
  <r>
    <d v="1993-09-12T00:00:00"/>
    <n v="912"/>
    <x v="7"/>
    <n v="45"/>
    <n v="4"/>
    <n v="124"/>
    <n v="6"/>
    <n v="2172"/>
    <x v="69"/>
  </r>
  <r>
    <d v="1993-09-13T00:00:00"/>
    <n v="913"/>
    <x v="7"/>
    <n v="198"/>
    <n v="32"/>
    <n v="317"/>
    <n v="53"/>
    <n v="2489"/>
    <x v="70"/>
  </r>
  <r>
    <d v="1993-09-14T00:00:00"/>
    <n v="914"/>
    <x v="7"/>
    <n v="261"/>
    <n v="41"/>
    <n v="2384"/>
    <n v="68"/>
    <n v="4873"/>
    <x v="67"/>
  </r>
  <r>
    <d v="1993-09-15T00:00:00"/>
    <n v="915"/>
    <x v="7"/>
    <n v="239"/>
    <n v="44"/>
    <n v="3104"/>
    <n v="42"/>
    <n v="7977"/>
    <x v="63"/>
  </r>
  <r>
    <d v="1993-09-16T00:00:00"/>
    <n v="916"/>
    <x v="7"/>
    <n v="306"/>
    <n v="34"/>
    <n v="2266"/>
    <n v="149"/>
    <n v="10243"/>
    <x v="64"/>
  </r>
  <r>
    <d v="1993-09-17T00:00:00"/>
    <n v="917"/>
    <x v="7"/>
    <n v="455"/>
    <n v="24"/>
    <n v="1637"/>
    <n v="70"/>
    <n v="11880"/>
    <x v="65"/>
  </r>
  <r>
    <d v="1993-09-18T00:00:00"/>
    <n v="918"/>
    <x v="7"/>
    <n v="426"/>
    <n v="22"/>
    <n v="1775"/>
    <n v="43"/>
    <n v="13655"/>
    <x v="0"/>
  </r>
  <r>
    <d v="1993-09-19T00:00:00"/>
    <n v="919"/>
    <x v="7"/>
    <n v="660"/>
    <n v="23"/>
    <n v="1828"/>
    <n v="33"/>
    <n v="15483"/>
    <x v="1"/>
  </r>
  <r>
    <d v="1993-09-20T00:00:00"/>
    <n v="920"/>
    <x v="7"/>
    <n v="437"/>
    <n v="16"/>
    <n v="4262"/>
    <n v="70"/>
    <n v="19745"/>
    <x v="2"/>
  </r>
  <r>
    <d v="1993-09-21T00:00:00"/>
    <n v="921"/>
    <x v="7"/>
    <n v="451"/>
    <n v="17"/>
    <n v="2554"/>
    <n v="33"/>
    <n v="22299"/>
    <x v="3"/>
  </r>
  <r>
    <d v="1993-09-22T00:00:00"/>
    <n v="922"/>
    <x v="7"/>
    <n v="546"/>
    <n v="21"/>
    <n v="2237"/>
    <n v="58"/>
    <n v="24536"/>
    <x v="4"/>
  </r>
  <r>
    <d v="1993-09-23T00:00:00"/>
    <n v="923"/>
    <x v="7"/>
    <n v="511"/>
    <n v="11"/>
    <n v="1118"/>
    <n v="22"/>
    <n v="25654"/>
    <x v="5"/>
  </r>
  <r>
    <d v="1993-09-24T00:00:00"/>
    <n v="924"/>
    <x v="7"/>
    <n v="655"/>
    <n v="8"/>
    <n v="1778"/>
    <n v="31"/>
    <n v="27432"/>
    <x v="6"/>
  </r>
  <r>
    <d v="1993-09-25T00:00:00"/>
    <n v="925"/>
    <x v="7"/>
    <n v="453"/>
    <n v="8"/>
    <n v="1037"/>
    <n v="8"/>
    <n v="28469"/>
    <x v="7"/>
  </r>
  <r>
    <d v="1993-09-26T00:00:00"/>
    <n v="926"/>
    <x v="7"/>
    <n v="380"/>
    <n v="5"/>
    <n v="1476"/>
    <n v="11"/>
    <n v="29945"/>
    <x v="8"/>
  </r>
  <r>
    <d v="1993-09-27T00:00:00"/>
    <n v="927"/>
    <x v="7"/>
    <n v="263"/>
    <n v="8"/>
    <n v="1079"/>
    <n v="35"/>
    <n v="31024"/>
    <x v="9"/>
  </r>
  <r>
    <d v="1993-09-28T00:00:00"/>
    <n v="928"/>
    <x v="7"/>
    <n v="372"/>
    <n v="5"/>
    <n v="1172"/>
    <n v="24"/>
    <n v="32196"/>
    <x v="10"/>
  </r>
  <r>
    <d v="1993-09-29T00:00:00"/>
    <n v="929"/>
    <x v="7"/>
    <n v="431"/>
    <n v="8"/>
    <n v="1193"/>
    <n v="24"/>
    <n v="33389"/>
    <x v="11"/>
  </r>
  <r>
    <d v="1993-09-30T00:00:00"/>
    <n v="930"/>
    <x v="7"/>
    <n v="262"/>
    <n v="35"/>
    <n v="1018"/>
    <n v="32"/>
    <n v="34407"/>
    <x v="12"/>
  </r>
  <r>
    <d v="1993-10-01T00:00:00"/>
    <n v="1001"/>
    <x v="7"/>
    <n v="319"/>
    <n v="25"/>
    <n v="1603"/>
    <n v="39"/>
    <n v="36010"/>
    <x v="13"/>
  </r>
  <r>
    <d v="1993-10-02T00:00:00"/>
    <n v="1002"/>
    <x v="7"/>
    <n v="337"/>
    <n v="13"/>
    <n v="2522"/>
    <n v="40"/>
    <n v="38532"/>
    <x v="14"/>
  </r>
  <r>
    <d v="1993-10-03T00:00:00"/>
    <n v="1003"/>
    <x v="7"/>
    <n v="288"/>
    <n v="15"/>
    <n v="4208"/>
    <n v="52"/>
    <n v="42740"/>
    <x v="15"/>
  </r>
  <r>
    <d v="1993-10-04T00:00:00"/>
    <n v="1004"/>
    <x v="7"/>
    <n v="663"/>
    <n v="40"/>
    <n v="5250"/>
    <n v="46"/>
    <n v="47990"/>
    <x v="16"/>
  </r>
  <r>
    <d v="1993-10-05T00:00:00"/>
    <n v="1005"/>
    <x v="7"/>
    <n v="434"/>
    <n v="15"/>
    <n v="5894"/>
    <n v="15"/>
    <n v="53884"/>
    <x v="17"/>
  </r>
  <r>
    <d v="1993-10-06T00:00:00"/>
    <n v="1006"/>
    <x v="7"/>
    <n v="608"/>
    <n v="68"/>
    <n v="4339"/>
    <n v="6"/>
    <n v="58223"/>
    <x v="18"/>
  </r>
  <r>
    <d v="1993-10-07T00:00:00"/>
    <n v="1007"/>
    <x v="7"/>
    <n v="322"/>
    <n v="23"/>
    <n v="3064"/>
    <n v="12"/>
    <n v="61287"/>
    <x v="19"/>
  </r>
  <r>
    <d v="1993-10-08T00:00:00"/>
    <n v="1008"/>
    <x v="7"/>
    <n v="290"/>
    <n v="10"/>
    <n v="2768"/>
    <n v="4"/>
    <n v="64055"/>
    <x v="20"/>
  </r>
  <r>
    <d v="1993-10-09T00:00:00"/>
    <n v="1009"/>
    <x v="7"/>
    <n v="493"/>
    <n v="13"/>
    <n v="2989"/>
    <n v="24"/>
    <n v="67044"/>
    <x v="21"/>
  </r>
  <r>
    <d v="1993-10-10T00:00:00"/>
    <n v="1010"/>
    <x v="7"/>
    <n v="549"/>
    <n v="9"/>
    <n v="6386"/>
    <n v="27"/>
    <n v="73430"/>
    <x v="22"/>
  </r>
  <r>
    <d v="1993-10-11T00:00:00"/>
    <n v="1011"/>
    <x v="7"/>
    <n v="399"/>
    <n v="2"/>
    <n v="5966"/>
    <n v="28"/>
    <n v="79396"/>
    <x v="23"/>
  </r>
  <r>
    <d v="1993-10-12T00:00:00"/>
    <n v="1012"/>
    <x v="7"/>
    <n v="395"/>
    <n v="17"/>
    <n v="3106"/>
    <n v="10"/>
    <n v="82502"/>
    <x v="24"/>
  </r>
  <r>
    <d v="1993-10-13T00:00:00"/>
    <n v="1013"/>
    <x v="7"/>
    <n v="413"/>
    <n v="21"/>
    <n v="2002"/>
    <n v="7"/>
    <n v="84504"/>
    <x v="25"/>
  </r>
  <r>
    <d v="1993-10-14T00:00:00"/>
    <n v="1014"/>
    <x v="7"/>
    <n v="352"/>
    <n v="22"/>
    <n v="2050"/>
    <n v="12"/>
    <n v="86554"/>
    <x v="26"/>
  </r>
  <r>
    <d v="1993-10-15T00:00:00"/>
    <n v="1015"/>
    <x v="7"/>
    <n v="255"/>
    <n v="13"/>
    <n v="1502"/>
    <n v="10"/>
    <n v="88056"/>
    <x v="27"/>
  </r>
  <r>
    <d v="1993-10-16T00:00:00"/>
    <n v="1016"/>
    <x v="7"/>
    <n v="251"/>
    <n v="5"/>
    <n v="1270"/>
    <n v="24"/>
    <n v="89326"/>
    <x v="28"/>
  </r>
  <r>
    <d v="1993-10-17T00:00:00"/>
    <n v="1017"/>
    <x v="7"/>
    <n v="142"/>
    <n v="5"/>
    <n v="1047"/>
    <n v="44"/>
    <n v="90373"/>
    <x v="29"/>
  </r>
  <r>
    <d v="1993-10-18T00:00:00"/>
    <n v="1018"/>
    <x v="7"/>
    <n v="134"/>
    <n v="4"/>
    <n v="839"/>
    <n v="66"/>
    <n v="91212"/>
    <x v="30"/>
  </r>
  <r>
    <d v="1993-10-19T00:00:00"/>
    <n v="1019"/>
    <x v="7"/>
    <n v="171"/>
    <n v="1"/>
    <n v="716"/>
    <n v="50"/>
    <n v="91928"/>
    <x v="31"/>
  </r>
  <r>
    <d v="1993-10-20T00:00:00"/>
    <n v="1020"/>
    <x v="7"/>
    <n v="180"/>
    <n v="5"/>
    <n v="904"/>
    <n v="48"/>
    <n v="92832"/>
    <x v="32"/>
  </r>
  <r>
    <d v="1993-10-21T00:00:00"/>
    <n v="1021"/>
    <x v="7"/>
    <n v="83"/>
    <n v="5"/>
    <n v="576"/>
    <n v="9"/>
    <n v="93408"/>
    <x v="33"/>
  </r>
  <r>
    <d v="1993-10-22T00:00:00"/>
    <n v="1022"/>
    <x v="7"/>
    <n v="113"/>
    <n v="5"/>
    <n v="610"/>
    <n v="8"/>
    <n v="94018"/>
    <x v="34"/>
  </r>
  <r>
    <d v="1993-10-23T00:00:00"/>
    <n v="1023"/>
    <x v="7"/>
    <n v="271"/>
    <n v="9"/>
    <n v="1010"/>
    <n v="3"/>
    <n v="95028"/>
    <x v="35"/>
  </r>
  <r>
    <d v="1993-10-24T00:00:00"/>
    <n v="1024"/>
    <x v="7"/>
    <n v="97"/>
    <n v="8"/>
    <n v="363"/>
    <n v="0"/>
    <n v="95391"/>
    <x v="36"/>
  </r>
  <r>
    <d v="1993-10-25T00:00:00"/>
    <n v="1025"/>
    <x v="7"/>
    <n v="68"/>
    <n v="3"/>
    <n v="246"/>
    <n v="1"/>
    <n v="95637"/>
    <x v="37"/>
  </r>
  <r>
    <d v="1993-10-26T00:00:00"/>
    <n v="1026"/>
    <x v="7"/>
    <n v="37"/>
    <n v="3"/>
    <n v="154"/>
    <n v="4"/>
    <n v="95791"/>
    <x v="38"/>
  </r>
  <r>
    <d v="1993-10-27T00:00:00"/>
    <n v="1027"/>
    <x v="7"/>
    <n v="27"/>
    <n v="3"/>
    <n v="114"/>
    <n v="3"/>
    <n v="95905"/>
    <x v="39"/>
  </r>
  <r>
    <d v="1993-10-28T00:00:00"/>
    <n v="1028"/>
    <x v="7"/>
    <n v="21"/>
    <n v="4"/>
    <n v="66"/>
    <n v="4"/>
    <n v="95971"/>
    <x v="40"/>
  </r>
  <r>
    <d v="1993-10-29T00:00:00"/>
    <n v="1029"/>
    <x v="7"/>
    <n v="34"/>
    <n v="2"/>
    <n v="54"/>
    <n v="3"/>
    <n v="96025"/>
    <x v="41"/>
  </r>
  <r>
    <d v="1993-10-30T00:00:00"/>
    <n v="1030"/>
    <x v="7"/>
    <n v="25"/>
    <n v="0"/>
    <n v="44"/>
    <n v="3"/>
    <n v="96069"/>
    <x v="42"/>
  </r>
  <r>
    <d v="1993-10-31T00:00:00"/>
    <n v="1031"/>
    <x v="7"/>
    <n v="9"/>
    <n v="4"/>
    <n v="30"/>
    <n v="1"/>
    <n v="96099"/>
    <x v="43"/>
  </r>
  <r>
    <d v="1993-11-01T00:00:00"/>
    <n v="1101"/>
    <x v="7"/>
    <n v="23"/>
    <n v="0"/>
    <n v="27"/>
    <n v="0"/>
    <n v="96126"/>
    <x v="44"/>
  </r>
  <r>
    <d v="1993-11-02T00:00:00"/>
    <n v="1102"/>
    <x v="7"/>
    <n v="16"/>
    <n v="4"/>
    <n v="25"/>
    <n v="0"/>
    <n v="96151"/>
    <x v="45"/>
  </r>
  <r>
    <d v="1993-11-03T00:00:00"/>
    <n v="1103"/>
    <x v="7"/>
    <n v="40"/>
    <n v="8"/>
    <n v="33"/>
    <n v="1"/>
    <n v="96184"/>
    <x v="46"/>
  </r>
  <r>
    <d v="1993-11-04T00:00:00"/>
    <n v="1104"/>
    <x v="7"/>
    <n v="15"/>
    <n v="5"/>
    <n v="26"/>
    <n v="2"/>
    <n v="96210"/>
    <x v="47"/>
  </r>
  <r>
    <d v="1993-11-05T00:00:00"/>
    <n v="1105"/>
    <x v="7"/>
    <n v="13"/>
    <n v="4"/>
    <n v="12"/>
    <n v="3"/>
    <n v="96222"/>
    <x v="48"/>
  </r>
  <r>
    <d v="1993-11-06T00:00:00"/>
    <n v="1106"/>
    <x v="7"/>
    <n v="13"/>
    <n v="5"/>
    <n v="14"/>
    <n v="2"/>
    <n v="96236"/>
    <x v="49"/>
  </r>
  <r>
    <d v="1993-11-07T00:00:00"/>
    <n v="1107"/>
    <x v="7"/>
    <n v="6"/>
    <n v="2"/>
    <n v="5"/>
    <n v="1"/>
    <n v="96241"/>
    <x v="50"/>
  </r>
  <r>
    <d v="1993-11-08T00:00:00"/>
    <n v="1108"/>
    <x v="7"/>
    <n v="5"/>
    <n v="8"/>
    <n v="6"/>
    <n v="0"/>
    <n v="96247"/>
    <x v="51"/>
  </r>
  <r>
    <d v="1993-11-09T00:00:00"/>
    <n v="1109"/>
    <x v="7"/>
    <n v="4"/>
    <n v="4"/>
    <n v="6"/>
    <n v="1"/>
    <n v="96253"/>
    <x v="52"/>
  </r>
  <r>
    <d v="1993-11-10T00:00:00"/>
    <n v="1110"/>
    <x v="7"/>
    <n v="3"/>
    <n v="1"/>
    <n v="4"/>
    <n v="0"/>
    <n v="96257"/>
    <x v="53"/>
  </r>
  <r>
    <d v="1994-09-01T00:00:00"/>
    <n v="901"/>
    <x v="8"/>
    <n v="0"/>
    <n v="0"/>
    <n v="74"/>
    <n v="5"/>
    <n v="74"/>
    <x v="80"/>
  </r>
  <r>
    <d v="1994-09-02T00:00:00"/>
    <n v="902"/>
    <x v="8"/>
    <n v="0"/>
    <n v="0"/>
    <n v="37"/>
    <n v="3"/>
    <n v="111"/>
    <x v="75"/>
  </r>
  <r>
    <d v="1994-09-03T00:00:00"/>
    <n v="903"/>
    <x v="8"/>
    <n v="0"/>
    <n v="0"/>
    <n v="25"/>
    <n v="7"/>
    <n v="136"/>
    <x v="76"/>
  </r>
  <r>
    <d v="1994-09-04T00:00:00"/>
    <n v="904"/>
    <x v="8"/>
    <n v="0"/>
    <n v="0"/>
    <n v="175"/>
    <n v="11"/>
    <n v="311"/>
    <x v="77"/>
  </r>
  <r>
    <d v="1994-09-05T00:00:00"/>
    <n v="905"/>
    <x v="8"/>
    <n v="3"/>
    <n v="0"/>
    <n v="272"/>
    <n v="17"/>
    <n v="583"/>
    <x v="78"/>
  </r>
  <r>
    <d v="1994-09-06T00:00:00"/>
    <n v="906"/>
    <x v="8"/>
    <n v="14"/>
    <n v="60"/>
    <n v="142"/>
    <n v="28"/>
    <n v="725"/>
    <x v="79"/>
  </r>
  <r>
    <d v="1994-09-07T00:00:00"/>
    <n v="907"/>
    <x v="8"/>
    <n v="58"/>
    <n v="100"/>
    <n v="143"/>
    <n v="15"/>
    <n v="868"/>
    <x v="71"/>
  </r>
  <r>
    <d v="1994-09-08T00:00:00"/>
    <n v="908"/>
    <x v="8"/>
    <n v="48"/>
    <n v="100"/>
    <n v="2045"/>
    <n v="22"/>
    <n v="2913"/>
    <x v="72"/>
  </r>
  <r>
    <d v="1994-09-09T00:00:00"/>
    <n v="909"/>
    <x v="8"/>
    <n v="38"/>
    <n v="44"/>
    <n v="4141"/>
    <n v="38"/>
    <n v="7054"/>
    <x v="73"/>
  </r>
  <r>
    <d v="1994-09-10T00:00:00"/>
    <n v="910"/>
    <x v="8"/>
    <n v="50"/>
    <n v="65"/>
    <n v="2967"/>
    <n v="41"/>
    <n v="10021"/>
    <x v="74"/>
  </r>
  <r>
    <d v="1994-09-11T00:00:00"/>
    <n v="911"/>
    <x v="8"/>
    <n v="46"/>
    <n v="75"/>
    <n v="2416"/>
    <n v="46"/>
    <n v="12437"/>
    <x v="68"/>
  </r>
  <r>
    <d v="1994-09-12T00:00:00"/>
    <n v="912"/>
    <x v="8"/>
    <n v="16"/>
    <n v="53"/>
    <n v="1819"/>
    <n v="45"/>
    <n v="14256"/>
    <x v="69"/>
  </r>
  <r>
    <d v="1994-09-13T00:00:00"/>
    <n v="913"/>
    <x v="8"/>
    <n v="12"/>
    <n v="66"/>
    <n v="775"/>
    <n v="61"/>
    <n v="15031"/>
    <x v="70"/>
  </r>
  <r>
    <d v="1994-09-14T00:00:00"/>
    <n v="914"/>
    <x v="8"/>
    <n v="23"/>
    <n v="116"/>
    <n v="363"/>
    <n v="59"/>
    <n v="15394"/>
    <x v="67"/>
  </r>
  <r>
    <d v="1994-09-15T00:00:00"/>
    <n v="915"/>
    <x v="8"/>
    <n v="15"/>
    <n v="62"/>
    <n v="452"/>
    <n v="35"/>
    <n v="15846"/>
    <x v="63"/>
  </r>
  <r>
    <d v="1994-09-16T00:00:00"/>
    <n v="916"/>
    <x v="8"/>
    <n v="5"/>
    <n v="31"/>
    <n v="341"/>
    <n v="22"/>
    <n v="16187"/>
    <x v="64"/>
  </r>
  <r>
    <d v="1994-09-17T00:00:00"/>
    <n v="917"/>
    <x v="8"/>
    <n v="44"/>
    <n v="106"/>
    <n v="601"/>
    <n v="26"/>
    <n v="16788"/>
    <x v="65"/>
  </r>
  <r>
    <d v="1994-09-18T00:00:00"/>
    <n v="918"/>
    <x v="8"/>
    <n v="28"/>
    <n v="109"/>
    <n v="515"/>
    <n v="16"/>
    <n v="17303"/>
    <x v="0"/>
  </r>
  <r>
    <d v="1994-09-19T00:00:00"/>
    <n v="919"/>
    <x v="8"/>
    <n v="15"/>
    <n v="79"/>
    <n v="670"/>
    <n v="41"/>
    <n v="17973"/>
    <x v="1"/>
  </r>
  <r>
    <d v="1994-09-20T00:00:00"/>
    <n v="920"/>
    <x v="8"/>
    <n v="15"/>
    <n v="61"/>
    <n v="456"/>
    <n v="29"/>
    <n v="18429"/>
    <x v="2"/>
  </r>
  <r>
    <d v="1994-09-21T00:00:00"/>
    <n v="921"/>
    <x v="8"/>
    <n v="13"/>
    <n v="54"/>
    <n v="398"/>
    <n v="23"/>
    <n v="18827"/>
    <x v="3"/>
  </r>
  <r>
    <d v="1994-09-22T00:00:00"/>
    <n v="922"/>
    <x v="8"/>
    <n v="27"/>
    <n v="97"/>
    <n v="717"/>
    <n v="11"/>
    <n v="19544"/>
    <x v="4"/>
  </r>
  <r>
    <d v="1994-09-23T00:00:00"/>
    <n v="923"/>
    <x v="8"/>
    <n v="32"/>
    <n v="118"/>
    <n v="1377"/>
    <n v="15"/>
    <n v="20921"/>
    <x v="5"/>
  </r>
  <r>
    <d v="1994-09-24T00:00:00"/>
    <n v="924"/>
    <x v="8"/>
    <n v="39"/>
    <n v="137"/>
    <n v="1315"/>
    <n v="16"/>
    <n v="22236"/>
    <x v="6"/>
  </r>
  <r>
    <d v="1994-09-25T00:00:00"/>
    <n v="925"/>
    <x v="8"/>
    <n v="17"/>
    <n v="105"/>
    <n v="1050"/>
    <n v="9"/>
    <n v="23286"/>
    <x v="7"/>
  </r>
  <r>
    <d v="1994-09-26T00:00:00"/>
    <n v="926"/>
    <x v="8"/>
    <n v="5"/>
    <n v="71"/>
    <n v="850"/>
    <n v="10"/>
    <n v="24136"/>
    <x v="8"/>
  </r>
  <r>
    <d v="1994-09-27T00:00:00"/>
    <n v="927"/>
    <x v="8"/>
    <n v="15"/>
    <n v="61"/>
    <n v="533"/>
    <n v="7"/>
    <n v="24669"/>
    <x v="9"/>
  </r>
  <r>
    <d v="1994-09-28T00:00:00"/>
    <n v="928"/>
    <x v="8"/>
    <n v="22"/>
    <n v="66"/>
    <n v="892"/>
    <n v="6"/>
    <n v="25561"/>
    <x v="10"/>
  </r>
  <r>
    <d v="1994-09-29T00:00:00"/>
    <n v="929"/>
    <x v="8"/>
    <n v="30"/>
    <n v="76"/>
    <n v="2371"/>
    <n v="11"/>
    <n v="27932"/>
    <x v="11"/>
  </r>
  <r>
    <d v="1994-09-30T00:00:00"/>
    <n v="930"/>
    <x v="8"/>
    <n v="18"/>
    <n v="80"/>
    <n v="1990"/>
    <n v="8"/>
    <n v="29922"/>
    <x v="12"/>
  </r>
  <r>
    <d v="1994-10-01T00:00:00"/>
    <n v="1001"/>
    <x v="8"/>
    <n v="31"/>
    <n v="75"/>
    <n v="1787"/>
    <n v="8"/>
    <n v="31709"/>
    <x v="13"/>
  </r>
  <r>
    <d v="1994-10-02T00:00:00"/>
    <n v="1002"/>
    <x v="8"/>
    <n v="43"/>
    <n v="47"/>
    <n v="3257"/>
    <n v="2"/>
    <n v="34966"/>
    <x v="14"/>
  </r>
  <r>
    <d v="1994-10-03T00:00:00"/>
    <n v="1003"/>
    <x v="8"/>
    <n v="23"/>
    <n v="74"/>
    <n v="4061"/>
    <n v="10"/>
    <n v="39027"/>
    <x v="15"/>
  </r>
  <r>
    <d v="1994-10-04T00:00:00"/>
    <n v="1004"/>
    <x v="8"/>
    <n v="34"/>
    <n v="88"/>
    <n v="2869"/>
    <n v="26"/>
    <n v="41896"/>
    <x v="16"/>
  </r>
  <r>
    <d v="1994-10-05T00:00:00"/>
    <n v="1005"/>
    <x v="8"/>
    <n v="17"/>
    <n v="87"/>
    <n v="1572"/>
    <n v="26"/>
    <n v="43468"/>
    <x v="17"/>
  </r>
  <r>
    <d v="1994-10-06T00:00:00"/>
    <n v="1006"/>
    <x v="8"/>
    <n v="26"/>
    <n v="83"/>
    <n v="1725"/>
    <n v="31"/>
    <n v="45193"/>
    <x v="18"/>
  </r>
  <r>
    <d v="1994-10-07T00:00:00"/>
    <n v="1007"/>
    <x v="8"/>
    <n v="20"/>
    <n v="85"/>
    <n v="1353"/>
    <n v="23"/>
    <n v="46546"/>
    <x v="19"/>
  </r>
  <r>
    <d v="1994-10-08T00:00:00"/>
    <n v="1008"/>
    <x v="8"/>
    <n v="9"/>
    <n v="47"/>
    <n v="918"/>
    <n v="10"/>
    <n v="47464"/>
    <x v="20"/>
  </r>
  <r>
    <d v="1994-10-09T00:00:00"/>
    <n v="1009"/>
    <x v="8"/>
    <n v="9"/>
    <n v="39"/>
    <n v="935"/>
    <n v="9"/>
    <n v="48399"/>
    <x v="21"/>
  </r>
  <r>
    <d v="1994-10-10T00:00:00"/>
    <n v="1010"/>
    <x v="8"/>
    <n v="9"/>
    <n v="46"/>
    <n v="1222"/>
    <n v="18"/>
    <n v="49621"/>
    <x v="22"/>
  </r>
  <r>
    <d v="1994-10-11T00:00:00"/>
    <n v="1011"/>
    <x v="8"/>
    <n v="12"/>
    <n v="38"/>
    <n v="1345"/>
    <n v="10"/>
    <n v="50966"/>
    <x v="23"/>
  </r>
  <r>
    <d v="1994-10-12T00:00:00"/>
    <n v="1012"/>
    <x v="8"/>
    <n v="10"/>
    <n v="28"/>
    <n v="933"/>
    <n v="6"/>
    <n v="51899"/>
    <x v="24"/>
  </r>
  <r>
    <d v="1994-10-13T00:00:00"/>
    <n v="1013"/>
    <x v="8"/>
    <n v="4"/>
    <n v="18"/>
    <n v="696"/>
    <n v="10"/>
    <n v="52595"/>
    <x v="25"/>
  </r>
  <r>
    <d v="1994-10-14T00:00:00"/>
    <n v="1014"/>
    <x v="8"/>
    <n v="10"/>
    <n v="23"/>
    <n v="750"/>
    <n v="7"/>
    <n v="53345"/>
    <x v="26"/>
  </r>
  <r>
    <d v="1994-10-15T00:00:00"/>
    <n v="1015"/>
    <x v="8"/>
    <n v="4"/>
    <n v="18"/>
    <n v="487"/>
    <n v="5"/>
    <n v="53832"/>
    <x v="27"/>
  </r>
  <r>
    <d v="1994-10-16T00:00:00"/>
    <n v="1016"/>
    <x v="8"/>
    <n v="7"/>
    <n v="15"/>
    <n v="395"/>
    <n v="5"/>
    <n v="54227"/>
    <x v="28"/>
  </r>
  <r>
    <d v="1994-10-17T00:00:00"/>
    <n v="1017"/>
    <x v="8"/>
    <n v="8"/>
    <n v="25"/>
    <n v="472"/>
    <n v="1"/>
    <n v="54699"/>
    <x v="29"/>
  </r>
  <r>
    <d v="1994-10-18T00:00:00"/>
    <n v="1018"/>
    <x v="8"/>
    <n v="5"/>
    <n v="19"/>
    <n v="377"/>
    <n v="0"/>
    <n v="55076"/>
    <x v="30"/>
  </r>
  <r>
    <d v="1994-10-19T00:00:00"/>
    <n v="1019"/>
    <x v="8"/>
    <n v="9"/>
    <n v="18"/>
    <n v="373"/>
    <n v="7"/>
    <n v="55449"/>
    <x v="31"/>
  </r>
  <r>
    <d v="1994-10-20T00:00:00"/>
    <n v="1020"/>
    <x v="8"/>
    <n v="7"/>
    <n v="15"/>
    <n v="355"/>
    <n v="5"/>
    <n v="55804"/>
    <x v="32"/>
  </r>
  <r>
    <d v="1994-10-21T00:00:00"/>
    <n v="1021"/>
    <x v="8"/>
    <n v="14"/>
    <n v="17"/>
    <n v="395"/>
    <n v="3"/>
    <n v="56199"/>
    <x v="33"/>
  </r>
  <r>
    <d v="1994-10-22T00:00:00"/>
    <n v="1022"/>
    <x v="8"/>
    <n v="6"/>
    <n v="13"/>
    <n v="430"/>
    <n v="5"/>
    <n v="56629"/>
    <x v="34"/>
  </r>
  <r>
    <d v="1994-10-23T00:00:00"/>
    <n v="1023"/>
    <x v="8"/>
    <n v="8"/>
    <n v="11"/>
    <n v="279"/>
    <n v="3"/>
    <n v="56908"/>
    <x v="35"/>
  </r>
  <r>
    <d v="1994-10-24T00:00:00"/>
    <n v="1024"/>
    <x v="8"/>
    <n v="0"/>
    <n v="20"/>
    <n v="160"/>
    <n v="2"/>
    <n v="57068"/>
    <x v="36"/>
  </r>
  <r>
    <d v="1994-10-25T00:00:00"/>
    <n v="1025"/>
    <x v="8"/>
    <n v="0"/>
    <n v="5"/>
    <n v="108"/>
    <n v="8"/>
    <n v="57176"/>
    <x v="37"/>
  </r>
  <r>
    <d v="1994-10-26T00:00:00"/>
    <n v="1026"/>
    <x v="8"/>
    <n v="0"/>
    <n v="5"/>
    <n v="97"/>
    <n v="7"/>
    <n v="57273"/>
    <x v="38"/>
  </r>
  <r>
    <d v="1994-10-27T00:00:00"/>
    <n v="1027"/>
    <x v="8"/>
    <n v="0"/>
    <n v="4"/>
    <n v="86"/>
    <n v="6"/>
    <n v="57359"/>
    <x v="39"/>
  </r>
  <r>
    <d v="1994-10-28T00:00:00"/>
    <n v="1028"/>
    <x v="8"/>
    <n v="0"/>
    <n v="4"/>
    <n v="75"/>
    <n v="6"/>
    <n v="57434"/>
    <x v="40"/>
  </r>
  <r>
    <d v="1994-10-29T00:00:00"/>
    <n v="1029"/>
    <x v="8"/>
    <n v="0"/>
    <n v="4"/>
    <n v="64"/>
    <n v="5"/>
    <n v="57498"/>
    <x v="41"/>
  </r>
  <r>
    <d v="1994-10-30T00:00:00"/>
    <n v="1030"/>
    <x v="8"/>
    <n v="0"/>
    <n v="3"/>
    <n v="53"/>
    <n v="4"/>
    <n v="57551"/>
    <x v="42"/>
  </r>
  <r>
    <d v="1994-10-31T00:00:00"/>
    <n v="1031"/>
    <x v="8"/>
    <n v="0"/>
    <n v="3"/>
    <n v="42"/>
    <n v="3"/>
    <n v="57593"/>
    <x v="43"/>
  </r>
  <r>
    <d v="1994-11-01T00:00:00"/>
    <n v="1101"/>
    <x v="8"/>
    <n v="0"/>
    <n v="3"/>
    <n v="32"/>
    <n v="2"/>
    <n v="57625"/>
    <x v="44"/>
  </r>
  <r>
    <d v="1994-11-02T00:00:00"/>
    <n v="1102"/>
    <x v="8"/>
    <n v="0"/>
    <n v="2"/>
    <n v="21"/>
    <n v="1"/>
    <n v="57646"/>
    <x v="45"/>
  </r>
  <r>
    <d v="1994-11-03T00:00:00"/>
    <n v="1103"/>
    <x v="8"/>
    <n v="0"/>
    <n v="2"/>
    <n v="10"/>
    <n v="0"/>
    <n v="57656"/>
    <x v="46"/>
  </r>
  <r>
    <d v="1994-11-04T00:00:00"/>
    <n v="1104"/>
    <x v="8"/>
    <n v="0"/>
    <n v="0"/>
    <n v="0"/>
    <n v="0"/>
    <n v="57656"/>
    <x v="47"/>
  </r>
  <r>
    <d v="1994-11-05T00:00:00"/>
    <n v="1105"/>
    <x v="8"/>
    <n v="1"/>
    <n v="9"/>
    <n v="14"/>
    <n v="0"/>
    <n v="57670"/>
    <x v="48"/>
  </r>
  <r>
    <d v="1994-11-06T00:00:00"/>
    <n v="1106"/>
    <x v="8"/>
    <n v="2"/>
    <n v="1"/>
    <n v="4"/>
    <n v="0"/>
    <n v="57674"/>
    <x v="49"/>
  </r>
  <r>
    <d v="1994-11-07T00:00:00"/>
    <n v="1107"/>
    <x v="8"/>
    <n v="1"/>
    <n v="0"/>
    <n v="2"/>
    <n v="0"/>
    <n v="57676"/>
    <x v="50"/>
  </r>
  <r>
    <d v="1994-11-08T00:00:00"/>
    <n v="1108"/>
    <x v="8"/>
    <n v="0"/>
    <n v="0"/>
    <n v="2"/>
    <n v="0"/>
    <n v="57678"/>
    <x v="51"/>
  </r>
  <r>
    <d v="1995-09-02T00:00:00"/>
    <n v="902"/>
    <x v="9"/>
    <n v="141"/>
    <n v="19"/>
    <n v="263"/>
    <n v="22"/>
    <n v="263"/>
    <x v="75"/>
  </r>
  <r>
    <d v="1995-09-03T00:00:00"/>
    <n v="903"/>
    <x v="9"/>
    <n v="216"/>
    <n v="39"/>
    <n v="195"/>
    <n v="28"/>
    <n v="458"/>
    <x v="76"/>
  </r>
  <r>
    <d v="1995-09-04T00:00:00"/>
    <n v="904"/>
    <x v="9"/>
    <n v="126"/>
    <n v="17"/>
    <n v="115"/>
    <n v="14"/>
    <n v="573"/>
    <x v="77"/>
  </r>
  <r>
    <d v="1995-09-05T00:00:00"/>
    <n v="905"/>
    <x v="9"/>
    <n v="849"/>
    <n v="43"/>
    <n v="380"/>
    <n v="15"/>
    <n v="953"/>
    <x v="78"/>
  </r>
  <r>
    <d v="1995-09-06T00:00:00"/>
    <n v="906"/>
    <x v="9"/>
    <n v="458"/>
    <n v="39"/>
    <n v="309"/>
    <n v="17"/>
    <n v="1262"/>
    <x v="79"/>
  </r>
  <r>
    <d v="1995-09-07T00:00:00"/>
    <n v="907"/>
    <x v="9"/>
    <n v="282"/>
    <n v="31"/>
    <n v="70"/>
    <n v="18"/>
    <n v="1332"/>
    <x v="71"/>
  </r>
  <r>
    <d v="1995-09-08T00:00:00"/>
    <n v="908"/>
    <x v="9"/>
    <n v="419"/>
    <n v="66"/>
    <n v="94"/>
    <n v="12"/>
    <n v="1426"/>
    <x v="72"/>
  </r>
  <r>
    <d v="1995-09-09T00:00:00"/>
    <n v="909"/>
    <x v="9"/>
    <n v="402"/>
    <n v="75"/>
    <n v="34"/>
    <n v="5"/>
    <n v="1460"/>
    <x v="73"/>
  </r>
  <r>
    <d v="1995-09-10T00:00:00"/>
    <n v="910"/>
    <x v="9"/>
    <n v="487"/>
    <n v="51"/>
    <n v="179"/>
    <n v="17"/>
    <n v="1639"/>
    <x v="74"/>
  </r>
  <r>
    <d v="1995-09-11T00:00:00"/>
    <n v="911"/>
    <x v="9"/>
    <n v="761"/>
    <n v="50"/>
    <n v="326"/>
    <n v="46"/>
    <n v="1965"/>
    <x v="68"/>
  </r>
  <r>
    <d v="1995-09-12T00:00:00"/>
    <n v="912"/>
    <x v="9"/>
    <n v="715"/>
    <n v="76"/>
    <n v="265"/>
    <n v="63"/>
    <n v="2230"/>
    <x v="69"/>
  </r>
  <r>
    <d v="1995-09-13T00:00:00"/>
    <n v="913"/>
    <x v="9"/>
    <n v="484"/>
    <n v="42"/>
    <n v="274"/>
    <n v="48"/>
    <n v="2504"/>
    <x v="70"/>
  </r>
  <r>
    <d v="1995-09-14T00:00:00"/>
    <n v="914"/>
    <x v="9"/>
    <n v="349"/>
    <n v="47"/>
    <n v="235"/>
    <n v="31"/>
    <n v="2739"/>
    <x v="67"/>
  </r>
  <r>
    <d v="1995-09-15T00:00:00"/>
    <n v="915"/>
    <x v="9"/>
    <n v="261"/>
    <n v="86"/>
    <n v="260"/>
    <n v="58"/>
    <n v="2999"/>
    <x v="63"/>
  </r>
  <r>
    <d v="1995-09-16T00:00:00"/>
    <n v="916"/>
    <x v="9"/>
    <n v="163"/>
    <n v="62"/>
    <n v="273"/>
    <n v="42"/>
    <n v="3272"/>
    <x v="64"/>
  </r>
  <r>
    <d v="1995-09-17T00:00:00"/>
    <n v="917"/>
    <x v="9"/>
    <n v="540"/>
    <n v="82"/>
    <n v="343"/>
    <n v="85"/>
    <n v="3615"/>
    <x v="65"/>
  </r>
  <r>
    <d v="1995-09-18T00:00:00"/>
    <n v="918"/>
    <x v="9"/>
    <n v="1066"/>
    <n v="74"/>
    <n v="596"/>
    <n v="111"/>
    <n v="4211"/>
    <x v="0"/>
  </r>
  <r>
    <d v="1995-09-19T00:00:00"/>
    <n v="919"/>
    <x v="9"/>
    <n v="168"/>
    <n v="17"/>
    <n v="245"/>
    <n v="18"/>
    <n v="4456"/>
    <x v="1"/>
  </r>
  <r>
    <d v="1995-09-20T00:00:00"/>
    <n v="920"/>
    <x v="9"/>
    <m/>
    <m/>
    <m/>
    <m/>
    <n v="4456"/>
    <x v="2"/>
  </r>
  <r>
    <d v="1995-09-21T00:00:00"/>
    <n v="921"/>
    <x v="9"/>
    <n v="721"/>
    <n v="103"/>
    <n v="500"/>
    <n v="92"/>
    <n v="4956"/>
    <x v="3"/>
  </r>
  <r>
    <d v="1995-09-22T00:00:00"/>
    <n v="922"/>
    <x v="9"/>
    <n v="1392"/>
    <n v="105"/>
    <n v="2104"/>
    <n v="196"/>
    <n v="7060"/>
    <x v="4"/>
  </r>
  <r>
    <d v="1995-09-23T00:00:00"/>
    <n v="923"/>
    <x v="9"/>
    <n v="1000"/>
    <n v="124"/>
    <n v="1669"/>
    <n v="93"/>
    <n v="8729"/>
    <x v="5"/>
  </r>
  <r>
    <d v="1995-09-24T00:00:00"/>
    <n v="924"/>
    <x v="9"/>
    <n v="1281"/>
    <n v="240"/>
    <n v="1401"/>
    <n v="168"/>
    <n v="10130"/>
    <x v="6"/>
  </r>
  <r>
    <d v="1995-09-25T00:00:00"/>
    <n v="925"/>
    <x v="9"/>
    <n v="815"/>
    <n v="238"/>
    <n v="895"/>
    <n v="168"/>
    <n v="11025"/>
    <x v="7"/>
  </r>
  <r>
    <d v="1995-09-26T00:00:00"/>
    <n v="926"/>
    <x v="9"/>
    <n v="617"/>
    <n v="161"/>
    <n v="1331"/>
    <n v="45"/>
    <n v="12356"/>
    <x v="8"/>
  </r>
  <r>
    <d v="1995-09-27T00:00:00"/>
    <n v="927"/>
    <x v="9"/>
    <n v="452"/>
    <n v="102"/>
    <n v="647"/>
    <n v="41"/>
    <n v="13003"/>
    <x v="9"/>
  </r>
  <r>
    <d v="1995-09-28T00:00:00"/>
    <n v="928"/>
    <x v="9"/>
    <n v="402"/>
    <n v="94"/>
    <n v="1242"/>
    <n v="50"/>
    <n v="14245"/>
    <x v="10"/>
  </r>
  <r>
    <d v="1995-09-29T00:00:00"/>
    <n v="929"/>
    <x v="9"/>
    <n v="147"/>
    <n v="26"/>
    <n v="1731"/>
    <n v="48"/>
    <n v="15976"/>
    <x v="11"/>
  </r>
  <r>
    <d v="1995-09-30T00:00:00"/>
    <n v="930"/>
    <x v="9"/>
    <n v="410"/>
    <n v="152"/>
    <n v="1720"/>
    <n v="56"/>
    <n v="17696"/>
    <x v="12"/>
  </r>
  <r>
    <d v="1995-10-01T00:00:00"/>
    <n v="1001"/>
    <x v="9"/>
    <n v="315"/>
    <n v="70"/>
    <n v="887"/>
    <n v="39"/>
    <n v="18583"/>
    <x v="13"/>
  </r>
  <r>
    <d v="1995-10-02T00:00:00"/>
    <n v="1002"/>
    <x v="9"/>
    <n v="360"/>
    <n v="115"/>
    <n v="895"/>
    <n v="57"/>
    <n v="19478"/>
    <x v="14"/>
  </r>
  <r>
    <d v="1995-10-03T00:00:00"/>
    <n v="1003"/>
    <x v="9"/>
    <n v="349"/>
    <n v="123"/>
    <n v="657"/>
    <n v="32"/>
    <n v="20135"/>
    <x v="15"/>
  </r>
  <r>
    <d v="1995-10-04T00:00:00"/>
    <n v="1004"/>
    <x v="9"/>
    <n v="231"/>
    <n v="79"/>
    <n v="598"/>
    <n v="28"/>
    <n v="20733"/>
    <x v="16"/>
  </r>
  <r>
    <d v="1995-10-05T00:00:00"/>
    <n v="1005"/>
    <x v="9"/>
    <n v="279"/>
    <n v="93"/>
    <n v="420"/>
    <n v="41"/>
    <n v="21153"/>
    <x v="17"/>
  </r>
  <r>
    <d v="1995-10-06T00:00:00"/>
    <n v="1006"/>
    <x v="9"/>
    <n v="113"/>
    <n v="58"/>
    <n v="312"/>
    <n v="73"/>
    <n v="21465"/>
    <x v="18"/>
  </r>
  <r>
    <d v="1995-10-07T00:00:00"/>
    <n v="1007"/>
    <x v="9"/>
    <n v="241"/>
    <n v="75"/>
    <n v="310"/>
    <n v="101"/>
    <n v="21775"/>
    <x v="19"/>
  </r>
  <r>
    <d v="1995-10-08T00:00:00"/>
    <n v="1008"/>
    <x v="9"/>
    <n v="435"/>
    <n v="83"/>
    <n v="1055"/>
    <n v="211"/>
    <n v="22830"/>
    <x v="20"/>
  </r>
  <r>
    <d v="1995-10-09T00:00:00"/>
    <n v="1009"/>
    <x v="9"/>
    <n v="182"/>
    <n v="62"/>
    <n v="1180"/>
    <n v="93"/>
    <n v="24010"/>
    <x v="21"/>
  </r>
  <r>
    <d v="1995-10-10T00:00:00"/>
    <n v="1010"/>
    <x v="9"/>
    <n v="261"/>
    <n v="50"/>
    <n v="1319"/>
    <n v="66"/>
    <n v="25329"/>
    <x v="22"/>
  </r>
  <r>
    <d v="1995-10-11T00:00:00"/>
    <n v="1011"/>
    <x v="9"/>
    <n v="290"/>
    <n v="73"/>
    <n v="637"/>
    <n v="52"/>
    <n v="25966"/>
    <x v="23"/>
  </r>
  <r>
    <d v="1995-10-12T00:00:00"/>
    <n v="1012"/>
    <x v="9"/>
    <n v="116"/>
    <n v="42"/>
    <n v="451"/>
    <n v="60"/>
    <n v="26417"/>
    <x v="24"/>
  </r>
  <r>
    <d v="1995-10-13T00:00:00"/>
    <n v="1013"/>
    <x v="9"/>
    <n v="28"/>
    <n v="9"/>
    <n v="176"/>
    <n v="23"/>
    <n v="26593"/>
    <x v="25"/>
  </r>
  <r>
    <d v="1995-10-14T00:00:00"/>
    <n v="1014"/>
    <x v="9"/>
    <n v="13"/>
    <n v="1"/>
    <n v="8"/>
    <n v="1"/>
    <n v="26601"/>
    <x v="26"/>
  </r>
  <r>
    <d v="1995-10-15T00:00:00"/>
    <n v="1015"/>
    <x v="9"/>
    <n v="0"/>
    <n v="0"/>
    <n v="0"/>
    <n v="0"/>
    <n v="26601"/>
    <x v="27"/>
  </r>
  <r>
    <d v="1995-10-16T00:00:00"/>
    <n v="1016"/>
    <x v="9"/>
    <n v="0"/>
    <n v="0"/>
    <n v="0"/>
    <n v="0"/>
    <n v="26601"/>
    <x v="28"/>
  </r>
  <r>
    <d v="1995-10-17T00:00:00"/>
    <n v="1017"/>
    <x v="9"/>
    <n v="0"/>
    <n v="0"/>
    <n v="0"/>
    <n v="0"/>
    <n v="26601"/>
    <x v="29"/>
  </r>
  <r>
    <d v="1995-10-18T00:00:00"/>
    <n v="1018"/>
    <x v="9"/>
    <n v="0"/>
    <n v="0"/>
    <n v="0"/>
    <n v="0"/>
    <n v="26601"/>
    <x v="30"/>
  </r>
  <r>
    <d v="1995-10-19T00:00:00"/>
    <n v="1019"/>
    <x v="9"/>
    <n v="0"/>
    <n v="0"/>
    <n v="0"/>
    <n v="0"/>
    <n v="26601"/>
    <x v="31"/>
  </r>
  <r>
    <d v="1995-10-20T00:00:00"/>
    <n v="1020"/>
    <x v="9"/>
    <n v="0"/>
    <n v="0"/>
    <n v="0"/>
    <n v="0"/>
    <n v="26601"/>
    <x v="32"/>
  </r>
  <r>
    <d v="1995-10-21T00:00:00"/>
    <n v="1021"/>
    <x v="9"/>
    <n v="0"/>
    <n v="0"/>
    <n v="0"/>
    <n v="0"/>
    <n v="26601"/>
    <x v="33"/>
  </r>
  <r>
    <d v="1995-10-22T00:00:00"/>
    <n v="1022"/>
    <x v="9"/>
    <n v="0"/>
    <n v="0"/>
    <n v="360"/>
    <n v="0"/>
    <n v="26961"/>
    <x v="34"/>
  </r>
  <r>
    <d v="1995-10-23T00:00:00"/>
    <n v="1023"/>
    <x v="9"/>
    <n v="5"/>
    <n v="5"/>
    <n v="42"/>
    <n v="8"/>
    <n v="27003"/>
    <x v="35"/>
  </r>
  <r>
    <d v="1995-10-24T00:00:00"/>
    <n v="1024"/>
    <x v="9"/>
    <n v="20"/>
    <n v="7"/>
    <n v="56"/>
    <n v="4"/>
    <n v="27059"/>
    <x v="36"/>
  </r>
  <r>
    <d v="1995-10-25T00:00:00"/>
    <n v="1025"/>
    <x v="9"/>
    <n v="11"/>
    <n v="1"/>
    <n v="46"/>
    <n v="3"/>
    <n v="27105"/>
    <x v="37"/>
  </r>
  <r>
    <d v="1995-10-26T00:00:00"/>
    <n v="1026"/>
    <x v="9"/>
    <n v="0"/>
    <n v="2"/>
    <n v="0"/>
    <n v="0"/>
    <n v="27105"/>
    <x v="38"/>
  </r>
  <r>
    <d v="1995-10-27T00:00:00"/>
    <n v="1027"/>
    <x v="9"/>
    <n v="0"/>
    <n v="0"/>
    <n v="0"/>
    <n v="0"/>
    <n v="27105"/>
    <x v="39"/>
  </r>
  <r>
    <d v="1995-10-28T00:00:00"/>
    <n v="1028"/>
    <x v="9"/>
    <n v="0"/>
    <n v="0"/>
    <n v="0"/>
    <n v="0"/>
    <n v="27105"/>
    <x v="40"/>
  </r>
  <r>
    <d v="1995-10-29T00:00:00"/>
    <n v="1029"/>
    <x v="9"/>
    <n v="0"/>
    <n v="1"/>
    <n v="2"/>
    <n v="0"/>
    <n v="27107"/>
    <x v="41"/>
  </r>
  <r>
    <d v="1995-10-30T00:00:00"/>
    <n v="1030"/>
    <x v="9"/>
    <n v="0"/>
    <n v="0"/>
    <n v="0"/>
    <n v="1"/>
    <n v="27107"/>
    <x v="42"/>
  </r>
  <r>
    <d v="1995-10-31T00:00:00"/>
    <n v="1031"/>
    <x v="9"/>
    <m/>
    <m/>
    <n v="5"/>
    <m/>
    <n v="27112"/>
    <x v="43"/>
  </r>
  <r>
    <d v="1995-11-01T00:00:00"/>
    <n v="1101"/>
    <x v="9"/>
    <m/>
    <m/>
    <n v="10"/>
    <m/>
    <n v="27122"/>
    <x v="44"/>
  </r>
  <r>
    <d v="1995-11-02T00:00:00"/>
    <n v="1102"/>
    <x v="9"/>
    <m/>
    <m/>
    <n v="10"/>
    <m/>
    <n v="27132"/>
    <x v="45"/>
  </r>
  <r>
    <d v="1995-11-03T00:00:00"/>
    <n v="1103"/>
    <x v="9"/>
    <m/>
    <m/>
    <n v="10"/>
    <m/>
    <n v="27142"/>
    <x v="46"/>
  </r>
  <r>
    <d v="1995-11-04T00:00:00"/>
    <n v="1104"/>
    <x v="9"/>
    <m/>
    <m/>
    <n v="10"/>
    <m/>
    <n v="27152"/>
    <x v="47"/>
  </r>
  <r>
    <d v="1995-11-05T00:00:00"/>
    <n v="1105"/>
    <x v="9"/>
    <m/>
    <m/>
    <n v="10"/>
    <m/>
    <n v="27162"/>
    <x v="48"/>
  </r>
  <r>
    <d v="1996-09-05T00:00:00"/>
    <n v="905"/>
    <x v="10"/>
    <n v="245"/>
    <n v="33"/>
    <n v="78"/>
    <n v="8"/>
    <n v="78"/>
    <x v="78"/>
  </r>
  <r>
    <d v="1996-09-06T00:00:00"/>
    <n v="906"/>
    <x v="10"/>
    <n v="834"/>
    <n v="26"/>
    <n v="208"/>
    <n v="25"/>
    <n v="286"/>
    <x v="79"/>
  </r>
  <r>
    <d v="1996-09-07T00:00:00"/>
    <n v="907"/>
    <x v="10"/>
    <n v="874"/>
    <n v="59"/>
    <n v="2126"/>
    <n v="26"/>
    <n v="2412"/>
    <x v="71"/>
  </r>
  <r>
    <d v="1996-09-08T00:00:00"/>
    <n v="908"/>
    <x v="10"/>
    <n v="694"/>
    <n v="39"/>
    <n v="195"/>
    <n v="9"/>
    <n v="2607"/>
    <x v="72"/>
  </r>
  <r>
    <d v="1996-09-09T00:00:00"/>
    <n v="909"/>
    <x v="10"/>
    <n v="819"/>
    <n v="51"/>
    <n v="143"/>
    <n v="17"/>
    <n v="2750"/>
    <x v="73"/>
  </r>
  <r>
    <d v="1996-09-10T00:00:00"/>
    <n v="910"/>
    <x v="10"/>
    <n v="860"/>
    <n v="61"/>
    <n v="134"/>
    <n v="10"/>
    <n v="2884"/>
    <x v="74"/>
  </r>
  <r>
    <d v="1996-09-11T00:00:00"/>
    <n v="911"/>
    <x v="10"/>
    <n v="583"/>
    <n v="57"/>
    <n v="137"/>
    <n v="23"/>
    <n v="3021"/>
    <x v="68"/>
  </r>
  <r>
    <d v="1996-09-12T00:00:00"/>
    <n v="912"/>
    <x v="10"/>
    <n v="439"/>
    <n v="56"/>
    <n v="196"/>
    <n v="24"/>
    <n v="3217"/>
    <x v="69"/>
  </r>
  <r>
    <d v="1996-09-13T00:00:00"/>
    <n v="913"/>
    <x v="10"/>
    <n v="384"/>
    <n v="23"/>
    <n v="70"/>
    <n v="14"/>
    <n v="3287"/>
    <x v="70"/>
  </r>
  <r>
    <d v="1996-09-14T00:00:00"/>
    <n v="914"/>
    <x v="10"/>
    <n v="699"/>
    <n v="73"/>
    <n v="1203"/>
    <n v="160"/>
    <n v="4490"/>
    <x v="67"/>
  </r>
  <r>
    <d v="1996-09-15T00:00:00"/>
    <n v="915"/>
    <x v="10"/>
    <n v="491"/>
    <n v="49"/>
    <n v="2472"/>
    <n v="75"/>
    <n v="6962"/>
    <x v="63"/>
  </r>
  <r>
    <d v="1996-09-16T00:00:00"/>
    <n v="916"/>
    <x v="10"/>
    <n v="359"/>
    <n v="35"/>
    <n v="1500"/>
    <n v="45"/>
    <n v="8462"/>
    <x v="64"/>
  </r>
  <r>
    <d v="1996-09-17T00:00:00"/>
    <n v="917"/>
    <x v="10"/>
    <n v="110"/>
    <n v="0"/>
    <n v="47"/>
    <n v="0"/>
    <n v="8509"/>
    <x v="65"/>
  </r>
  <r>
    <d v="1996-09-18T00:00:00"/>
    <n v="918"/>
    <x v="10"/>
    <n v="246"/>
    <n v="40"/>
    <n v="237"/>
    <n v="16"/>
    <n v="8746"/>
    <x v="0"/>
  </r>
  <r>
    <d v="1996-09-19T00:00:00"/>
    <n v="919"/>
    <x v="10"/>
    <n v="685"/>
    <n v="73"/>
    <n v="712"/>
    <n v="72"/>
    <n v="9458"/>
    <x v="1"/>
  </r>
  <r>
    <d v="1996-09-20T00:00:00"/>
    <n v="920"/>
    <x v="10"/>
    <n v="690"/>
    <n v="69"/>
    <n v="765"/>
    <n v="82"/>
    <n v="10223"/>
    <x v="2"/>
  </r>
  <r>
    <d v="1996-09-21T00:00:00"/>
    <n v="921"/>
    <x v="10"/>
    <n v="769"/>
    <n v="49"/>
    <n v="760"/>
    <n v="111"/>
    <n v="10983"/>
    <x v="3"/>
  </r>
  <r>
    <d v="1996-09-22T00:00:00"/>
    <n v="922"/>
    <x v="10"/>
    <n v="706"/>
    <n v="174"/>
    <n v="460"/>
    <n v="107"/>
    <n v="11443"/>
    <x v="4"/>
  </r>
  <r>
    <d v="1996-09-23T00:00:00"/>
    <n v="923"/>
    <x v="10"/>
    <n v="470"/>
    <n v="152"/>
    <n v="388"/>
    <n v="28"/>
    <n v="11831"/>
    <x v="5"/>
  </r>
  <r>
    <d v="1996-09-24T00:00:00"/>
    <n v="924"/>
    <x v="10"/>
    <n v="472"/>
    <n v="117"/>
    <n v="184"/>
    <n v="22"/>
    <n v="12015"/>
    <x v="6"/>
  </r>
  <r>
    <d v="1996-09-25T00:00:00"/>
    <n v="925"/>
    <x v="10"/>
    <n v="550"/>
    <n v="157"/>
    <n v="250"/>
    <n v="21"/>
    <n v="12265"/>
    <x v="7"/>
  </r>
  <r>
    <d v="1996-09-26T00:00:00"/>
    <n v="926"/>
    <x v="10"/>
    <n v="391"/>
    <n v="286"/>
    <n v="315"/>
    <n v="45"/>
    <n v="12580"/>
    <x v="8"/>
  </r>
  <r>
    <d v="1996-09-27T00:00:00"/>
    <n v="927"/>
    <x v="10"/>
    <n v="319"/>
    <n v="419"/>
    <n v="482"/>
    <n v="109"/>
    <n v="13062"/>
    <x v="9"/>
  </r>
  <r>
    <d v="1996-09-28T00:00:00"/>
    <n v="928"/>
    <x v="10"/>
    <n v="220"/>
    <n v="295"/>
    <n v="751"/>
    <n v="85"/>
    <n v="13813"/>
    <x v="10"/>
  </r>
  <r>
    <d v="1996-09-29T00:00:00"/>
    <n v="929"/>
    <x v="10"/>
    <n v="173"/>
    <n v="237"/>
    <n v="568"/>
    <n v="68"/>
    <n v="14381"/>
    <x v="11"/>
  </r>
  <r>
    <d v="1996-09-30T00:00:00"/>
    <n v="930"/>
    <x v="10"/>
    <n v="131"/>
    <n v="139"/>
    <n v="459"/>
    <n v="54"/>
    <n v="14840"/>
    <x v="12"/>
  </r>
  <r>
    <d v="1996-10-01T00:00:00"/>
    <n v="1001"/>
    <x v="10"/>
    <n v="88"/>
    <n v="87"/>
    <n v="448"/>
    <n v="16"/>
    <n v="15288"/>
    <x v="13"/>
  </r>
  <r>
    <d v="1996-10-02T00:00:00"/>
    <n v="1002"/>
    <x v="10"/>
    <n v="71"/>
    <n v="75"/>
    <n v="345"/>
    <n v="17"/>
    <n v="15633"/>
    <x v="14"/>
  </r>
  <r>
    <d v="1996-10-03T00:00:00"/>
    <n v="1003"/>
    <x v="10"/>
    <n v="62"/>
    <n v="56"/>
    <n v="88"/>
    <n v="4"/>
    <n v="15721"/>
    <x v="15"/>
  </r>
  <r>
    <d v="1996-10-04T00:00:00"/>
    <n v="1004"/>
    <x v="10"/>
    <n v="113"/>
    <n v="29"/>
    <n v="871"/>
    <n v="17"/>
    <n v="16592"/>
    <x v="16"/>
  </r>
  <r>
    <d v="1996-10-05T00:00:00"/>
    <n v="1005"/>
    <x v="10"/>
    <n v="136"/>
    <n v="113"/>
    <n v="2015"/>
    <n v="61"/>
    <n v="18607"/>
    <x v="17"/>
  </r>
  <r>
    <d v="1996-10-06T00:00:00"/>
    <n v="1006"/>
    <x v="10"/>
    <n v="59"/>
    <n v="65"/>
    <n v="1803"/>
    <n v="67"/>
    <n v="20410"/>
    <x v="18"/>
  </r>
  <r>
    <d v="1996-10-07T00:00:00"/>
    <n v="1007"/>
    <x v="10"/>
    <n v="56"/>
    <n v="68"/>
    <n v="1278"/>
    <n v="63"/>
    <n v="21688"/>
    <x v="19"/>
  </r>
  <r>
    <d v="1996-10-08T00:00:00"/>
    <n v="1008"/>
    <x v="10"/>
    <n v="65"/>
    <n v="51"/>
    <n v="740"/>
    <n v="35"/>
    <n v="22428"/>
    <x v="20"/>
  </r>
  <r>
    <d v="1996-10-09T00:00:00"/>
    <n v="1009"/>
    <x v="10"/>
    <n v="65"/>
    <n v="104"/>
    <n v="431"/>
    <n v="33"/>
    <n v="22859"/>
    <x v="21"/>
  </r>
  <r>
    <d v="1996-10-10T00:00:00"/>
    <n v="1010"/>
    <x v="10"/>
    <n v="86"/>
    <n v="107"/>
    <n v="649"/>
    <n v="45"/>
    <n v="23508"/>
    <x v="22"/>
  </r>
  <r>
    <d v="1996-10-11T00:00:00"/>
    <n v="1011"/>
    <x v="10"/>
    <n v="80"/>
    <n v="101"/>
    <n v="408"/>
    <n v="16"/>
    <n v="23916"/>
    <x v="23"/>
  </r>
  <r>
    <d v="1996-10-12T00:00:00"/>
    <n v="1012"/>
    <x v="10"/>
    <n v="30"/>
    <n v="47"/>
    <n v="324"/>
    <n v="13"/>
    <n v="24240"/>
    <x v="24"/>
  </r>
  <r>
    <d v="1996-10-13T00:00:00"/>
    <n v="1013"/>
    <x v="10"/>
    <n v="82"/>
    <n v="30"/>
    <n v="729"/>
    <n v="34"/>
    <n v="24969"/>
    <x v="25"/>
  </r>
  <r>
    <d v="1996-10-14T00:00:00"/>
    <n v="1014"/>
    <x v="10"/>
    <n v="109"/>
    <n v="59"/>
    <n v="698"/>
    <n v="39"/>
    <n v="25667"/>
    <x v="26"/>
  </r>
  <r>
    <d v="1996-10-15T00:00:00"/>
    <n v="1015"/>
    <x v="10"/>
    <n v="37"/>
    <n v="16"/>
    <n v="227"/>
    <n v="6"/>
    <n v="25894"/>
    <x v="27"/>
  </r>
  <r>
    <d v="1996-10-16T00:00:00"/>
    <n v="1016"/>
    <x v="10"/>
    <n v="33"/>
    <n v="19"/>
    <n v="146"/>
    <n v="9"/>
    <n v="26040"/>
    <x v="28"/>
  </r>
  <r>
    <d v="1996-10-17T00:00:00"/>
    <n v="1017"/>
    <x v="10"/>
    <n v="6"/>
    <n v="7"/>
    <n v="201"/>
    <n v="12"/>
    <n v="26241"/>
    <x v="29"/>
  </r>
  <r>
    <d v="1996-10-18T00:00:00"/>
    <n v="1018"/>
    <x v="10"/>
    <n v="45"/>
    <n v="81"/>
    <n v="136"/>
    <n v="8"/>
    <n v="26377"/>
    <x v="30"/>
  </r>
  <r>
    <d v="1996-10-19T00:00:00"/>
    <n v="1019"/>
    <x v="10"/>
    <n v="41"/>
    <n v="58"/>
    <n v="54"/>
    <n v="9"/>
    <n v="26431"/>
    <x v="31"/>
  </r>
  <r>
    <d v="1996-10-20T00:00:00"/>
    <n v="1020"/>
    <x v="10"/>
    <n v="10"/>
    <n v="23"/>
    <n v="63"/>
    <n v="1"/>
    <n v="26494"/>
    <x v="32"/>
  </r>
  <r>
    <d v="1996-10-21T00:00:00"/>
    <n v="1021"/>
    <x v="10"/>
    <n v="7"/>
    <n v="3"/>
    <n v="133"/>
    <n v="2"/>
    <n v="26627"/>
    <x v="33"/>
  </r>
  <r>
    <d v="1996-10-22T00:00:00"/>
    <n v="1022"/>
    <x v="10"/>
    <n v="42"/>
    <n v="28"/>
    <n v="246"/>
    <n v="8"/>
    <n v="26873"/>
    <x v="34"/>
  </r>
  <r>
    <d v="1996-10-23T00:00:00"/>
    <n v="1023"/>
    <x v="10"/>
    <n v="19"/>
    <n v="6"/>
    <n v="114"/>
    <n v="4"/>
    <n v="26987"/>
    <x v="35"/>
  </r>
  <r>
    <d v="1996-10-24T00:00:00"/>
    <n v="1024"/>
    <x v="10"/>
    <n v="4"/>
    <n v="9"/>
    <n v="41"/>
    <n v="1"/>
    <n v="27028"/>
    <x v="36"/>
  </r>
  <r>
    <d v="1996-10-25T00:00:00"/>
    <n v="1025"/>
    <x v="10"/>
    <n v="9"/>
    <n v="14"/>
    <n v="55"/>
    <n v="2"/>
    <n v="27083"/>
    <x v="37"/>
  </r>
  <r>
    <d v="1996-10-26T00:00:00"/>
    <n v="1026"/>
    <x v="10"/>
    <n v="9"/>
    <n v="12"/>
    <n v="26"/>
    <n v="2"/>
    <n v="27109"/>
    <x v="38"/>
  </r>
  <r>
    <d v="1996-10-27T00:00:00"/>
    <n v="1027"/>
    <x v="10"/>
    <n v="7"/>
    <n v="13"/>
    <n v="43"/>
    <n v="2"/>
    <n v="27152"/>
    <x v="39"/>
  </r>
  <r>
    <d v="1996-10-28T00:00:00"/>
    <n v="1028"/>
    <x v="10"/>
    <n v="13"/>
    <n v="18"/>
    <n v="55"/>
    <n v="1"/>
    <n v="27207"/>
    <x v="40"/>
  </r>
  <r>
    <d v="1996-10-29T00:00:00"/>
    <n v="1029"/>
    <x v="10"/>
    <n v="12"/>
    <n v="14"/>
    <n v="42"/>
    <n v="7"/>
    <n v="27249"/>
    <x v="41"/>
  </r>
  <r>
    <d v="1996-10-30T00:00:00"/>
    <n v="1030"/>
    <x v="10"/>
    <n v="5"/>
    <n v="8"/>
    <n v="20"/>
    <n v="1"/>
    <n v="27269"/>
    <x v="42"/>
  </r>
  <r>
    <d v="1996-10-31T00:00:00"/>
    <n v="1031"/>
    <x v="10"/>
    <n v="4"/>
    <n v="2"/>
    <n v="8"/>
    <n v="1"/>
    <n v="27277"/>
    <x v="43"/>
  </r>
  <r>
    <d v="1996-11-01T00:00:00"/>
    <n v="1101"/>
    <x v="10"/>
    <n v="1"/>
    <n v="4"/>
    <n v="8"/>
    <n v="1"/>
    <n v="27285"/>
    <x v="44"/>
  </r>
  <r>
    <d v="1996-11-02T00:00:00"/>
    <n v="1102"/>
    <x v="10"/>
    <n v="2"/>
    <n v="3"/>
    <n v="10"/>
    <n v="2"/>
    <n v="27295"/>
    <x v="45"/>
  </r>
  <r>
    <d v="1996-11-03T00:00:00"/>
    <n v="1103"/>
    <x v="10"/>
    <n v="1"/>
    <n v="2"/>
    <n v="16"/>
    <n v="1"/>
    <n v="27311"/>
    <x v="46"/>
  </r>
  <r>
    <d v="1996-11-04T00:00:00"/>
    <n v="1104"/>
    <x v="10"/>
    <n v="0"/>
    <n v="3"/>
    <n v="13"/>
    <n v="0"/>
    <n v="27324"/>
    <x v="47"/>
  </r>
  <r>
    <d v="1996-11-05T00:00:00"/>
    <n v="1105"/>
    <x v="10"/>
    <n v="1"/>
    <n v="1"/>
    <n v="14"/>
    <n v="0"/>
    <n v="27338"/>
    <x v="48"/>
  </r>
  <r>
    <d v="1997-09-02T00:00:00"/>
    <n v="902"/>
    <x v="11"/>
    <n v="74"/>
    <n v="0"/>
    <n v="1290"/>
    <n v="20"/>
    <n v="1290"/>
    <x v="75"/>
  </r>
  <r>
    <d v="1997-09-03T00:00:00"/>
    <n v="903"/>
    <x v="11"/>
    <n v="143"/>
    <n v="53"/>
    <n v="392"/>
    <n v="6"/>
    <n v="1682"/>
    <x v="76"/>
  </r>
  <r>
    <d v="1997-09-04T00:00:00"/>
    <n v="904"/>
    <x v="11"/>
    <n v="138"/>
    <n v="39"/>
    <n v="368"/>
    <n v="4"/>
    <n v="2050"/>
    <x v="77"/>
  </r>
  <r>
    <d v="1997-09-05T00:00:00"/>
    <n v="905"/>
    <x v="11"/>
    <n v="117"/>
    <n v="64"/>
    <n v="388"/>
    <n v="8"/>
    <n v="2438"/>
    <x v="78"/>
  </r>
  <r>
    <d v="1997-09-06T00:00:00"/>
    <n v="906"/>
    <x v="11"/>
    <n v="120"/>
    <n v="90"/>
    <n v="528"/>
    <n v="25"/>
    <n v="2966"/>
    <x v="79"/>
  </r>
  <r>
    <d v="1997-09-07T00:00:00"/>
    <n v="907"/>
    <x v="11"/>
    <n v="136"/>
    <n v="79"/>
    <n v="480"/>
    <n v="18"/>
    <n v="3446"/>
    <x v="71"/>
  </r>
  <r>
    <d v="1997-09-08T00:00:00"/>
    <n v="908"/>
    <x v="11"/>
    <n v="220"/>
    <n v="81"/>
    <n v="494"/>
    <n v="10"/>
    <n v="3940"/>
    <x v="72"/>
  </r>
  <r>
    <d v="1997-09-09T00:00:00"/>
    <n v="909"/>
    <x v="11"/>
    <n v="267"/>
    <n v="96"/>
    <n v="391"/>
    <n v="11"/>
    <n v="4331"/>
    <x v="73"/>
  </r>
  <r>
    <d v="1997-09-10T00:00:00"/>
    <n v="910"/>
    <x v="11"/>
    <n v="305"/>
    <n v="147"/>
    <n v="572"/>
    <n v="14"/>
    <n v="4903"/>
    <x v="74"/>
  </r>
  <r>
    <d v="1997-09-11T00:00:00"/>
    <n v="911"/>
    <x v="11"/>
    <n v="277"/>
    <n v="159"/>
    <n v="543"/>
    <n v="13"/>
    <n v="5446"/>
    <x v="68"/>
  </r>
  <r>
    <d v="1997-09-12T00:00:00"/>
    <n v="912"/>
    <x v="11"/>
    <n v="337"/>
    <n v="179"/>
    <n v="499"/>
    <n v="5"/>
    <n v="5945"/>
    <x v="69"/>
  </r>
  <r>
    <d v="1997-09-13T00:00:00"/>
    <n v="913"/>
    <x v="11"/>
    <n v="380"/>
    <n v="172"/>
    <n v="487"/>
    <n v="6"/>
    <n v="6432"/>
    <x v="70"/>
  </r>
  <r>
    <d v="1997-09-14T00:00:00"/>
    <n v="914"/>
    <x v="11"/>
    <n v="466"/>
    <n v="127"/>
    <n v="491"/>
    <n v="8"/>
    <n v="6923"/>
    <x v="67"/>
  </r>
  <r>
    <d v="1997-09-15T00:00:00"/>
    <n v="915"/>
    <x v="11"/>
    <n v="488"/>
    <n v="172"/>
    <n v="607"/>
    <n v="18"/>
    <n v="7530"/>
    <x v="63"/>
  </r>
  <r>
    <d v="1997-09-16T00:00:00"/>
    <n v="916"/>
    <x v="11"/>
    <n v="308"/>
    <n v="82"/>
    <n v="530"/>
    <n v="6"/>
    <n v="8060"/>
    <x v="64"/>
  </r>
  <r>
    <d v="1997-09-17T00:00:00"/>
    <n v="917"/>
    <x v="11"/>
    <n v="283"/>
    <n v="88"/>
    <n v="671"/>
    <n v="12"/>
    <n v="8731"/>
    <x v="65"/>
  </r>
  <r>
    <d v="1997-09-18T00:00:00"/>
    <n v="918"/>
    <x v="11"/>
    <n v="394"/>
    <n v="154"/>
    <n v="743"/>
    <n v="19"/>
    <n v="9474"/>
    <x v="0"/>
  </r>
  <r>
    <d v="1997-09-19T00:00:00"/>
    <n v="919"/>
    <x v="11"/>
    <n v="256"/>
    <n v="136"/>
    <n v="549"/>
    <n v="14"/>
    <n v="10023"/>
    <x v="1"/>
  </r>
  <r>
    <d v="1997-09-20T00:00:00"/>
    <n v="920"/>
    <x v="11"/>
    <n v="239"/>
    <n v="168"/>
    <n v="632"/>
    <n v="6"/>
    <n v="10655"/>
    <x v="2"/>
  </r>
  <r>
    <d v="1997-09-21T00:00:00"/>
    <n v="921"/>
    <x v="11"/>
    <n v="301"/>
    <n v="120"/>
    <n v="799"/>
    <n v="24"/>
    <n v="11454"/>
    <x v="3"/>
  </r>
  <r>
    <d v="1997-09-22T00:00:00"/>
    <n v="922"/>
    <x v="11"/>
    <n v="209"/>
    <n v="97"/>
    <n v="542"/>
    <n v="37"/>
    <n v="11996"/>
    <x v="4"/>
  </r>
  <r>
    <d v="1997-09-23T00:00:00"/>
    <n v="923"/>
    <x v="11"/>
    <n v="224"/>
    <n v="140"/>
    <n v="608"/>
    <n v="24"/>
    <n v="12604"/>
    <x v="5"/>
  </r>
  <r>
    <d v="1997-09-24T00:00:00"/>
    <n v="924"/>
    <x v="11"/>
    <n v="225"/>
    <n v="272"/>
    <n v="721"/>
    <n v="37"/>
    <n v="13325"/>
    <x v="6"/>
  </r>
  <r>
    <d v="1997-09-25T00:00:00"/>
    <n v="925"/>
    <x v="11"/>
    <n v="132"/>
    <n v="95"/>
    <n v="589"/>
    <n v="7"/>
    <n v="13914"/>
    <x v="7"/>
  </r>
  <r>
    <d v="1997-09-26T00:00:00"/>
    <n v="926"/>
    <x v="11"/>
    <n v="123"/>
    <n v="24"/>
    <n v="678"/>
    <n v="13"/>
    <n v="14592"/>
    <x v="8"/>
  </r>
  <r>
    <d v="1997-09-27T00:00:00"/>
    <n v="927"/>
    <x v="11"/>
    <n v="129"/>
    <n v="51"/>
    <n v="477"/>
    <n v="7"/>
    <n v="15069"/>
    <x v="9"/>
  </r>
  <r>
    <d v="1997-09-28T00:00:00"/>
    <n v="928"/>
    <x v="11"/>
    <n v="29"/>
    <n v="24"/>
    <n v="406"/>
    <n v="2"/>
    <n v="15475"/>
    <x v="10"/>
  </r>
  <r>
    <d v="1997-09-29T00:00:00"/>
    <n v="929"/>
    <x v="11"/>
    <n v="55"/>
    <n v="19"/>
    <n v="673"/>
    <n v="12"/>
    <n v="16148"/>
    <x v="11"/>
  </r>
  <r>
    <d v="1997-09-30T00:00:00"/>
    <n v="930"/>
    <x v="11"/>
    <n v="0"/>
    <n v="0"/>
    <n v="0"/>
    <n v="0"/>
    <n v="16148"/>
    <x v="12"/>
  </r>
  <r>
    <d v="1997-10-01T00:00:00"/>
    <n v="1001"/>
    <x v="11"/>
    <n v="0"/>
    <n v="0"/>
    <n v="0"/>
    <n v="0"/>
    <n v="16148"/>
    <x v="13"/>
  </r>
  <r>
    <d v="1997-10-02T00:00:00"/>
    <n v="1002"/>
    <x v="11"/>
    <n v="0"/>
    <n v="0"/>
    <n v="0"/>
    <n v="0"/>
    <n v="16148"/>
    <x v="14"/>
  </r>
  <r>
    <d v="1997-10-03T00:00:00"/>
    <n v="1003"/>
    <x v="11"/>
    <n v="0"/>
    <n v="0"/>
    <n v="0"/>
    <n v="0"/>
    <n v="16148"/>
    <x v="15"/>
  </r>
  <r>
    <d v="1997-10-04T00:00:00"/>
    <n v="1004"/>
    <x v="11"/>
    <n v="0"/>
    <n v="0"/>
    <n v="0"/>
    <n v="0"/>
    <n v="16148"/>
    <x v="16"/>
  </r>
  <r>
    <d v="1997-10-05T00:00:00"/>
    <n v="1005"/>
    <x v="11"/>
    <n v="0"/>
    <n v="0"/>
    <n v="0"/>
    <n v="0"/>
    <n v="16148"/>
    <x v="17"/>
  </r>
  <r>
    <d v="1997-10-06T00:00:00"/>
    <n v="1006"/>
    <x v="11"/>
    <n v="0"/>
    <n v="0"/>
    <n v="0"/>
    <n v="0"/>
    <n v="16148"/>
    <x v="18"/>
  </r>
  <r>
    <d v="1997-10-07T00:00:00"/>
    <n v="1007"/>
    <x v="11"/>
    <n v="1"/>
    <n v="0"/>
    <n v="3"/>
    <n v="0"/>
    <n v="16151"/>
    <x v="19"/>
  </r>
  <r>
    <d v="1997-10-08T00:00:00"/>
    <n v="1008"/>
    <x v="11"/>
    <n v="20"/>
    <n v="0"/>
    <n v="235"/>
    <n v="2"/>
    <n v="16386"/>
    <x v="20"/>
  </r>
  <r>
    <d v="1997-10-09T00:00:00"/>
    <n v="1009"/>
    <x v="11"/>
    <n v="20"/>
    <n v="7"/>
    <n v="720"/>
    <n v="25"/>
    <n v="17106"/>
    <x v="21"/>
  </r>
  <r>
    <d v="1997-10-10T00:00:00"/>
    <n v="1010"/>
    <x v="11"/>
    <n v="28"/>
    <n v="7"/>
    <n v="707"/>
    <n v="11"/>
    <n v="17813"/>
    <x v="22"/>
  </r>
  <r>
    <d v="1997-10-11T00:00:00"/>
    <n v="1011"/>
    <x v="11"/>
    <n v="38"/>
    <n v="15"/>
    <n v="888"/>
    <n v="17"/>
    <n v="18701"/>
    <x v="23"/>
  </r>
  <r>
    <d v="1997-10-12T00:00:00"/>
    <n v="1012"/>
    <x v="11"/>
    <n v="53"/>
    <n v="29"/>
    <n v="879"/>
    <n v="19"/>
    <n v="19580"/>
    <x v="24"/>
  </r>
  <r>
    <d v="1997-10-13T00:00:00"/>
    <n v="1013"/>
    <x v="11"/>
    <n v="120"/>
    <n v="81"/>
    <n v="1045"/>
    <n v="22"/>
    <n v="20625"/>
    <x v="25"/>
  </r>
  <r>
    <d v="1997-10-14T00:00:00"/>
    <n v="1014"/>
    <x v="11"/>
    <n v="33"/>
    <n v="30"/>
    <n v="580"/>
    <n v="17"/>
    <n v="21205"/>
    <x v="26"/>
  </r>
  <r>
    <d v="1997-10-15T00:00:00"/>
    <n v="1015"/>
    <x v="11"/>
    <n v="18"/>
    <n v="57"/>
    <n v="942"/>
    <n v="27"/>
    <n v="22147"/>
    <x v="27"/>
  </r>
  <r>
    <d v="1997-10-16T00:00:00"/>
    <n v="1016"/>
    <x v="11"/>
    <n v="6"/>
    <n v="23"/>
    <n v="299"/>
    <n v="7"/>
    <n v="22446"/>
    <x v="28"/>
  </r>
  <r>
    <d v="1997-10-17T00:00:00"/>
    <n v="1017"/>
    <x v="11"/>
    <n v="10"/>
    <n v="21"/>
    <n v="436"/>
    <n v="3"/>
    <n v="22882"/>
    <x v="29"/>
  </r>
  <r>
    <d v="1997-10-18T00:00:00"/>
    <n v="1018"/>
    <x v="11"/>
    <n v="6"/>
    <n v="11"/>
    <n v="287"/>
    <n v="1"/>
    <n v="23169"/>
    <x v="30"/>
  </r>
  <r>
    <d v="1997-10-19T00:00:00"/>
    <n v="1019"/>
    <x v="11"/>
    <n v="1"/>
    <n v="13"/>
    <n v="102"/>
    <n v="2"/>
    <n v="23271"/>
    <x v="31"/>
  </r>
  <r>
    <d v="1997-10-20T00:00:00"/>
    <n v="1020"/>
    <x v="11"/>
    <n v="5"/>
    <n v="25"/>
    <n v="338"/>
    <n v="7"/>
    <n v="23609"/>
    <x v="32"/>
  </r>
  <r>
    <d v="1997-10-21T00:00:00"/>
    <n v="1021"/>
    <x v="11"/>
    <n v="18"/>
    <n v="36"/>
    <n v="661"/>
    <n v="32"/>
    <n v="24270"/>
    <x v="33"/>
  </r>
  <r>
    <d v="1997-10-22T00:00:00"/>
    <n v="1022"/>
    <x v="11"/>
    <n v="14"/>
    <n v="45"/>
    <n v="949"/>
    <n v="35"/>
    <n v="25219"/>
    <x v="34"/>
  </r>
  <r>
    <d v="1997-10-23T00:00:00"/>
    <n v="1023"/>
    <x v="11"/>
    <n v="9"/>
    <n v="32"/>
    <n v="469"/>
    <n v="13"/>
    <n v="25688"/>
    <x v="35"/>
  </r>
  <r>
    <d v="1997-10-24T00:00:00"/>
    <n v="1024"/>
    <x v="11"/>
    <n v="1"/>
    <n v="10"/>
    <n v="74"/>
    <n v="1"/>
    <n v="25762"/>
    <x v="36"/>
  </r>
  <r>
    <d v="1997-10-25T00:00:00"/>
    <n v="1025"/>
    <x v="11"/>
    <n v="3"/>
    <n v="18"/>
    <n v="106"/>
    <n v="0"/>
    <n v="25868"/>
    <x v="37"/>
  </r>
  <r>
    <d v="1997-10-26T00:00:00"/>
    <n v="1026"/>
    <x v="11"/>
    <n v="3"/>
    <n v="14"/>
    <n v="96"/>
    <n v="2"/>
    <n v="25964"/>
    <x v="38"/>
  </r>
  <r>
    <d v="1997-10-27T00:00:00"/>
    <n v="1027"/>
    <x v="11"/>
    <n v="5"/>
    <n v="25"/>
    <n v="90"/>
    <n v="2"/>
    <n v="26054"/>
    <x v="39"/>
  </r>
  <r>
    <d v="1997-10-28T00:00:00"/>
    <n v="1028"/>
    <x v="11"/>
    <n v="1"/>
    <n v="9"/>
    <n v="44"/>
    <n v="0"/>
    <n v="26098"/>
    <x v="40"/>
  </r>
  <r>
    <d v="1997-10-29T00:00:00"/>
    <n v="1029"/>
    <x v="11"/>
    <n v="0"/>
    <n v="21"/>
    <n v="17"/>
    <n v="12"/>
    <n v="26115"/>
    <x v="41"/>
  </r>
  <r>
    <d v="1997-10-30T00:00:00"/>
    <n v="1030"/>
    <x v="11"/>
    <n v="0"/>
    <n v="0"/>
    <n v="0"/>
    <n v="0"/>
    <n v="26115"/>
    <x v="42"/>
  </r>
  <r>
    <d v="1997-10-31T00:00:00"/>
    <n v="1031"/>
    <x v="11"/>
    <n v="0"/>
    <n v="0"/>
    <n v="0"/>
    <n v="0"/>
    <n v="26115"/>
    <x v="43"/>
  </r>
  <r>
    <d v="1997-11-01T00:00:00"/>
    <n v="1101"/>
    <x v="11"/>
    <n v="0"/>
    <n v="0"/>
    <n v="0"/>
    <n v="0"/>
    <n v="26115"/>
    <x v="44"/>
  </r>
  <r>
    <d v="1997-11-02T00:00:00"/>
    <n v="1102"/>
    <x v="11"/>
    <n v="0"/>
    <n v="0"/>
    <n v="0"/>
    <n v="0"/>
    <n v="26115"/>
    <x v="45"/>
  </r>
  <r>
    <d v="1997-11-03T00:00:00"/>
    <n v="1103"/>
    <x v="11"/>
    <n v="0"/>
    <n v="0"/>
    <n v="0"/>
    <n v="0"/>
    <n v="26115"/>
    <x v="46"/>
  </r>
  <r>
    <d v="1997-11-04T00:00:00"/>
    <n v="1104"/>
    <x v="11"/>
    <n v="0"/>
    <n v="0"/>
    <n v="0"/>
    <n v="0"/>
    <n v="26115"/>
    <x v="47"/>
  </r>
  <r>
    <d v="1997-11-05T00:00:00"/>
    <n v="1105"/>
    <x v="11"/>
    <n v="0"/>
    <n v="0"/>
    <n v="0"/>
    <n v="0"/>
    <n v="26115"/>
    <x v="48"/>
  </r>
  <r>
    <d v="1997-11-06T00:00:00"/>
    <n v="1106"/>
    <x v="11"/>
    <n v="0"/>
    <n v="0"/>
    <n v="0"/>
    <n v="0"/>
    <n v="26115"/>
    <x v="49"/>
  </r>
  <r>
    <d v="1997-11-07T00:00:00"/>
    <n v="1107"/>
    <x v="11"/>
    <n v="0"/>
    <n v="0"/>
    <n v="0"/>
    <n v="0"/>
    <n v="26115"/>
    <x v="50"/>
  </r>
  <r>
    <d v="1997-11-08T00:00:00"/>
    <n v="1108"/>
    <x v="11"/>
    <n v="0"/>
    <n v="0"/>
    <n v="0"/>
    <n v="0"/>
    <n v="26115"/>
    <x v="51"/>
  </r>
  <r>
    <d v="1997-11-09T00:00:00"/>
    <n v="1109"/>
    <x v="11"/>
    <n v="0"/>
    <n v="0"/>
    <n v="0"/>
    <n v="0"/>
    <n v="26115"/>
    <x v="52"/>
  </r>
  <r>
    <d v="1997-11-10T00:00:00"/>
    <n v="1110"/>
    <x v="11"/>
    <n v="0"/>
    <n v="0"/>
    <n v="0"/>
    <n v="0"/>
    <n v="26115"/>
    <x v="53"/>
  </r>
  <r>
    <d v="1998-09-01T00:00:00"/>
    <n v="901"/>
    <x v="12"/>
    <m/>
    <m/>
    <m/>
    <m/>
    <n v="0"/>
    <x v="80"/>
  </r>
  <r>
    <d v="1998-09-02T00:00:00"/>
    <n v="902"/>
    <x v="12"/>
    <n v="509"/>
    <n v="2"/>
    <n v="6"/>
    <n v="0"/>
    <n v="6"/>
    <x v="75"/>
  </r>
  <r>
    <d v="1998-09-02T00:00:00"/>
    <n v="902"/>
    <x v="12"/>
    <n v="84"/>
    <n v="5"/>
    <n v="149"/>
    <n v="14"/>
    <n v="155"/>
    <x v="75"/>
  </r>
  <r>
    <d v="1998-09-02T00:00:00"/>
    <n v="902"/>
    <x v="12"/>
    <n v="4"/>
    <n v="8"/>
    <n v="8"/>
    <n v="0"/>
    <n v="163"/>
    <x v="75"/>
  </r>
  <r>
    <d v="1998-09-03T00:00:00"/>
    <n v="903"/>
    <x v="12"/>
    <n v="38"/>
    <n v="16"/>
    <n v="208"/>
    <n v="9"/>
    <n v="371"/>
    <x v="76"/>
  </r>
  <r>
    <d v="1998-09-04T00:00:00"/>
    <n v="904"/>
    <x v="12"/>
    <n v="62"/>
    <n v="20"/>
    <n v="195"/>
    <n v="7"/>
    <n v="566"/>
    <x v="77"/>
  </r>
  <r>
    <d v="1998-09-05T00:00:00"/>
    <n v="905"/>
    <x v="12"/>
    <n v="105"/>
    <n v="27"/>
    <n v="120"/>
    <n v="5"/>
    <n v="686"/>
    <x v="78"/>
  </r>
  <r>
    <d v="1998-09-06T00:00:00"/>
    <n v="906"/>
    <x v="12"/>
    <n v="91"/>
    <n v="29"/>
    <n v="55"/>
    <n v="1"/>
    <n v="741"/>
    <x v="79"/>
  </r>
  <r>
    <d v="1998-09-07T00:00:00"/>
    <n v="907"/>
    <x v="12"/>
    <n v="144"/>
    <n v="72"/>
    <n v="263"/>
    <n v="12"/>
    <n v="1004"/>
    <x v="71"/>
  </r>
  <r>
    <d v="1998-09-08T00:00:00"/>
    <n v="908"/>
    <x v="12"/>
    <n v="249"/>
    <n v="56"/>
    <n v="334"/>
    <n v="3"/>
    <n v="1338"/>
    <x v="72"/>
  </r>
  <r>
    <d v="1998-09-09T00:00:00"/>
    <n v="909"/>
    <x v="12"/>
    <n v="170"/>
    <n v="59"/>
    <n v="586"/>
    <n v="21"/>
    <n v="1924"/>
    <x v="73"/>
  </r>
  <r>
    <d v="1998-09-10T00:00:00"/>
    <n v="910"/>
    <x v="12"/>
    <n v="49"/>
    <n v="18"/>
    <n v="244"/>
    <n v="3"/>
    <n v="2168"/>
    <x v="74"/>
  </r>
  <r>
    <d v="1998-09-11T00:00:00"/>
    <n v="911"/>
    <x v="12"/>
    <n v="39"/>
    <n v="12"/>
    <n v="283"/>
    <n v="1"/>
    <n v="2451"/>
    <x v="68"/>
  </r>
  <r>
    <d v="1998-09-12T00:00:00"/>
    <n v="912"/>
    <x v="12"/>
    <n v="86"/>
    <n v="45"/>
    <n v="219"/>
    <n v="6"/>
    <n v="2670"/>
    <x v="69"/>
  </r>
  <r>
    <d v="1998-09-13T00:00:00"/>
    <n v="913"/>
    <x v="12"/>
    <n v="106"/>
    <n v="36"/>
    <n v="148"/>
    <n v="3"/>
    <n v="2818"/>
    <x v="70"/>
  </r>
  <r>
    <d v="1998-09-14T00:00:00"/>
    <n v="914"/>
    <x v="12"/>
    <n v="127"/>
    <n v="54"/>
    <n v="110"/>
    <n v="2"/>
    <n v="2928"/>
    <x v="67"/>
  </r>
  <r>
    <d v="1998-09-15T00:00:00"/>
    <n v="915"/>
    <x v="12"/>
    <n v="226"/>
    <n v="183"/>
    <n v="82"/>
    <n v="4"/>
    <n v="3010"/>
    <x v="63"/>
  </r>
  <r>
    <d v="1998-09-16T00:00:00"/>
    <n v="916"/>
    <x v="12"/>
    <n v="321"/>
    <n v="189"/>
    <n v="131"/>
    <n v="5"/>
    <n v="3141"/>
    <x v="64"/>
  </r>
  <r>
    <d v="1998-09-17T00:00:00"/>
    <n v="917"/>
    <x v="12"/>
    <n v="594"/>
    <n v="199"/>
    <n v="151"/>
    <n v="4"/>
    <n v="3292"/>
    <x v="65"/>
  </r>
  <r>
    <d v="1998-09-18T00:00:00"/>
    <n v="918"/>
    <x v="12"/>
    <n v="319"/>
    <n v="47"/>
    <n v="186"/>
    <n v="9"/>
    <n v="3478"/>
    <x v="0"/>
  </r>
  <r>
    <d v="1998-09-19T00:00:00"/>
    <n v="919"/>
    <x v="12"/>
    <n v="656"/>
    <n v="96"/>
    <n v="227"/>
    <n v="4"/>
    <n v="3705"/>
    <x v="1"/>
  </r>
  <r>
    <d v="1998-09-20T00:00:00"/>
    <n v="920"/>
    <x v="12"/>
    <n v="1295"/>
    <n v="201"/>
    <n v="219"/>
    <n v="3"/>
    <n v="3924"/>
    <x v="2"/>
  </r>
  <r>
    <d v="1998-09-21T00:00:00"/>
    <n v="921"/>
    <x v="12"/>
    <n v="1041"/>
    <n v="176"/>
    <n v="189"/>
    <n v="2"/>
    <n v="4113"/>
    <x v="3"/>
  </r>
  <r>
    <d v="1998-09-22T00:00:00"/>
    <n v="922"/>
    <x v="12"/>
    <n v="1244"/>
    <n v="219"/>
    <n v="172"/>
    <n v="3"/>
    <n v="4285"/>
    <x v="4"/>
  </r>
  <r>
    <d v="1998-09-23T00:00:00"/>
    <n v="923"/>
    <x v="12"/>
    <n v="1611"/>
    <n v="221"/>
    <n v="130"/>
    <n v="1"/>
    <n v="4415"/>
    <x v="5"/>
  </r>
  <r>
    <d v="1998-09-24T00:00:00"/>
    <n v="924"/>
    <x v="12"/>
    <n v="2337"/>
    <n v="267"/>
    <n v="205"/>
    <n v="5"/>
    <n v="4620"/>
    <x v="6"/>
  </r>
  <r>
    <d v="1998-09-25T00:00:00"/>
    <n v="925"/>
    <x v="12"/>
    <n v="2323"/>
    <n v="265"/>
    <n v="202"/>
    <n v="10"/>
    <n v="4822"/>
    <x v="7"/>
  </r>
  <r>
    <d v="1998-09-26T00:00:00"/>
    <n v="926"/>
    <x v="12"/>
    <n v="1987"/>
    <n v="113"/>
    <n v="182"/>
    <n v="2"/>
    <n v="5004"/>
    <x v="8"/>
  </r>
  <r>
    <d v="1998-09-27T00:00:00"/>
    <n v="927"/>
    <x v="12"/>
    <n v="1815"/>
    <n v="105"/>
    <n v="124"/>
    <n v="3"/>
    <n v="5128"/>
    <x v="9"/>
  </r>
  <r>
    <d v="1998-09-28T00:00:00"/>
    <n v="928"/>
    <x v="12"/>
    <n v="1695"/>
    <n v="89"/>
    <n v="130"/>
    <n v="0"/>
    <n v="5258"/>
    <x v="10"/>
  </r>
  <r>
    <d v="1998-09-29T00:00:00"/>
    <n v="929"/>
    <x v="12"/>
    <n v="2142"/>
    <n v="181"/>
    <n v="165"/>
    <n v="0"/>
    <n v="5423"/>
    <x v="11"/>
  </r>
  <r>
    <d v="1998-09-30T00:00:00"/>
    <n v="930"/>
    <x v="12"/>
    <n v="2135"/>
    <n v="238"/>
    <n v="207"/>
    <n v="4"/>
    <n v="5630"/>
    <x v="12"/>
  </r>
  <r>
    <d v="1998-10-01T00:00:00"/>
    <n v="1001"/>
    <x v="12"/>
    <n v="1833"/>
    <n v="182"/>
    <n v="101"/>
    <n v="13"/>
    <n v="5731"/>
    <x v="13"/>
  </r>
  <r>
    <d v="1998-10-02T00:00:00"/>
    <n v="1002"/>
    <x v="12"/>
    <n v="1824"/>
    <n v="229"/>
    <n v="247"/>
    <n v="1"/>
    <n v="5978"/>
    <x v="14"/>
  </r>
  <r>
    <d v="1998-10-03T00:00:00"/>
    <n v="1003"/>
    <x v="12"/>
    <n v="2462"/>
    <n v="211"/>
    <n v="375"/>
    <n v="6"/>
    <n v="6353"/>
    <x v="15"/>
  </r>
  <r>
    <d v="1998-10-04T00:00:00"/>
    <n v="1004"/>
    <x v="12"/>
    <n v="2846"/>
    <n v="166"/>
    <n v="330"/>
    <n v="4"/>
    <n v="6683"/>
    <x v="16"/>
  </r>
  <r>
    <d v="1998-10-05T00:00:00"/>
    <n v="1005"/>
    <x v="12"/>
    <n v="2885"/>
    <n v="236"/>
    <n v="461"/>
    <n v="2"/>
    <n v="7144"/>
    <x v="17"/>
  </r>
  <r>
    <d v="1998-10-06T00:00:00"/>
    <n v="1006"/>
    <x v="12"/>
    <n v="2439"/>
    <n v="77"/>
    <n v="487"/>
    <n v="6"/>
    <n v="7631"/>
    <x v="18"/>
  </r>
  <r>
    <d v="1998-10-07T00:00:00"/>
    <n v="1007"/>
    <x v="12"/>
    <n v="2582"/>
    <n v="175"/>
    <n v="507"/>
    <n v="9"/>
    <n v="8138"/>
    <x v="19"/>
  </r>
  <r>
    <d v="1998-10-08T00:00:00"/>
    <n v="1008"/>
    <x v="12"/>
    <n v="1541"/>
    <n v="129"/>
    <n v="669"/>
    <n v="16"/>
    <n v="8807"/>
    <x v="20"/>
  </r>
  <r>
    <d v="1998-10-09T00:00:00"/>
    <n v="1009"/>
    <x v="12"/>
    <n v="1118"/>
    <n v="105"/>
    <n v="615"/>
    <n v="13"/>
    <n v="9422"/>
    <x v="21"/>
  </r>
  <r>
    <d v="1998-10-10T00:00:00"/>
    <n v="1010"/>
    <x v="12"/>
    <n v="1203"/>
    <n v="117"/>
    <n v="1137"/>
    <n v="15"/>
    <n v="10559"/>
    <x v="22"/>
  </r>
  <r>
    <d v="1998-10-11T00:00:00"/>
    <n v="1011"/>
    <x v="12"/>
    <n v="1901"/>
    <n v="154"/>
    <n v="1345"/>
    <n v="23"/>
    <n v="11904"/>
    <x v="23"/>
  </r>
  <r>
    <d v="1998-10-12T00:00:00"/>
    <n v="1012"/>
    <x v="12"/>
    <n v="1328"/>
    <n v="68"/>
    <n v="2409"/>
    <n v="11"/>
    <n v="14313"/>
    <x v="24"/>
  </r>
  <r>
    <d v="1998-10-13T00:00:00"/>
    <n v="1013"/>
    <x v="12"/>
    <n v="3705"/>
    <n v="199"/>
    <n v="3035"/>
    <n v="33"/>
    <n v="17348"/>
    <x v="25"/>
  </r>
  <r>
    <d v="1998-10-14T00:00:00"/>
    <n v="1014"/>
    <x v="12"/>
    <n v="1998"/>
    <n v="112"/>
    <n v="2132"/>
    <n v="19"/>
    <n v="19480"/>
    <x v="26"/>
  </r>
  <r>
    <d v="1998-10-15T00:00:00"/>
    <n v="1015"/>
    <x v="12"/>
    <n v="798"/>
    <n v="66"/>
    <n v="946"/>
    <n v="16"/>
    <n v="20426"/>
    <x v="27"/>
  </r>
  <r>
    <d v="1998-10-16T00:00:00"/>
    <n v="1016"/>
    <x v="12"/>
    <n v="729"/>
    <n v="46"/>
    <n v="1124"/>
    <n v="8"/>
    <n v="21550"/>
    <x v="28"/>
  </r>
  <r>
    <d v="1998-10-17T00:00:00"/>
    <n v="1017"/>
    <x v="12"/>
    <n v="1033"/>
    <n v="118"/>
    <n v="1642"/>
    <n v="23"/>
    <n v="23192"/>
    <x v="29"/>
  </r>
  <r>
    <d v="1998-10-18T00:00:00"/>
    <n v="1018"/>
    <x v="12"/>
    <n v="2602"/>
    <n v="160"/>
    <n v="1609"/>
    <n v="22"/>
    <n v="24801"/>
    <x v="30"/>
  </r>
  <r>
    <d v="1998-10-19T00:00:00"/>
    <n v="1019"/>
    <x v="12"/>
    <n v="1135"/>
    <n v="69"/>
    <n v="1229"/>
    <n v="25"/>
    <n v="26030"/>
    <x v="31"/>
  </r>
  <r>
    <d v="1998-10-20T00:00:00"/>
    <n v="1020"/>
    <x v="12"/>
    <n v="817"/>
    <n v="21"/>
    <n v="1316"/>
    <n v="18"/>
    <n v="27346"/>
    <x v="32"/>
  </r>
  <r>
    <d v="1998-10-21T00:00:00"/>
    <n v="1021"/>
    <x v="12"/>
    <n v="672"/>
    <n v="40"/>
    <n v="1280"/>
    <n v="7"/>
    <n v="28626"/>
    <x v="33"/>
  </r>
  <r>
    <d v="1998-10-22T00:00:00"/>
    <n v="1022"/>
    <x v="12"/>
    <n v="714"/>
    <n v="32"/>
    <n v="1301"/>
    <n v="11"/>
    <n v="29927"/>
    <x v="34"/>
  </r>
  <r>
    <d v="1998-10-23T00:00:00"/>
    <n v="1023"/>
    <x v="12"/>
    <n v="609"/>
    <n v="32"/>
    <n v="1154"/>
    <n v="5"/>
    <n v="31081"/>
    <x v="35"/>
  </r>
  <r>
    <d v="1998-10-24T00:00:00"/>
    <n v="1024"/>
    <x v="12"/>
    <n v="646"/>
    <n v="34"/>
    <n v="1144"/>
    <n v="12"/>
    <n v="32225"/>
    <x v="36"/>
  </r>
  <r>
    <d v="1998-10-25T00:00:00"/>
    <n v="1025"/>
    <x v="12"/>
    <n v="694"/>
    <n v="41"/>
    <n v="1030"/>
    <n v="15"/>
    <n v="33255"/>
    <x v="37"/>
  </r>
  <r>
    <d v="1998-10-26T00:00:00"/>
    <n v="1026"/>
    <x v="12"/>
    <n v="538"/>
    <n v="43"/>
    <n v="1010"/>
    <n v="5"/>
    <n v="34265"/>
    <x v="38"/>
  </r>
  <r>
    <d v="1998-10-27T00:00:00"/>
    <n v="1027"/>
    <x v="12"/>
    <n v="623"/>
    <n v="25"/>
    <n v="882"/>
    <n v="6"/>
    <n v="35147"/>
    <x v="39"/>
  </r>
  <r>
    <d v="1998-10-28T00:00:00"/>
    <n v="1028"/>
    <x v="12"/>
    <n v="940"/>
    <n v="14"/>
    <n v="878"/>
    <n v="2"/>
    <n v="36025"/>
    <x v="40"/>
  </r>
  <r>
    <d v="1998-10-29T00:00:00"/>
    <n v="1029"/>
    <x v="12"/>
    <n v="627"/>
    <n v="11"/>
    <n v="674"/>
    <n v="4"/>
    <n v="36699"/>
    <x v="41"/>
  </r>
  <r>
    <d v="1998-10-30T00:00:00"/>
    <n v="1030"/>
    <x v="12"/>
    <n v="257"/>
    <n v="11"/>
    <n v="487"/>
    <n v="2"/>
    <n v="37186"/>
    <x v="42"/>
  </r>
  <r>
    <d v="1998-10-31T00:00:00"/>
    <n v="1031"/>
    <x v="12"/>
    <n v="126"/>
    <n v="8"/>
    <n v="333"/>
    <n v="1"/>
    <n v="37519"/>
    <x v="43"/>
  </r>
  <r>
    <d v="1998-11-01T00:00:00"/>
    <n v="1101"/>
    <x v="12"/>
    <n v="273"/>
    <n v="10"/>
    <n v="223"/>
    <n v="4"/>
    <n v="37742"/>
    <x v="44"/>
  </r>
  <r>
    <d v="1998-11-02T00:00:00"/>
    <n v="1102"/>
    <x v="12"/>
    <n v="317"/>
    <n v="11"/>
    <n v="192"/>
    <n v="8"/>
    <n v="37934"/>
    <x v="45"/>
  </r>
  <r>
    <d v="1998-11-03T00:00:00"/>
    <n v="1103"/>
    <x v="12"/>
    <n v="126"/>
    <n v="10"/>
    <n v="61"/>
    <n v="1"/>
    <n v="37995"/>
    <x v="46"/>
  </r>
  <r>
    <d v="1998-11-04T00:00:00"/>
    <n v="1104"/>
    <x v="12"/>
    <n v="45"/>
    <n v="3"/>
    <n v="20"/>
    <n v="1"/>
    <n v="38015"/>
    <x v="47"/>
  </r>
  <r>
    <d v="1998-11-05T00:00:00"/>
    <n v="1105"/>
    <x v="12"/>
    <n v="74"/>
    <n v="1"/>
    <n v="37"/>
    <n v="0"/>
    <n v="38052"/>
    <x v="48"/>
  </r>
  <r>
    <d v="1998-11-06T00:00:00"/>
    <n v="1106"/>
    <x v="12"/>
    <n v="104"/>
    <n v="3"/>
    <n v="22"/>
    <n v="0"/>
    <n v="38074"/>
    <x v="49"/>
  </r>
  <r>
    <d v="1998-11-07T00:00:00"/>
    <n v="1107"/>
    <x v="12"/>
    <n v="44"/>
    <n v="2"/>
    <n v="10"/>
    <n v="0"/>
    <n v="38084"/>
    <x v="50"/>
  </r>
  <r>
    <d v="1998-11-08T00:00:00"/>
    <n v="1108"/>
    <x v="12"/>
    <n v="34"/>
    <n v="3"/>
    <n v="7"/>
    <n v="0"/>
    <n v="38091"/>
    <x v="51"/>
  </r>
  <r>
    <d v="1998-11-09T00:00:00"/>
    <n v="1109"/>
    <x v="12"/>
    <n v="39"/>
    <n v="4"/>
    <n v="7"/>
    <n v="0"/>
    <n v="38098"/>
    <x v="52"/>
  </r>
  <r>
    <d v="1998-11-10T00:00:00"/>
    <n v="1110"/>
    <x v="12"/>
    <n v="12"/>
    <n v="1"/>
    <n v="5"/>
    <n v="0"/>
    <n v="38103"/>
    <x v="53"/>
  </r>
  <r>
    <d v="1999-09-01T00:00:00"/>
    <n v="901"/>
    <x v="13"/>
    <n v="35"/>
    <n v="9"/>
    <n v="5"/>
    <n v="0"/>
    <n v="5"/>
    <x v="80"/>
  </r>
  <r>
    <d v="1999-09-02T00:00:00"/>
    <n v="902"/>
    <x v="13"/>
    <n v="330"/>
    <n v="48"/>
    <n v="56"/>
    <n v="1"/>
    <n v="61"/>
    <x v="75"/>
  </r>
  <r>
    <d v="1999-09-03T00:00:00"/>
    <n v="903"/>
    <x v="13"/>
    <n v="887"/>
    <n v="51"/>
    <n v="83"/>
    <n v="6"/>
    <n v="144"/>
    <x v="76"/>
  </r>
  <r>
    <d v="1999-09-03T00:00:00"/>
    <n v="903"/>
    <x v="13"/>
    <n v="464"/>
    <n v="61"/>
    <n v="63"/>
    <n v="0"/>
    <n v="207"/>
    <x v="76"/>
  </r>
  <r>
    <d v="1999-09-04T00:00:00"/>
    <n v="904"/>
    <x v="13"/>
    <n v="800"/>
    <n v="77"/>
    <n v="229"/>
    <n v="9"/>
    <n v="436"/>
    <x v="77"/>
  </r>
  <r>
    <d v="1999-09-05T00:00:00"/>
    <n v="905"/>
    <x v="13"/>
    <n v="857"/>
    <n v="94"/>
    <n v="140"/>
    <n v="4"/>
    <n v="576"/>
    <x v="78"/>
  </r>
  <r>
    <d v="1999-09-06T00:00:00"/>
    <n v="906"/>
    <x v="13"/>
    <n v="1033"/>
    <n v="93"/>
    <n v="105"/>
    <n v="3"/>
    <n v="681"/>
    <x v="79"/>
  </r>
  <r>
    <d v="1999-09-07T00:00:00"/>
    <n v="907"/>
    <x v="13"/>
    <n v="1355"/>
    <n v="99"/>
    <n v="85"/>
    <n v="9"/>
    <n v="766"/>
    <x v="71"/>
  </r>
  <r>
    <d v="1999-09-08T00:00:00"/>
    <n v="908"/>
    <x v="13"/>
    <n v="464"/>
    <n v="64"/>
    <n v="81"/>
    <n v="3"/>
    <n v="847"/>
    <x v="72"/>
  </r>
  <r>
    <d v="1999-09-09T00:00:00"/>
    <n v="909"/>
    <x v="13"/>
    <n v="1053"/>
    <n v="86"/>
    <n v="84"/>
    <n v="12"/>
    <n v="931"/>
    <x v="73"/>
  </r>
  <r>
    <d v="1999-09-10T00:00:00"/>
    <n v="910"/>
    <x v="13"/>
    <n v="2000"/>
    <n v="141"/>
    <n v="128"/>
    <n v="34"/>
    <n v="1059"/>
    <x v="74"/>
  </r>
  <r>
    <d v="1999-09-11T00:00:00"/>
    <n v="911"/>
    <x v="13"/>
    <n v="1921"/>
    <n v="204"/>
    <n v="136"/>
    <n v="26"/>
    <n v="1195"/>
    <x v="68"/>
  </r>
  <r>
    <d v="1999-09-12T00:00:00"/>
    <n v="912"/>
    <x v="13"/>
    <n v="1741"/>
    <n v="166"/>
    <n v="43"/>
    <n v="15"/>
    <n v="1238"/>
    <x v="69"/>
  </r>
  <r>
    <d v="1999-09-13T00:00:00"/>
    <n v="913"/>
    <x v="13"/>
    <n v="1618"/>
    <n v="234"/>
    <n v="33"/>
    <n v="1"/>
    <n v="1271"/>
    <x v="70"/>
  </r>
  <r>
    <d v="1999-09-14T00:00:00"/>
    <n v="914"/>
    <x v="13"/>
    <n v="2227"/>
    <n v="403"/>
    <n v="143"/>
    <n v="41"/>
    <n v="1414"/>
    <x v="67"/>
  </r>
  <r>
    <d v="1999-09-15T00:00:00"/>
    <n v="915"/>
    <x v="13"/>
    <n v="1456"/>
    <n v="386"/>
    <n v="126"/>
    <n v="12"/>
    <n v="1540"/>
    <x v="63"/>
  </r>
  <r>
    <d v="1999-09-16T00:00:00"/>
    <n v="916"/>
    <x v="13"/>
    <n v="1808"/>
    <n v="378"/>
    <n v="238"/>
    <n v="28"/>
    <n v="1778"/>
    <x v="64"/>
  </r>
  <r>
    <d v="1999-09-17T00:00:00"/>
    <n v="917"/>
    <x v="13"/>
    <n v="965"/>
    <n v="189"/>
    <n v="339"/>
    <n v="35"/>
    <n v="2117"/>
    <x v="65"/>
  </r>
  <r>
    <d v="1999-09-18T00:00:00"/>
    <n v="918"/>
    <x v="13"/>
    <n v="414"/>
    <n v="99"/>
    <n v="106"/>
    <n v="19"/>
    <n v="2223"/>
    <x v="0"/>
  </r>
  <r>
    <d v="1999-09-19T00:00:00"/>
    <n v="919"/>
    <x v="13"/>
    <n v="425"/>
    <n v="258"/>
    <n v="62"/>
    <n v="27"/>
    <n v="2285"/>
    <x v="1"/>
  </r>
  <r>
    <d v="1999-09-20T00:00:00"/>
    <n v="920"/>
    <x v="13"/>
    <n v="689"/>
    <n v="298"/>
    <n v="196"/>
    <n v="42"/>
    <n v="2481"/>
    <x v="2"/>
  </r>
  <r>
    <d v="1999-09-21T00:00:00"/>
    <n v="921"/>
    <x v="13"/>
    <n v="566"/>
    <n v="324"/>
    <n v="89"/>
    <n v="55"/>
    <n v="2570"/>
    <x v="3"/>
  </r>
  <r>
    <d v="1999-09-22T00:00:00"/>
    <n v="922"/>
    <x v="13"/>
    <n v="438"/>
    <n v="286"/>
    <n v="125"/>
    <n v="64"/>
    <n v="2695"/>
    <x v="4"/>
  </r>
  <r>
    <d v="1999-09-23T00:00:00"/>
    <n v="923"/>
    <x v="13"/>
    <n v="1114"/>
    <n v="259"/>
    <n v="501"/>
    <n v="34"/>
    <n v="3196"/>
    <x v="5"/>
  </r>
  <r>
    <d v="1999-09-24T00:00:00"/>
    <n v="924"/>
    <x v="13"/>
    <n v="3899"/>
    <n v="263"/>
    <n v="1257"/>
    <n v="26"/>
    <n v="4453"/>
    <x v="6"/>
  </r>
  <r>
    <d v="1999-09-25T00:00:00"/>
    <n v="925"/>
    <x v="13"/>
    <n v="2368"/>
    <n v="205"/>
    <n v="264"/>
    <n v="4"/>
    <n v="4717"/>
    <x v="7"/>
  </r>
  <r>
    <d v="1999-09-26T00:00:00"/>
    <n v="926"/>
    <x v="13"/>
    <n v="1773"/>
    <n v="233"/>
    <n v="224"/>
    <n v="5"/>
    <n v="4941"/>
    <x v="8"/>
  </r>
  <r>
    <d v="1999-09-27T00:00:00"/>
    <n v="927"/>
    <x v="13"/>
    <n v="1221"/>
    <n v="304"/>
    <n v="336"/>
    <n v="10"/>
    <n v="5277"/>
    <x v="9"/>
  </r>
  <r>
    <d v="1999-09-28T00:00:00"/>
    <n v="928"/>
    <x v="13"/>
    <n v="1331"/>
    <n v="331"/>
    <n v="300"/>
    <n v="6"/>
    <n v="5577"/>
    <x v="10"/>
  </r>
  <r>
    <d v="1999-09-29T00:00:00"/>
    <n v="929"/>
    <x v="13"/>
    <n v="1211"/>
    <n v="340"/>
    <n v="189"/>
    <n v="6"/>
    <n v="5766"/>
    <x v="11"/>
  </r>
  <r>
    <d v="1999-09-30T00:00:00"/>
    <n v="930"/>
    <x v="13"/>
    <n v="1110"/>
    <n v="488"/>
    <n v="272"/>
    <n v="13"/>
    <n v="6038"/>
    <x v="12"/>
  </r>
  <r>
    <d v="1999-10-01T00:00:00"/>
    <n v="1001"/>
    <x v="13"/>
    <n v="693"/>
    <n v="382"/>
    <n v="336"/>
    <n v="12"/>
    <n v="6374"/>
    <x v="13"/>
  </r>
  <r>
    <d v="1999-10-02T00:00:00"/>
    <n v="1002"/>
    <x v="13"/>
    <n v="643"/>
    <n v="272"/>
    <n v="278"/>
    <n v="12"/>
    <n v="6652"/>
    <x v="14"/>
  </r>
  <r>
    <d v="1999-10-03T00:00:00"/>
    <n v="1003"/>
    <x v="13"/>
    <n v="639"/>
    <n v="179"/>
    <n v="342"/>
    <n v="10"/>
    <n v="6994"/>
    <x v="15"/>
  </r>
  <r>
    <d v="1999-10-04T00:00:00"/>
    <n v="1004"/>
    <x v="13"/>
    <n v="438"/>
    <n v="159"/>
    <n v="350"/>
    <n v="11"/>
    <n v="7344"/>
    <x v="16"/>
  </r>
  <r>
    <d v="1999-10-05T00:00:00"/>
    <n v="1005"/>
    <x v="13"/>
    <n v="450"/>
    <n v="144"/>
    <n v="353"/>
    <n v="14"/>
    <n v="7697"/>
    <x v="17"/>
  </r>
  <r>
    <d v="1999-10-06T00:00:00"/>
    <n v="1006"/>
    <x v="13"/>
    <n v="359"/>
    <n v="118"/>
    <n v="288"/>
    <n v="13"/>
    <n v="7985"/>
    <x v="18"/>
  </r>
  <r>
    <d v="1999-10-07T00:00:00"/>
    <n v="1007"/>
    <x v="13"/>
    <n v="277"/>
    <n v="104"/>
    <n v="400"/>
    <n v="9"/>
    <n v="8385"/>
    <x v="19"/>
  </r>
  <r>
    <d v="1999-10-08T00:00:00"/>
    <n v="1008"/>
    <x v="13"/>
    <n v="388"/>
    <n v="97"/>
    <n v="450"/>
    <n v="18"/>
    <n v="8835"/>
    <x v="20"/>
  </r>
  <r>
    <d v="1999-10-09T00:00:00"/>
    <n v="1009"/>
    <x v="13"/>
    <n v="157"/>
    <n v="85"/>
    <n v="456"/>
    <n v="17"/>
    <n v="9291"/>
    <x v="21"/>
  </r>
  <r>
    <d v="1999-10-10T00:00:00"/>
    <n v="1010"/>
    <x v="13"/>
    <n v="82"/>
    <n v="50"/>
    <n v="472"/>
    <n v="18"/>
    <n v="9763"/>
    <x v="22"/>
  </r>
  <r>
    <d v="1999-10-11T00:00:00"/>
    <n v="1011"/>
    <x v="13"/>
    <n v="83"/>
    <n v="42"/>
    <n v="385"/>
    <n v="9"/>
    <n v="10148"/>
    <x v="23"/>
  </r>
  <r>
    <d v="1999-10-12T00:00:00"/>
    <n v="1012"/>
    <x v="13"/>
    <n v="61"/>
    <n v="49"/>
    <n v="225"/>
    <n v="9"/>
    <n v="10373"/>
    <x v="24"/>
  </r>
  <r>
    <d v="1999-10-13T00:00:00"/>
    <n v="1013"/>
    <x v="13"/>
    <n v="390"/>
    <n v="127"/>
    <n v="399"/>
    <n v="27"/>
    <n v="10772"/>
    <x v="25"/>
  </r>
  <r>
    <d v="1999-10-14T00:00:00"/>
    <n v="1014"/>
    <x v="13"/>
    <n v="370"/>
    <n v="118"/>
    <n v="433"/>
    <n v="27"/>
    <n v="11205"/>
    <x v="26"/>
  </r>
  <r>
    <d v="1999-10-15T00:00:00"/>
    <n v="1015"/>
    <x v="13"/>
    <n v="87"/>
    <n v="71"/>
    <n v="431"/>
    <n v="12"/>
    <n v="11636"/>
    <x v="27"/>
  </r>
  <r>
    <d v="1999-10-16T00:00:00"/>
    <n v="1016"/>
    <x v="13"/>
    <n v="51"/>
    <n v="36"/>
    <n v="347"/>
    <n v="3"/>
    <n v="11983"/>
    <x v="28"/>
  </r>
  <r>
    <d v="1999-10-17T00:00:00"/>
    <n v="1017"/>
    <x v="13"/>
    <n v="36"/>
    <n v="30"/>
    <n v="242"/>
    <n v="3"/>
    <n v="12225"/>
    <x v="29"/>
  </r>
  <r>
    <d v="1999-10-18T00:00:00"/>
    <n v="1018"/>
    <x v="13"/>
    <n v="47"/>
    <n v="31"/>
    <n v="278"/>
    <n v="7"/>
    <n v="12503"/>
    <x v="30"/>
  </r>
  <r>
    <d v="1999-10-19T00:00:00"/>
    <n v="1019"/>
    <x v="13"/>
    <n v="44"/>
    <n v="29"/>
    <n v="144"/>
    <n v="6"/>
    <n v="12647"/>
    <x v="31"/>
  </r>
  <r>
    <d v="1999-10-20T00:00:00"/>
    <n v="1020"/>
    <x v="13"/>
    <n v="72"/>
    <n v="41"/>
    <n v="144"/>
    <n v="5"/>
    <n v="12791"/>
    <x v="32"/>
  </r>
  <r>
    <d v="1999-10-21T00:00:00"/>
    <n v="1021"/>
    <x v="13"/>
    <n v="70"/>
    <n v="45"/>
    <n v="159"/>
    <n v="8"/>
    <n v="12950"/>
    <x v="33"/>
  </r>
  <r>
    <d v="1999-10-22T00:00:00"/>
    <n v="1022"/>
    <x v="13"/>
    <n v="36"/>
    <n v="20"/>
    <n v="111"/>
    <n v="1"/>
    <n v="13061"/>
    <x v="34"/>
  </r>
  <r>
    <d v="1999-10-23T00:00:00"/>
    <n v="1023"/>
    <x v="13"/>
    <n v="19"/>
    <n v="16"/>
    <n v="130"/>
    <n v="5"/>
    <n v="13191"/>
    <x v="35"/>
  </r>
  <r>
    <d v="1999-10-24T00:00:00"/>
    <n v="1024"/>
    <x v="13"/>
    <n v="28"/>
    <n v="23"/>
    <n v="263"/>
    <n v="1"/>
    <n v="13454"/>
    <x v="36"/>
  </r>
  <r>
    <d v="1999-10-25T00:00:00"/>
    <n v="1025"/>
    <x v="13"/>
    <n v="15"/>
    <n v="6"/>
    <n v="72"/>
    <n v="1"/>
    <n v="13526"/>
    <x v="37"/>
  </r>
  <r>
    <d v="1999-10-26T00:00:00"/>
    <n v="1026"/>
    <x v="13"/>
    <n v="19"/>
    <n v="13"/>
    <n v="44"/>
    <n v="2"/>
    <n v="13570"/>
    <x v="38"/>
  </r>
  <r>
    <d v="1999-10-27T00:00:00"/>
    <n v="1027"/>
    <x v="13"/>
    <n v="16"/>
    <n v="6"/>
    <n v="42"/>
    <n v="0"/>
    <n v="13612"/>
    <x v="39"/>
  </r>
  <r>
    <d v="1999-10-28T00:00:00"/>
    <n v="1028"/>
    <x v="13"/>
    <n v="53"/>
    <n v="30"/>
    <n v="78"/>
    <n v="2"/>
    <n v="13690"/>
    <x v="40"/>
  </r>
  <r>
    <d v="1999-10-29T00:00:00"/>
    <n v="1029"/>
    <x v="13"/>
    <n v="106"/>
    <n v="22"/>
    <n v="37"/>
    <n v="0"/>
    <n v="13727"/>
    <x v="41"/>
  </r>
  <r>
    <d v="1999-10-30T00:00:00"/>
    <n v="1030"/>
    <x v="13"/>
    <n v="67"/>
    <n v="19"/>
    <n v="11"/>
    <n v="0"/>
    <n v="13738"/>
    <x v="42"/>
  </r>
  <r>
    <d v="1999-10-31T00:00:00"/>
    <n v="1031"/>
    <x v="13"/>
    <n v="41"/>
    <n v="19"/>
    <n v="12"/>
    <n v="0"/>
    <n v="13750"/>
    <x v="43"/>
  </r>
  <r>
    <d v="1999-11-01T00:00:00"/>
    <n v="1101"/>
    <x v="13"/>
    <n v="18"/>
    <n v="9"/>
    <n v="15"/>
    <n v="0"/>
    <n v="13765"/>
    <x v="44"/>
  </r>
  <r>
    <d v="1999-11-02T00:00:00"/>
    <n v="1102"/>
    <x v="13"/>
    <n v="18"/>
    <n v="9"/>
    <n v="5"/>
    <n v="1"/>
    <n v="13770"/>
    <x v="45"/>
  </r>
  <r>
    <d v="1999-11-03T00:00:00"/>
    <n v="1103"/>
    <x v="13"/>
    <n v="14"/>
    <n v="3"/>
    <n v="7"/>
    <n v="1"/>
    <n v="13777"/>
    <x v="46"/>
  </r>
  <r>
    <d v="1999-11-04T00:00:00"/>
    <n v="1104"/>
    <x v="13"/>
    <n v="10"/>
    <n v="5"/>
    <n v="9"/>
    <n v="0"/>
    <n v="13786"/>
    <x v="47"/>
  </r>
  <r>
    <d v="2000-09-06T00:00:00"/>
    <n v="906"/>
    <x v="14"/>
    <n v="3006"/>
    <n v="0"/>
    <n v="0"/>
    <n v="0"/>
    <n v="0"/>
    <x v="79"/>
  </r>
  <r>
    <d v="2000-09-06T00:00:00"/>
    <n v="906"/>
    <x v="14"/>
    <n v="3000"/>
    <n v="20"/>
    <n v="1"/>
    <n v="6"/>
    <n v="1"/>
    <x v="79"/>
  </r>
  <r>
    <d v="2000-09-06T00:00:00"/>
    <n v="906"/>
    <x v="14"/>
    <n v="2000"/>
    <n v="1"/>
    <n v="58"/>
    <n v="6"/>
    <n v="59"/>
    <x v="79"/>
  </r>
  <r>
    <d v="2000-09-06T00:00:00"/>
    <n v="906"/>
    <x v="14"/>
    <n v="3562"/>
    <n v="130"/>
    <n v="15"/>
    <n v="29"/>
    <n v="74"/>
    <x v="79"/>
  </r>
  <r>
    <d v="2000-09-07T00:00:00"/>
    <n v="907"/>
    <x v="14"/>
    <n v="2572"/>
    <n v="105"/>
    <n v="41"/>
    <n v="56"/>
    <n v="115"/>
    <x v="71"/>
  </r>
  <r>
    <d v="2000-09-08T00:00:00"/>
    <n v="908"/>
    <x v="14"/>
    <n v="3333"/>
    <n v="94"/>
    <n v="34"/>
    <n v="45"/>
    <n v="149"/>
    <x v="72"/>
  </r>
  <r>
    <d v="2000-09-09T00:00:00"/>
    <n v="909"/>
    <x v="14"/>
    <n v="4478"/>
    <n v="85"/>
    <n v="44"/>
    <n v="42"/>
    <n v="193"/>
    <x v="73"/>
  </r>
  <r>
    <d v="2000-09-10T00:00:00"/>
    <n v="910"/>
    <x v="14"/>
    <n v="4153"/>
    <n v="165"/>
    <n v="32"/>
    <n v="41"/>
    <n v="225"/>
    <x v="74"/>
  </r>
  <r>
    <d v="2000-09-11T00:00:00"/>
    <n v="911"/>
    <x v="14"/>
    <n v="4568"/>
    <n v="205"/>
    <n v="73"/>
    <n v="62"/>
    <n v="298"/>
    <x v="68"/>
  </r>
  <r>
    <d v="2000-09-12T00:00:00"/>
    <n v="912"/>
    <x v="14"/>
    <n v="4736"/>
    <n v="255"/>
    <n v="72"/>
    <n v="81"/>
    <n v="370"/>
    <x v="69"/>
  </r>
  <r>
    <d v="2000-09-13T00:00:00"/>
    <n v="913"/>
    <x v="14"/>
    <n v="3194"/>
    <n v="246"/>
    <n v="55"/>
    <n v="57"/>
    <n v="425"/>
    <x v="70"/>
  </r>
  <r>
    <d v="2000-09-14T00:00:00"/>
    <n v="914"/>
    <x v="14"/>
    <n v="2809"/>
    <n v="326"/>
    <n v="34"/>
    <n v="68"/>
    <n v="459"/>
    <x v="67"/>
  </r>
  <r>
    <d v="2000-09-15T00:00:00"/>
    <n v="915"/>
    <x v="14"/>
    <n v="3031"/>
    <n v="318"/>
    <n v="33"/>
    <n v="63"/>
    <n v="492"/>
    <x v="63"/>
  </r>
  <r>
    <d v="2000-09-16T00:00:00"/>
    <n v="916"/>
    <x v="14"/>
    <n v="1607"/>
    <n v="284"/>
    <n v="91"/>
    <n v="87"/>
    <n v="583"/>
    <x v="64"/>
  </r>
  <r>
    <d v="2000-09-17T00:00:00"/>
    <n v="917"/>
    <x v="14"/>
    <n v="1501"/>
    <n v="194"/>
    <n v="137"/>
    <n v="120"/>
    <n v="720"/>
    <x v="65"/>
  </r>
  <r>
    <d v="2000-09-18T00:00:00"/>
    <n v="918"/>
    <x v="14"/>
    <n v="2252"/>
    <n v="268"/>
    <n v="114"/>
    <n v="145"/>
    <n v="834"/>
    <x v="0"/>
  </r>
  <r>
    <d v="2000-09-19T00:00:00"/>
    <n v="919"/>
    <x v="14"/>
    <n v="3382"/>
    <n v="230"/>
    <n v="128"/>
    <n v="122"/>
    <n v="962"/>
    <x v="1"/>
  </r>
  <r>
    <d v="2000-09-20T00:00:00"/>
    <n v="920"/>
    <x v="14"/>
    <n v="4684"/>
    <n v="243"/>
    <n v="524"/>
    <n v="138"/>
    <n v="1486"/>
    <x v="2"/>
  </r>
  <r>
    <d v="2000-09-21T00:00:00"/>
    <n v="921"/>
    <x v="14"/>
    <n v="3468"/>
    <n v="197"/>
    <n v="269"/>
    <n v="83"/>
    <n v="1755"/>
    <x v="3"/>
  </r>
  <r>
    <d v="2000-09-22T00:00:00"/>
    <n v="922"/>
    <x v="14"/>
    <n v="1925"/>
    <n v="151"/>
    <n v="30"/>
    <n v="10"/>
    <n v="1785"/>
    <x v="4"/>
  </r>
  <r>
    <d v="2000-09-23T00:00:00"/>
    <n v="923"/>
    <x v="14"/>
    <n v="2219"/>
    <n v="146"/>
    <n v="34"/>
    <n v="13"/>
    <n v="1819"/>
    <x v="5"/>
  </r>
  <r>
    <d v="2000-09-24T00:00:00"/>
    <n v="924"/>
    <x v="14"/>
    <n v="2271"/>
    <n v="207"/>
    <n v="66"/>
    <n v="23"/>
    <n v="1885"/>
    <x v="6"/>
  </r>
  <r>
    <d v="2000-09-25T00:00:00"/>
    <n v="925"/>
    <x v="14"/>
    <n v="2002"/>
    <n v="183"/>
    <n v="52"/>
    <n v="19"/>
    <n v="1937"/>
    <x v="7"/>
  </r>
  <r>
    <d v="2000-09-26T00:00:00"/>
    <n v="926"/>
    <x v="14"/>
    <n v="2111"/>
    <n v="200"/>
    <n v="62"/>
    <n v="41"/>
    <n v="1999"/>
    <x v="8"/>
  </r>
  <r>
    <d v="2000-09-27T00:00:00"/>
    <n v="927"/>
    <x v="14"/>
    <n v="2754"/>
    <n v="245"/>
    <n v="111"/>
    <n v="57"/>
    <n v="2110"/>
    <x v="9"/>
  </r>
  <r>
    <d v="2000-09-28T00:00:00"/>
    <n v="928"/>
    <x v="14"/>
    <n v="3059"/>
    <n v="288"/>
    <n v="152"/>
    <n v="79"/>
    <n v="2262"/>
    <x v="10"/>
  </r>
  <r>
    <d v="2000-09-29T00:00:00"/>
    <n v="929"/>
    <x v="14"/>
    <n v="2053"/>
    <n v="289"/>
    <n v="219"/>
    <n v="56"/>
    <n v="2481"/>
    <x v="11"/>
  </r>
  <r>
    <d v="2000-09-30T00:00:00"/>
    <n v="930"/>
    <x v="14"/>
    <n v="1470"/>
    <n v="235"/>
    <n v="181"/>
    <n v="47"/>
    <n v="2662"/>
    <x v="12"/>
  </r>
  <r>
    <d v="2000-10-01T00:00:00"/>
    <n v="1001"/>
    <x v="14"/>
    <n v="727"/>
    <n v="99"/>
    <n v="128"/>
    <n v="38"/>
    <n v="2790"/>
    <x v="13"/>
  </r>
  <r>
    <d v="2000-10-02T00:00:00"/>
    <n v="1002"/>
    <x v="14"/>
    <n v="577"/>
    <n v="95"/>
    <n v="146"/>
    <n v="35"/>
    <n v="2936"/>
    <x v="14"/>
  </r>
  <r>
    <d v="2000-10-03T00:00:00"/>
    <n v="1003"/>
    <x v="14"/>
    <n v="219"/>
    <n v="51"/>
    <n v="130"/>
    <n v="36"/>
    <n v="3066"/>
    <x v="15"/>
  </r>
  <r>
    <d v="2000-10-04T00:00:00"/>
    <n v="1004"/>
    <x v="14"/>
    <n v="128"/>
    <n v="47"/>
    <n v="82"/>
    <n v="17"/>
    <n v="3148"/>
    <x v="16"/>
  </r>
  <r>
    <d v="2000-10-05T00:00:00"/>
    <n v="1005"/>
    <x v="14"/>
    <n v="310"/>
    <n v="105"/>
    <n v="61"/>
    <n v="21"/>
    <n v="3209"/>
    <x v="17"/>
  </r>
  <r>
    <d v="2000-10-06T00:00:00"/>
    <n v="1006"/>
    <x v="14"/>
    <n v="316"/>
    <n v="113"/>
    <n v="56"/>
    <n v="26"/>
    <n v="3265"/>
    <x v="18"/>
  </r>
  <r>
    <d v="2000-10-07T00:00:00"/>
    <n v="1007"/>
    <x v="14"/>
    <n v="265"/>
    <n v="143"/>
    <n v="69"/>
    <n v="33"/>
    <n v="3334"/>
    <x v="19"/>
  </r>
  <r>
    <d v="2000-10-08T00:00:00"/>
    <n v="1008"/>
    <x v="14"/>
    <n v="347"/>
    <n v="194"/>
    <n v="68"/>
    <n v="37"/>
    <n v="3402"/>
    <x v="20"/>
  </r>
  <r>
    <d v="2000-10-09T00:00:00"/>
    <n v="1009"/>
    <x v="14"/>
    <n v="256"/>
    <n v="106"/>
    <n v="53"/>
    <n v="27"/>
    <n v="3455"/>
    <x v="21"/>
  </r>
  <r>
    <d v="2000-10-10T00:00:00"/>
    <n v="1010"/>
    <x v="14"/>
    <n v="125"/>
    <n v="81"/>
    <n v="24"/>
    <n v="28"/>
    <n v="3479"/>
    <x v="22"/>
  </r>
  <r>
    <d v="2000-10-11T00:00:00"/>
    <n v="1011"/>
    <x v="14"/>
    <n v="130"/>
    <n v="66"/>
    <n v="61"/>
    <n v="29"/>
    <n v="3540"/>
    <x v="23"/>
  </r>
  <r>
    <d v="2000-10-12T00:00:00"/>
    <n v="1012"/>
    <x v="14"/>
    <n v="98"/>
    <n v="44"/>
    <n v="40"/>
    <n v="21"/>
    <n v="3580"/>
    <x v="24"/>
  </r>
  <r>
    <d v="2000-10-13T00:00:00"/>
    <n v="1013"/>
    <x v="14"/>
    <n v="91"/>
    <n v="58"/>
    <n v="56"/>
    <n v="26"/>
    <n v="3636"/>
    <x v="25"/>
  </r>
  <r>
    <d v="2000-10-14T00:00:00"/>
    <n v="1014"/>
    <x v="14"/>
    <n v="166"/>
    <n v="75"/>
    <n v="113"/>
    <n v="63"/>
    <n v="3749"/>
    <x v="26"/>
  </r>
  <r>
    <d v="2000-10-15T00:00:00"/>
    <n v="1015"/>
    <x v="14"/>
    <n v="189"/>
    <n v="49"/>
    <n v="137"/>
    <n v="40"/>
    <n v="3886"/>
    <x v="27"/>
  </r>
  <r>
    <d v="2000-10-16T00:00:00"/>
    <n v="1016"/>
    <x v="14"/>
    <n v="590"/>
    <n v="96"/>
    <n v="116"/>
    <n v="34"/>
    <n v="4002"/>
    <x v="28"/>
  </r>
  <r>
    <d v="2000-10-17T00:00:00"/>
    <n v="1017"/>
    <x v="14"/>
    <n v="535"/>
    <n v="57"/>
    <n v="298"/>
    <n v="20"/>
    <n v="4300"/>
    <x v="29"/>
  </r>
  <r>
    <d v="2000-10-18T00:00:00"/>
    <n v="1018"/>
    <x v="14"/>
    <n v="473"/>
    <n v="112"/>
    <n v="327"/>
    <n v="50"/>
    <n v="4627"/>
    <x v="30"/>
  </r>
  <r>
    <d v="2000-10-19T00:00:00"/>
    <n v="1019"/>
    <x v="14"/>
    <n v="437"/>
    <n v="76"/>
    <n v="32"/>
    <n v="8"/>
    <n v="4659"/>
    <x v="31"/>
  </r>
  <r>
    <d v="2000-10-20T00:00:00"/>
    <n v="1020"/>
    <x v="14"/>
    <n v="357"/>
    <n v="58"/>
    <n v="32"/>
    <n v="11"/>
    <n v="4691"/>
    <x v="32"/>
  </r>
  <r>
    <d v="2000-10-21T00:00:00"/>
    <n v="1021"/>
    <x v="14"/>
    <n v="277"/>
    <n v="39"/>
    <n v="32"/>
    <n v="15"/>
    <n v="4723"/>
    <x v="33"/>
  </r>
  <r>
    <d v="2000-10-22T00:00:00"/>
    <n v="1022"/>
    <x v="14"/>
    <n v="197"/>
    <n v="21"/>
    <n v="32"/>
    <n v="18"/>
    <n v="4755"/>
    <x v="34"/>
  </r>
  <r>
    <d v="2000-10-23T00:00:00"/>
    <n v="1023"/>
    <x v="14"/>
    <n v="131"/>
    <n v="25"/>
    <n v="77"/>
    <n v="13"/>
    <n v="4832"/>
    <x v="35"/>
  </r>
  <r>
    <d v="2000-10-24T00:00:00"/>
    <n v="1024"/>
    <x v="14"/>
    <n v="123"/>
    <n v="35"/>
    <n v="58"/>
    <n v="7"/>
    <n v="4890"/>
    <x v="36"/>
  </r>
  <r>
    <d v="2000-10-25T00:00:00"/>
    <n v="1025"/>
    <x v="14"/>
    <n v="65"/>
    <n v="22"/>
    <n v="39"/>
    <n v="12"/>
    <n v="4929"/>
    <x v="37"/>
  </r>
  <r>
    <d v="2000-10-26T00:00:00"/>
    <n v="1026"/>
    <x v="14"/>
    <n v="84"/>
    <n v="35"/>
    <n v="37"/>
    <n v="6"/>
    <n v="4966"/>
    <x v="38"/>
  </r>
  <r>
    <d v="2000-10-27T00:00:00"/>
    <n v="1027"/>
    <x v="14"/>
    <n v="60"/>
    <n v="34"/>
    <n v="16"/>
    <n v="11"/>
    <n v="4982"/>
    <x v="39"/>
  </r>
  <r>
    <d v="2000-10-28T00:00:00"/>
    <n v="1028"/>
    <x v="14"/>
    <n v="23"/>
    <n v="7"/>
    <n v="21"/>
    <n v="4"/>
    <n v="5003"/>
    <x v="40"/>
  </r>
  <r>
    <d v="2000-10-29T00:00:00"/>
    <n v="1029"/>
    <x v="14"/>
    <n v="5"/>
    <n v="4"/>
    <n v="3"/>
    <n v="2"/>
    <n v="5006"/>
    <x v="41"/>
  </r>
  <r>
    <d v="2000-10-30T00:00:00"/>
    <n v="1030"/>
    <x v="14"/>
    <n v="13"/>
    <n v="11"/>
    <n v="8"/>
    <n v="0"/>
    <n v="5014"/>
    <x v="42"/>
  </r>
  <r>
    <d v="2000-10-31T00:00:00"/>
    <n v="1031"/>
    <x v="14"/>
    <n v="33"/>
    <n v="5"/>
    <n v="3"/>
    <n v="3"/>
    <n v="5017"/>
    <x v="43"/>
  </r>
  <r>
    <d v="2000-11-01T00:00:00"/>
    <n v="1101"/>
    <x v="14"/>
    <n v="22"/>
    <n v="5"/>
    <n v="3"/>
    <n v="1"/>
    <n v="5020"/>
    <x v="44"/>
  </r>
  <r>
    <d v="2000-11-02T00:00:00"/>
    <n v="1102"/>
    <x v="14"/>
    <n v="17"/>
    <n v="4"/>
    <n v="10"/>
    <n v="14"/>
    <n v="5030"/>
    <x v="45"/>
  </r>
  <r>
    <d v="2000-11-03T00:00:00"/>
    <n v="1103"/>
    <x v="14"/>
    <n v="17"/>
    <n v="8"/>
    <n v="1"/>
    <n v="2"/>
    <n v="5031"/>
    <x v="46"/>
  </r>
  <r>
    <d v="2000-11-04T00:00:00"/>
    <n v="1104"/>
    <x v="14"/>
    <n v="0"/>
    <n v="0"/>
    <n v="0"/>
    <n v="0"/>
    <n v="5031"/>
    <x v="47"/>
  </r>
  <r>
    <d v="2000-11-05T00:00:00"/>
    <n v="1105"/>
    <x v="14"/>
    <n v="0"/>
    <n v="0"/>
    <n v="0"/>
    <n v="0"/>
    <n v="5031"/>
    <x v="48"/>
  </r>
  <r>
    <d v="2000-11-06T00:00:00"/>
    <n v="1106"/>
    <x v="14"/>
    <n v="0"/>
    <n v="0"/>
    <n v="0"/>
    <n v="0"/>
    <n v="5031"/>
    <x v="49"/>
  </r>
  <r>
    <d v="2000-11-07T00:00:00"/>
    <n v="1107"/>
    <x v="14"/>
    <n v="0"/>
    <n v="0"/>
    <n v="0"/>
    <n v="0"/>
    <n v="5031"/>
    <x v="50"/>
  </r>
  <r>
    <d v="2000-11-08T00:00:00"/>
    <n v="1108"/>
    <x v="14"/>
    <n v="14"/>
    <n v="6"/>
    <n v="1"/>
    <n v="0"/>
    <n v="5032"/>
    <x v="51"/>
  </r>
  <r>
    <d v="2001-09-06T00:00:00"/>
    <n v="906"/>
    <x v="15"/>
    <n v="6757"/>
    <n v="413"/>
    <n v="1271"/>
    <n v="113"/>
    <n v="1271"/>
    <x v="79"/>
  </r>
  <r>
    <d v="2001-09-06T00:00:00"/>
    <n v="906"/>
    <x v="15"/>
    <n v="4786"/>
    <n v="5"/>
    <n v="0"/>
    <n v="0"/>
    <n v="1271"/>
    <x v="79"/>
  </r>
  <r>
    <d v="2001-09-06T00:00:00"/>
    <n v="906"/>
    <x v="15"/>
    <n v="593"/>
    <n v="34"/>
    <n v="83"/>
    <n v="39"/>
    <n v="1354"/>
    <x v="79"/>
  </r>
  <r>
    <d v="2001-09-07T00:00:00"/>
    <n v="907"/>
    <x v="15"/>
    <n v="1252"/>
    <n v="84"/>
    <n v="226"/>
    <n v="75"/>
    <n v="1580"/>
    <x v="71"/>
  </r>
  <r>
    <d v="2001-09-08T00:00:00"/>
    <n v="908"/>
    <x v="15"/>
    <n v="1134"/>
    <n v="90"/>
    <n v="225"/>
    <n v="79"/>
    <n v="1805"/>
    <x v="72"/>
  </r>
  <r>
    <d v="2001-09-09T00:00:00"/>
    <n v="909"/>
    <x v="15"/>
    <n v="969"/>
    <n v="82"/>
    <n v="224"/>
    <n v="56"/>
    <n v="2029"/>
    <x v="73"/>
  </r>
  <r>
    <d v="2001-09-10T00:00:00"/>
    <n v="910"/>
    <x v="15"/>
    <n v="850"/>
    <n v="114"/>
    <n v="249"/>
    <n v="102"/>
    <n v="2278"/>
    <x v="74"/>
  </r>
  <r>
    <d v="2001-09-11T00:00:00"/>
    <n v="911"/>
    <x v="15"/>
    <n v="993"/>
    <n v="122"/>
    <n v="268"/>
    <n v="135"/>
    <n v="2546"/>
    <x v="68"/>
  </r>
  <r>
    <d v="2001-09-12T00:00:00"/>
    <n v="912"/>
    <x v="15"/>
    <n v="1676"/>
    <n v="89"/>
    <n v="327"/>
    <n v="134"/>
    <n v="2873"/>
    <x v="69"/>
  </r>
  <r>
    <d v="2001-09-13T00:00:00"/>
    <n v="913"/>
    <x v="15"/>
    <n v="1320"/>
    <n v="71"/>
    <n v="282"/>
    <n v="181"/>
    <n v="3155"/>
    <x v="70"/>
  </r>
  <r>
    <d v="2001-09-14T00:00:00"/>
    <n v="914"/>
    <x v="15"/>
    <n v="1367"/>
    <n v="99"/>
    <n v="522"/>
    <n v="208"/>
    <n v="3677"/>
    <x v="67"/>
  </r>
  <r>
    <d v="2001-09-15T00:00:00"/>
    <n v="915"/>
    <x v="15"/>
    <n v="783"/>
    <n v="97"/>
    <n v="312"/>
    <n v="120"/>
    <n v="3989"/>
    <x v="63"/>
  </r>
  <r>
    <d v="2001-09-16T00:00:00"/>
    <n v="916"/>
    <x v="15"/>
    <n v="1449"/>
    <n v="122"/>
    <n v="325"/>
    <n v="181"/>
    <n v="4314"/>
    <x v="64"/>
  </r>
  <r>
    <d v="2001-09-17T00:00:00"/>
    <n v="917"/>
    <x v="15"/>
    <n v="2027"/>
    <n v="90"/>
    <n v="140"/>
    <n v="75"/>
    <n v="4454"/>
    <x v="65"/>
  </r>
  <r>
    <d v="2001-09-18T00:00:00"/>
    <n v="918"/>
    <x v="15"/>
    <n v="2024"/>
    <n v="106"/>
    <n v="117"/>
    <n v="42"/>
    <n v="4571"/>
    <x v="0"/>
  </r>
  <r>
    <d v="2001-09-19T00:00:00"/>
    <n v="919"/>
    <x v="15"/>
    <n v="2649"/>
    <n v="88"/>
    <n v="203"/>
    <n v="55"/>
    <n v="4774"/>
    <x v="1"/>
  </r>
  <r>
    <d v="2001-09-20T00:00:00"/>
    <n v="920"/>
    <x v="15"/>
    <n v="1827"/>
    <n v="36"/>
    <n v="209"/>
    <n v="12"/>
    <n v="4983"/>
    <x v="2"/>
  </r>
  <r>
    <d v="2001-09-21T00:00:00"/>
    <n v="921"/>
    <x v="15"/>
    <n v="2862"/>
    <n v="90"/>
    <n v="259"/>
    <n v="25"/>
    <n v="5242"/>
    <x v="3"/>
  </r>
  <r>
    <d v="2001-09-22T00:00:00"/>
    <n v="922"/>
    <x v="15"/>
    <n v="2527"/>
    <n v="111"/>
    <n v="202"/>
    <n v="23"/>
    <n v="5444"/>
    <x v="4"/>
  </r>
  <r>
    <d v="2001-09-23T00:00:00"/>
    <n v="923"/>
    <x v="15"/>
    <n v="2178"/>
    <n v="107"/>
    <n v="174"/>
    <n v="20"/>
    <n v="5618"/>
    <x v="5"/>
  </r>
  <r>
    <d v="2001-09-24T00:00:00"/>
    <n v="924"/>
    <x v="15"/>
    <n v="2421"/>
    <n v="145"/>
    <n v="247"/>
    <n v="27"/>
    <n v="5865"/>
    <x v="6"/>
  </r>
  <r>
    <d v="2001-09-25T00:00:00"/>
    <n v="925"/>
    <x v="15"/>
    <n v="2684"/>
    <n v="190"/>
    <n v="276"/>
    <n v="44"/>
    <n v="6141"/>
    <x v="7"/>
  </r>
  <r>
    <d v="2001-09-26T00:00:00"/>
    <n v="926"/>
    <x v="15"/>
    <n v="2564"/>
    <n v="222"/>
    <n v="409"/>
    <n v="48"/>
    <n v="6550"/>
    <x v="8"/>
  </r>
  <r>
    <d v="2001-09-27T00:00:00"/>
    <n v="927"/>
    <x v="15"/>
    <n v="1806"/>
    <n v="120"/>
    <n v="123"/>
    <n v="24"/>
    <n v="6673"/>
    <x v="9"/>
  </r>
  <r>
    <d v="2001-09-28T00:00:00"/>
    <n v="928"/>
    <x v="15"/>
    <n v="1482"/>
    <n v="70"/>
    <n v="210"/>
    <n v="15"/>
    <n v="6883"/>
    <x v="10"/>
  </r>
  <r>
    <d v="2001-09-29T00:00:00"/>
    <n v="929"/>
    <x v="15"/>
    <n v="2466"/>
    <n v="102"/>
    <n v="169"/>
    <n v="11"/>
    <n v="7052"/>
    <x v="11"/>
  </r>
  <r>
    <d v="2001-09-30T00:00:00"/>
    <n v="930"/>
    <x v="15"/>
    <n v="2010"/>
    <n v="104"/>
    <n v="154"/>
    <n v="8"/>
    <n v="7206"/>
    <x v="12"/>
  </r>
  <r>
    <d v="2001-10-01T00:00:00"/>
    <n v="1001"/>
    <x v="15"/>
    <n v="1712"/>
    <n v="109"/>
    <n v="117"/>
    <n v="10"/>
    <n v="7323"/>
    <x v="13"/>
  </r>
  <r>
    <d v="2001-10-02T00:00:00"/>
    <n v="1002"/>
    <x v="15"/>
    <n v="2012"/>
    <n v="138"/>
    <n v="168"/>
    <n v="15"/>
    <n v="7491"/>
    <x v="14"/>
  </r>
  <r>
    <d v="2001-10-03T00:00:00"/>
    <n v="1003"/>
    <x v="15"/>
    <n v="2263"/>
    <n v="132"/>
    <n v="162"/>
    <n v="18"/>
    <n v="7653"/>
    <x v="15"/>
  </r>
  <r>
    <d v="2001-10-04T00:00:00"/>
    <n v="1004"/>
    <x v="15"/>
    <n v="2505"/>
    <n v="157"/>
    <n v="170"/>
    <n v="28"/>
    <n v="7823"/>
    <x v="16"/>
  </r>
  <r>
    <d v="2001-10-05T00:00:00"/>
    <n v="1005"/>
    <x v="15"/>
    <n v="3116"/>
    <n v="188"/>
    <n v="284"/>
    <n v="48"/>
    <n v="8107"/>
    <x v="17"/>
  </r>
  <r>
    <d v="2001-10-06T00:00:00"/>
    <n v="1006"/>
    <x v="15"/>
    <n v="3305"/>
    <n v="120"/>
    <n v="590"/>
    <n v="65"/>
    <n v="8697"/>
    <x v="18"/>
  </r>
  <r>
    <d v="2001-10-07T00:00:00"/>
    <n v="1007"/>
    <x v="15"/>
    <n v="1995"/>
    <n v="113"/>
    <n v="245"/>
    <n v="33"/>
    <n v="8942"/>
    <x v="19"/>
  </r>
  <r>
    <d v="2001-10-08T00:00:00"/>
    <n v="1008"/>
    <x v="15"/>
    <n v="2203"/>
    <n v="91"/>
    <n v="431"/>
    <n v="34"/>
    <n v="9373"/>
    <x v="20"/>
  </r>
  <r>
    <d v="2001-10-09T00:00:00"/>
    <n v="1009"/>
    <x v="15"/>
    <n v="2095"/>
    <n v="84"/>
    <n v="596"/>
    <n v="45"/>
    <n v="9969"/>
    <x v="21"/>
  </r>
  <r>
    <d v="2001-10-10T00:00:00"/>
    <n v="1010"/>
    <x v="15"/>
    <n v="1022"/>
    <n v="52"/>
    <n v="1126"/>
    <n v="75"/>
    <n v="11095"/>
    <x v="22"/>
  </r>
  <r>
    <d v="2001-10-11T00:00:00"/>
    <n v="1011"/>
    <x v="15"/>
    <n v="1709"/>
    <n v="78"/>
    <n v="1041"/>
    <n v="45"/>
    <n v="12136"/>
    <x v="23"/>
  </r>
  <r>
    <d v="2001-10-12T00:00:00"/>
    <n v="1012"/>
    <x v="15"/>
    <n v="1580"/>
    <n v="83"/>
    <n v="2729"/>
    <n v="163"/>
    <n v="14865"/>
    <x v="24"/>
  </r>
  <r>
    <d v="2001-10-13T00:00:00"/>
    <n v="1013"/>
    <x v="15"/>
    <n v="2318"/>
    <n v="75"/>
    <n v="1371"/>
    <n v="84"/>
    <n v="16236"/>
    <x v="25"/>
  </r>
  <r>
    <d v="2001-10-14T00:00:00"/>
    <n v="1014"/>
    <x v="15"/>
    <n v="1536"/>
    <n v="48"/>
    <n v="1221"/>
    <n v="73"/>
    <n v="17457"/>
    <x v="26"/>
  </r>
  <r>
    <d v="2001-10-15T00:00:00"/>
    <n v="1015"/>
    <x v="15"/>
    <n v="1954"/>
    <n v="38"/>
    <n v="1679"/>
    <n v="119"/>
    <n v="19136"/>
    <x v="27"/>
  </r>
  <r>
    <d v="2001-10-16T00:00:00"/>
    <n v="1016"/>
    <x v="15"/>
    <n v="887"/>
    <n v="29"/>
    <n v="1340"/>
    <n v="65"/>
    <n v="20476"/>
    <x v="28"/>
  </r>
  <r>
    <d v="2001-10-17T00:00:00"/>
    <n v="1017"/>
    <x v="15"/>
    <n v="1222"/>
    <n v="25"/>
    <n v="1031"/>
    <n v="68"/>
    <n v="21507"/>
    <x v="29"/>
  </r>
  <r>
    <d v="2001-10-18T00:00:00"/>
    <n v="1018"/>
    <x v="15"/>
    <n v="1394"/>
    <n v="29"/>
    <n v="977"/>
    <n v="76"/>
    <n v="22484"/>
    <x v="30"/>
  </r>
  <r>
    <d v="2001-10-19T00:00:00"/>
    <n v="1019"/>
    <x v="15"/>
    <n v="1332"/>
    <n v="25"/>
    <n v="824"/>
    <n v="82"/>
    <n v="23308"/>
    <x v="31"/>
  </r>
  <r>
    <d v="2001-10-20T00:00:00"/>
    <n v="1020"/>
    <x v="15"/>
    <n v="1254"/>
    <n v="28"/>
    <n v="616"/>
    <n v="41"/>
    <n v="23924"/>
    <x v="32"/>
  </r>
  <r>
    <d v="2001-10-21T00:00:00"/>
    <n v="1021"/>
    <x v="15"/>
    <n v="559"/>
    <n v="25"/>
    <n v="958"/>
    <n v="64"/>
    <n v="24882"/>
    <x v="33"/>
  </r>
  <r>
    <d v="2001-10-22T00:00:00"/>
    <n v="1022"/>
    <x v="15"/>
    <n v="747"/>
    <n v="20"/>
    <n v="1001"/>
    <n v="89"/>
    <n v="25883"/>
    <x v="34"/>
  </r>
  <r>
    <d v="2001-10-23T00:00:00"/>
    <n v="1023"/>
    <x v="15"/>
    <n v="2046"/>
    <n v="34"/>
    <n v="492"/>
    <n v="57"/>
    <n v="26375"/>
    <x v="35"/>
  </r>
  <r>
    <d v="2001-10-24T00:00:00"/>
    <n v="1024"/>
    <x v="15"/>
    <n v="1770"/>
    <n v="21"/>
    <n v="251"/>
    <n v="36"/>
    <n v="26626"/>
    <x v="36"/>
  </r>
  <r>
    <d v="2001-10-25T00:00:00"/>
    <n v="1025"/>
    <x v="15"/>
    <n v="909"/>
    <n v="12"/>
    <n v="311"/>
    <n v="40"/>
    <n v="26937"/>
    <x v="37"/>
  </r>
  <r>
    <d v="2001-10-26T00:00:00"/>
    <n v="1026"/>
    <x v="15"/>
    <n v="247"/>
    <n v="7"/>
    <n v="180"/>
    <n v="21"/>
    <n v="27117"/>
    <x v="38"/>
  </r>
  <r>
    <d v="2001-10-27T00:00:00"/>
    <n v="1027"/>
    <x v="15"/>
    <n v="1891"/>
    <n v="27"/>
    <n v="137"/>
    <n v="30"/>
    <n v="27254"/>
    <x v="39"/>
  </r>
  <r>
    <d v="2001-10-28T00:00:00"/>
    <n v="1028"/>
    <x v="15"/>
    <n v="425"/>
    <n v="14"/>
    <n v="80"/>
    <n v="11"/>
    <n v="27334"/>
    <x v="40"/>
  </r>
  <r>
    <d v="2001-10-29T00:00:00"/>
    <n v="1029"/>
    <x v="15"/>
    <n v="151"/>
    <n v="5"/>
    <n v="53"/>
    <n v="7"/>
    <n v="27387"/>
    <x v="41"/>
  </r>
  <r>
    <d v="2001-10-30T00:00:00"/>
    <n v="1030"/>
    <x v="15"/>
    <n v="173"/>
    <n v="10"/>
    <n v="64"/>
    <n v="11"/>
    <n v="27451"/>
    <x v="42"/>
  </r>
  <r>
    <d v="2001-10-31T00:00:00"/>
    <n v="1031"/>
    <x v="15"/>
    <n v="276"/>
    <n v="11"/>
    <n v="63"/>
    <n v="16"/>
    <n v="27514"/>
    <x v="43"/>
  </r>
  <r>
    <d v="2001-11-01T00:00:00"/>
    <n v="1101"/>
    <x v="15"/>
    <n v="340"/>
    <n v="9"/>
    <n v="50"/>
    <n v="3"/>
    <n v="27564"/>
    <x v="44"/>
  </r>
  <r>
    <d v="2001-11-02T00:00:00"/>
    <n v="1102"/>
    <x v="15"/>
    <n v="261"/>
    <n v="15"/>
    <n v="41"/>
    <n v="4"/>
    <n v="27605"/>
    <x v="45"/>
  </r>
  <r>
    <d v="2001-11-03T00:00:00"/>
    <n v="1103"/>
    <x v="15"/>
    <n v="81"/>
    <n v="7"/>
    <n v="14"/>
    <n v="5"/>
    <n v="27619"/>
    <x v="46"/>
  </r>
  <r>
    <d v="2001-11-04T00:00:00"/>
    <n v="1104"/>
    <x v="15"/>
    <n v="86"/>
    <n v="4"/>
    <n v="21"/>
    <n v="4"/>
    <n v="27640"/>
    <x v="47"/>
  </r>
  <r>
    <d v="2001-11-05T00:00:00"/>
    <n v="1105"/>
    <x v="15"/>
    <n v="106"/>
    <n v="3"/>
    <n v="15"/>
    <n v="4"/>
    <n v="27655"/>
    <x v="48"/>
  </r>
  <r>
    <d v="2001-11-06T00:00:00"/>
    <n v="1106"/>
    <x v="15"/>
    <n v="74"/>
    <n v="3"/>
    <n v="12"/>
    <n v="3"/>
    <n v="27667"/>
    <x v="49"/>
  </r>
  <r>
    <d v="2001-11-07T00:00:00"/>
    <n v="1107"/>
    <x v="15"/>
    <n v="85"/>
    <n v="9"/>
    <n v="16"/>
    <n v="1"/>
    <n v="27683"/>
    <x v="50"/>
  </r>
  <r>
    <d v="2001-11-08T00:00:00"/>
    <n v="1108"/>
    <x v="15"/>
    <n v="90"/>
    <n v="4"/>
    <n v="16"/>
    <n v="0"/>
    <n v="27699"/>
    <x v="51"/>
  </r>
  <r>
    <d v="2001-11-09T00:00:00"/>
    <n v="1109"/>
    <x v="15"/>
    <n v="43"/>
    <n v="2"/>
    <n v="7"/>
    <n v="2"/>
    <n v="27706"/>
    <x v="52"/>
  </r>
  <r>
    <d v="2002-09-05T00:00:00"/>
    <n v="905"/>
    <x v="16"/>
    <n v="1500"/>
    <n v="0"/>
    <n v="100"/>
    <n v="0"/>
    <n v="100"/>
    <x v="78"/>
  </r>
  <r>
    <d v="2002-09-05T00:00:00"/>
    <n v="905"/>
    <x v="16"/>
    <n v="1082"/>
    <n v="21"/>
    <n v="403"/>
    <n v="13"/>
    <n v="503"/>
    <x v="78"/>
  </r>
  <r>
    <d v="2002-09-05T00:00:00"/>
    <n v="905"/>
    <x v="16"/>
    <n v="765"/>
    <n v="48"/>
    <n v="112"/>
    <n v="12"/>
    <n v="615"/>
    <x v="78"/>
  </r>
  <r>
    <d v="2002-09-06T00:00:00"/>
    <n v="906"/>
    <x v="16"/>
    <n v="1917"/>
    <n v="167"/>
    <n v="377"/>
    <n v="34"/>
    <n v="992"/>
    <x v="79"/>
  </r>
  <r>
    <d v="2002-09-07T00:00:00"/>
    <n v="907"/>
    <x v="16"/>
    <n v="1910"/>
    <n v="262"/>
    <n v="451"/>
    <n v="73"/>
    <n v="1443"/>
    <x v="71"/>
  </r>
  <r>
    <d v="2002-09-08T00:00:00"/>
    <n v="908"/>
    <x v="16"/>
    <n v="1193"/>
    <n v="131"/>
    <n v="235"/>
    <n v="34"/>
    <n v="1678"/>
    <x v="72"/>
  </r>
  <r>
    <d v="2002-09-09T00:00:00"/>
    <n v="909"/>
    <x v="16"/>
    <n v="2394"/>
    <n v="173"/>
    <n v="219"/>
    <n v="61"/>
    <n v="1897"/>
    <x v="73"/>
  </r>
  <r>
    <d v="2002-09-10T00:00:00"/>
    <n v="910"/>
    <x v="16"/>
    <n v="2735"/>
    <n v="154"/>
    <n v="259"/>
    <n v="51"/>
    <n v="2156"/>
    <x v="74"/>
  </r>
  <r>
    <d v="2002-09-11T00:00:00"/>
    <n v="911"/>
    <x v="16"/>
    <n v="2354"/>
    <n v="218"/>
    <n v="341"/>
    <n v="79"/>
    <n v="2497"/>
    <x v="68"/>
  </r>
  <r>
    <d v="2002-09-12T00:00:00"/>
    <n v="912"/>
    <x v="16"/>
    <n v="1754"/>
    <n v="179"/>
    <n v="359"/>
    <n v="66"/>
    <n v="2856"/>
    <x v="69"/>
  </r>
  <r>
    <d v="2002-09-13T00:00:00"/>
    <n v="913"/>
    <x v="16"/>
    <n v="1259"/>
    <n v="259"/>
    <n v="444"/>
    <n v="56"/>
    <n v="3300"/>
    <x v="70"/>
  </r>
  <r>
    <d v="2002-09-14T00:00:00"/>
    <n v="914"/>
    <x v="16"/>
    <n v="655"/>
    <n v="274"/>
    <n v="855"/>
    <n v="56"/>
    <n v="4155"/>
    <x v="67"/>
  </r>
  <r>
    <d v="2002-09-15T00:00:00"/>
    <n v="915"/>
    <x v="16"/>
    <n v="1131"/>
    <n v="489"/>
    <n v="841"/>
    <n v="143"/>
    <n v="4996"/>
    <x v="63"/>
  </r>
  <r>
    <d v="2002-09-16T00:00:00"/>
    <n v="916"/>
    <x v="16"/>
    <n v="1604"/>
    <n v="520"/>
    <n v="464"/>
    <n v="101"/>
    <n v="5460"/>
    <x v="64"/>
  </r>
  <r>
    <d v="2002-09-17T00:00:00"/>
    <n v="917"/>
    <x v="16"/>
    <n v="2206"/>
    <n v="288"/>
    <n v="525"/>
    <n v="105"/>
    <n v="5985"/>
    <x v="65"/>
  </r>
  <r>
    <d v="2002-09-18T00:00:00"/>
    <n v="918"/>
    <x v="16"/>
    <n v="2752"/>
    <n v="425"/>
    <n v="281"/>
    <n v="70"/>
    <n v="6266"/>
    <x v="0"/>
  </r>
  <r>
    <d v="2002-09-19T00:00:00"/>
    <n v="919"/>
    <x v="16"/>
    <n v="3128"/>
    <n v="348"/>
    <n v="722"/>
    <n v="30"/>
    <n v="6988"/>
    <x v="1"/>
  </r>
  <r>
    <d v="2002-09-20T00:00:00"/>
    <n v="920"/>
    <x v="16"/>
    <n v="3709"/>
    <n v="328"/>
    <n v="1043"/>
    <n v="55"/>
    <n v="8031"/>
    <x v="2"/>
  </r>
  <r>
    <d v="2002-09-21T00:00:00"/>
    <n v="921"/>
    <x v="16"/>
    <n v="3291"/>
    <n v="314"/>
    <n v="637"/>
    <n v="33"/>
    <n v="8668"/>
    <x v="3"/>
  </r>
  <r>
    <d v="2002-09-22T00:00:00"/>
    <n v="922"/>
    <x v="16"/>
    <n v="2611"/>
    <n v="310"/>
    <n v="392"/>
    <n v="33"/>
    <n v="9060"/>
    <x v="4"/>
  </r>
  <r>
    <d v="2002-09-23T00:00:00"/>
    <n v="923"/>
    <x v="16"/>
    <n v="2912"/>
    <n v="421"/>
    <n v="411"/>
    <n v="62"/>
    <n v="9471"/>
    <x v="5"/>
  </r>
  <r>
    <d v="2002-09-24T00:00:00"/>
    <n v="924"/>
    <x v="16"/>
    <n v="2789"/>
    <n v="401"/>
    <n v="405"/>
    <n v="48"/>
    <n v="9876"/>
    <x v="6"/>
  </r>
  <r>
    <d v="2002-09-25T00:00:00"/>
    <n v="925"/>
    <x v="16"/>
    <n v="2207"/>
    <n v="419"/>
    <n v="423"/>
    <n v="72"/>
    <n v="10299"/>
    <x v="7"/>
  </r>
  <r>
    <d v="2002-09-26T00:00:00"/>
    <n v="926"/>
    <x v="16"/>
    <n v="888"/>
    <n v="302"/>
    <n v="1138"/>
    <n v="80"/>
    <n v="11437"/>
    <x v="8"/>
  </r>
  <r>
    <d v="2002-09-27T00:00:00"/>
    <n v="927"/>
    <x v="16"/>
    <n v="947"/>
    <n v="281"/>
    <n v="620"/>
    <n v="31"/>
    <n v="12057"/>
    <x v="9"/>
  </r>
  <r>
    <d v="2002-09-28T00:00:00"/>
    <n v="928"/>
    <x v="16"/>
    <n v="888"/>
    <n v="306"/>
    <n v="608"/>
    <n v="34"/>
    <n v="12665"/>
    <x v="10"/>
  </r>
  <r>
    <d v="2002-09-29T00:00:00"/>
    <n v="929"/>
    <x v="16"/>
    <n v="1142"/>
    <n v="300"/>
    <n v="745"/>
    <n v="31"/>
    <n v="13410"/>
    <x v="11"/>
  </r>
  <r>
    <d v="2002-09-30T00:00:00"/>
    <n v="930"/>
    <x v="16"/>
    <n v="676"/>
    <n v="163"/>
    <n v="561"/>
    <n v="18"/>
    <n v="13971"/>
    <x v="12"/>
  </r>
  <r>
    <d v="2002-10-01T00:00:00"/>
    <n v="1001"/>
    <x v="16"/>
    <n v="484"/>
    <n v="151"/>
    <n v="468"/>
    <n v="41"/>
    <n v="14439"/>
    <x v="13"/>
  </r>
  <r>
    <d v="2002-10-02T00:00:00"/>
    <n v="1002"/>
    <x v="16"/>
    <n v="806"/>
    <n v="203"/>
    <n v="763"/>
    <n v="56"/>
    <n v="15202"/>
    <x v="14"/>
  </r>
  <r>
    <d v="2002-10-03T00:00:00"/>
    <n v="1003"/>
    <x v="16"/>
    <n v="1194"/>
    <n v="199"/>
    <n v="538"/>
    <n v="38"/>
    <n v="15740"/>
    <x v="15"/>
  </r>
  <r>
    <d v="2002-10-04T00:00:00"/>
    <n v="1004"/>
    <x v="16"/>
    <n v="629"/>
    <n v="103"/>
    <n v="584"/>
    <n v="29"/>
    <n v="16324"/>
    <x v="16"/>
  </r>
  <r>
    <d v="2002-10-05T00:00:00"/>
    <n v="1005"/>
    <x v="16"/>
    <n v="628"/>
    <n v="95"/>
    <n v="891"/>
    <n v="12"/>
    <n v="17215"/>
    <x v="17"/>
  </r>
  <r>
    <d v="2002-10-06T00:00:00"/>
    <n v="1006"/>
    <x v="16"/>
    <n v="914"/>
    <n v="101"/>
    <n v="873"/>
    <n v="12"/>
    <n v="18088"/>
    <x v="18"/>
  </r>
  <r>
    <d v="2002-10-07T00:00:00"/>
    <n v="1007"/>
    <x v="16"/>
    <n v="633"/>
    <n v="83"/>
    <n v="791"/>
    <n v="21"/>
    <n v="18879"/>
    <x v="19"/>
  </r>
  <r>
    <d v="2002-10-08T00:00:00"/>
    <n v="1008"/>
    <x v="16"/>
    <n v="418"/>
    <n v="70"/>
    <n v="453"/>
    <n v="14"/>
    <n v="19332"/>
    <x v="20"/>
  </r>
  <r>
    <d v="2002-10-09T00:00:00"/>
    <n v="1009"/>
    <x v="16"/>
    <n v="512"/>
    <n v="57"/>
    <n v="737"/>
    <n v="39"/>
    <n v="20069"/>
    <x v="21"/>
  </r>
  <r>
    <d v="2002-10-10T00:00:00"/>
    <n v="1010"/>
    <x v="16"/>
    <n v="746"/>
    <n v="30"/>
    <n v="937"/>
    <n v="55"/>
    <n v="21006"/>
    <x v="22"/>
  </r>
  <r>
    <d v="2002-10-11T00:00:00"/>
    <n v="1011"/>
    <x v="16"/>
    <n v="815"/>
    <n v="20"/>
    <n v="755"/>
    <n v="47"/>
    <n v="21761"/>
    <x v="23"/>
  </r>
  <r>
    <d v="2002-10-12T00:00:00"/>
    <n v="1012"/>
    <x v="16"/>
    <n v="540"/>
    <n v="13"/>
    <n v="839"/>
    <n v="65"/>
    <n v="22600"/>
    <x v="24"/>
  </r>
  <r>
    <d v="2002-10-13T00:00:00"/>
    <n v="1013"/>
    <x v="16"/>
    <n v="512"/>
    <n v="11"/>
    <n v="1069"/>
    <n v="9"/>
    <n v="23669"/>
    <x v="25"/>
  </r>
  <r>
    <d v="2002-10-14T00:00:00"/>
    <n v="1014"/>
    <x v="16"/>
    <n v="439"/>
    <n v="11"/>
    <n v="979"/>
    <n v="28"/>
    <n v="24648"/>
    <x v="26"/>
  </r>
  <r>
    <d v="2002-10-15T00:00:00"/>
    <n v="1015"/>
    <x v="16"/>
    <n v="331"/>
    <n v="14"/>
    <n v="804"/>
    <n v="32"/>
    <n v="25452"/>
    <x v="27"/>
  </r>
  <r>
    <d v="2002-10-16T00:00:00"/>
    <n v="1016"/>
    <x v="16"/>
    <n v="421"/>
    <n v="13"/>
    <n v="627"/>
    <n v="18"/>
    <n v="26079"/>
    <x v="28"/>
  </r>
  <r>
    <d v="2002-10-17T00:00:00"/>
    <n v="1017"/>
    <x v="16"/>
    <n v="452"/>
    <n v="35"/>
    <n v="691"/>
    <n v="52"/>
    <n v="26770"/>
    <x v="29"/>
  </r>
  <r>
    <d v="2002-10-18T00:00:00"/>
    <n v="1018"/>
    <x v="16"/>
    <n v="653"/>
    <n v="28"/>
    <n v="863"/>
    <n v="52"/>
    <n v="27633"/>
    <x v="30"/>
  </r>
  <r>
    <d v="2002-10-19T00:00:00"/>
    <n v="1019"/>
    <x v="16"/>
    <n v="551"/>
    <n v="24"/>
    <n v="660"/>
    <n v="62"/>
    <n v="28293"/>
    <x v="31"/>
  </r>
  <r>
    <d v="2002-10-20T00:00:00"/>
    <n v="1020"/>
    <x v="16"/>
    <n v="579"/>
    <n v="44"/>
    <n v="893"/>
    <n v="75"/>
    <n v="29186"/>
    <x v="32"/>
  </r>
  <r>
    <d v="2002-10-21T00:00:00"/>
    <n v="1021"/>
    <x v="16"/>
    <n v="453"/>
    <n v="51"/>
    <n v="653"/>
    <n v="41"/>
    <n v="29839"/>
    <x v="33"/>
  </r>
  <r>
    <d v="2002-10-22T00:00:00"/>
    <n v="1022"/>
    <x v="16"/>
    <n v="213"/>
    <n v="33"/>
    <n v="438"/>
    <n v="30"/>
    <n v="30277"/>
    <x v="34"/>
  </r>
  <r>
    <d v="2002-10-23T00:00:00"/>
    <n v="1023"/>
    <x v="16"/>
    <n v="161"/>
    <n v="19"/>
    <n v="347"/>
    <n v="19"/>
    <n v="30624"/>
    <x v="35"/>
  </r>
  <r>
    <d v="2002-10-24T00:00:00"/>
    <n v="1024"/>
    <x v="16"/>
    <n v="74"/>
    <n v="13"/>
    <n v="224"/>
    <n v="11"/>
    <n v="30848"/>
    <x v="36"/>
  </r>
  <r>
    <d v="2002-10-25T00:00:00"/>
    <n v="1025"/>
    <x v="16"/>
    <n v="85"/>
    <n v="16"/>
    <n v="258"/>
    <n v="15"/>
    <n v="31106"/>
    <x v="37"/>
  </r>
  <r>
    <d v="2002-10-26T00:00:00"/>
    <n v="1026"/>
    <x v="16"/>
    <n v="62"/>
    <n v="31"/>
    <n v="222"/>
    <n v="14"/>
    <n v="31328"/>
    <x v="38"/>
  </r>
  <r>
    <d v="2002-10-27T00:00:00"/>
    <n v="1027"/>
    <x v="16"/>
    <n v="54"/>
    <n v="21"/>
    <n v="179"/>
    <n v="12"/>
    <n v="31507"/>
    <x v="39"/>
  </r>
  <r>
    <d v="2002-10-28T00:00:00"/>
    <n v="1028"/>
    <x v="16"/>
    <n v="111"/>
    <n v="37"/>
    <n v="285"/>
    <n v="11"/>
    <n v="31792"/>
    <x v="40"/>
  </r>
  <r>
    <d v="2002-10-29T00:00:00"/>
    <n v="1029"/>
    <x v="16"/>
    <n v="65"/>
    <n v="9"/>
    <n v="160"/>
    <n v="6"/>
    <n v="31952"/>
    <x v="41"/>
  </r>
  <r>
    <d v="2002-10-30T00:00:00"/>
    <n v="1030"/>
    <x v="16"/>
    <n v="40"/>
    <n v="3"/>
    <n v="103"/>
    <n v="2"/>
    <n v="32055"/>
    <x v="42"/>
  </r>
  <r>
    <d v="2002-10-31T00:00:00"/>
    <n v="1031"/>
    <x v="16"/>
    <n v="10"/>
    <n v="2"/>
    <n v="63"/>
    <n v="0"/>
    <n v="32118"/>
    <x v="43"/>
  </r>
  <r>
    <d v="2002-11-01T00:00:00"/>
    <n v="1101"/>
    <x v="16"/>
    <n v="11"/>
    <n v="1"/>
    <n v="52"/>
    <n v="1"/>
    <n v="32170"/>
    <x v="44"/>
  </r>
  <r>
    <d v="2002-11-02T00:00:00"/>
    <n v="1102"/>
    <x v="16"/>
    <n v="5"/>
    <n v="3"/>
    <n v="26"/>
    <n v="1"/>
    <n v="32196"/>
    <x v="45"/>
  </r>
  <r>
    <d v="2002-11-03T00:00:00"/>
    <n v="1103"/>
    <x v="16"/>
    <n v="24"/>
    <n v="3"/>
    <n v="16"/>
    <n v="0"/>
    <n v="32212"/>
    <x v="46"/>
  </r>
  <r>
    <d v="2002-11-04T00:00:00"/>
    <n v="1104"/>
    <x v="16"/>
    <n v="30"/>
    <n v="0"/>
    <n v="15"/>
    <n v="1"/>
    <n v="32227"/>
    <x v="47"/>
  </r>
  <r>
    <d v="2002-11-05T00:00:00"/>
    <n v="1105"/>
    <x v="16"/>
    <n v="59"/>
    <n v="5"/>
    <n v="26"/>
    <n v="0"/>
    <n v="32253"/>
    <x v="48"/>
  </r>
  <r>
    <d v="2002-11-06T00:00:00"/>
    <n v="1106"/>
    <x v="16"/>
    <n v="362"/>
    <n v="4"/>
    <n v="79"/>
    <n v="1"/>
    <n v="32332"/>
    <x v="49"/>
  </r>
  <r>
    <d v="2002-11-07T00:00:00"/>
    <n v="1107"/>
    <x v="16"/>
    <n v="1177"/>
    <n v="21"/>
    <n v="88"/>
    <n v="9"/>
    <n v="32420"/>
    <x v="50"/>
  </r>
  <r>
    <d v="2002-11-08T00:00:00"/>
    <n v="1108"/>
    <x v="16"/>
    <n v="554"/>
    <n v="50"/>
    <n v="85"/>
    <n v="8"/>
    <n v="32505"/>
    <x v="51"/>
  </r>
  <r>
    <d v="2002-11-09T00:00:00"/>
    <n v="1109"/>
    <x v="16"/>
    <n v="601"/>
    <n v="105"/>
    <n v="155"/>
    <n v="9"/>
    <n v="32660"/>
    <x v="52"/>
  </r>
  <r>
    <d v="2002-11-10T00:00:00"/>
    <n v="1110"/>
    <x v="16"/>
    <n v="231"/>
    <n v="43"/>
    <n v="15"/>
    <n v="5"/>
    <n v="32675"/>
    <x v="53"/>
  </r>
  <r>
    <d v="2002-11-11T00:00:00"/>
    <n v="1111"/>
    <x v="16"/>
    <n v="73"/>
    <n v="24"/>
    <n v="15"/>
    <n v="4"/>
    <n v="32690"/>
    <x v="54"/>
  </r>
  <r>
    <d v="2003-09-04T00:00:00"/>
    <n v="904"/>
    <x v="17"/>
    <n v="0"/>
    <n v="0"/>
    <n v="9"/>
    <n v="2"/>
    <n v="9"/>
    <x v="77"/>
  </r>
  <r>
    <d v="2003-09-04T00:00:00"/>
    <n v="904"/>
    <x v="17"/>
    <n v="473"/>
    <n v="1"/>
    <n v="46"/>
    <n v="12"/>
    <n v="55"/>
    <x v="77"/>
  </r>
  <r>
    <d v="2003-09-04T00:00:00"/>
    <n v="904"/>
    <x v="17"/>
    <n v="30"/>
    <n v="12"/>
    <n v="12"/>
    <n v="21"/>
    <n v="67"/>
    <x v="77"/>
  </r>
  <r>
    <d v="2003-09-05T00:00:00"/>
    <n v="905"/>
    <x v="17"/>
    <n v="110"/>
    <n v="45"/>
    <n v="40"/>
    <n v="85"/>
    <n v="107"/>
    <x v="78"/>
  </r>
  <r>
    <d v="2003-09-06T00:00:00"/>
    <n v="906"/>
    <x v="17"/>
    <n v="106"/>
    <n v="50"/>
    <n v="14"/>
    <n v="42"/>
    <n v="121"/>
    <x v="79"/>
  </r>
  <r>
    <d v="2003-09-07T00:00:00"/>
    <n v="907"/>
    <x v="17"/>
    <n v="1299"/>
    <n v="81"/>
    <n v="76"/>
    <n v="89"/>
    <n v="197"/>
    <x v="71"/>
  </r>
  <r>
    <d v="2003-09-08T00:00:00"/>
    <n v="908"/>
    <x v="17"/>
    <n v="1578"/>
    <n v="82"/>
    <n v="115"/>
    <n v="99"/>
    <n v="312"/>
    <x v="72"/>
  </r>
  <r>
    <d v="2003-09-09T00:00:00"/>
    <n v="909"/>
    <x v="17"/>
    <n v="1471"/>
    <n v="95"/>
    <n v="252"/>
    <n v="188"/>
    <n v="564"/>
    <x v="73"/>
  </r>
  <r>
    <d v="2003-09-10T00:00:00"/>
    <n v="910"/>
    <x v="17"/>
    <n v="800"/>
    <n v="45"/>
    <n v="1101"/>
    <n v="52"/>
    <n v="1665"/>
    <x v="74"/>
  </r>
  <r>
    <d v="2003-09-11T00:00:00"/>
    <n v="911"/>
    <x v="17"/>
    <n v="1792"/>
    <n v="87"/>
    <n v="531"/>
    <n v="119"/>
    <n v="2196"/>
    <x v="68"/>
  </r>
  <r>
    <d v="2003-09-12T00:00:00"/>
    <n v="912"/>
    <x v="17"/>
    <n v="1459"/>
    <n v="45"/>
    <n v="782"/>
    <n v="42"/>
    <n v="2978"/>
    <x v="69"/>
  </r>
  <r>
    <d v="2003-09-13T00:00:00"/>
    <n v="913"/>
    <x v="17"/>
    <n v="1706"/>
    <n v="68"/>
    <n v="644"/>
    <n v="58"/>
    <n v="3622"/>
    <x v="70"/>
  </r>
  <r>
    <d v="2003-09-14T00:00:00"/>
    <n v="914"/>
    <x v="17"/>
    <n v="1728"/>
    <n v="65"/>
    <n v="336"/>
    <n v="54"/>
    <n v="3958"/>
    <x v="67"/>
  </r>
  <r>
    <d v="2003-09-15T00:00:00"/>
    <n v="915"/>
    <x v="17"/>
    <n v="2008"/>
    <n v="92"/>
    <n v="381"/>
    <n v="71"/>
    <n v="4339"/>
    <x v="63"/>
  </r>
  <r>
    <d v="2003-09-16T00:00:00"/>
    <n v="916"/>
    <x v="17"/>
    <n v="2320"/>
    <n v="92"/>
    <n v="287"/>
    <n v="57"/>
    <n v="4626"/>
    <x v="64"/>
  </r>
  <r>
    <d v="2003-09-17T00:00:00"/>
    <n v="917"/>
    <x v="17"/>
    <n v="2853"/>
    <n v="100"/>
    <n v="213"/>
    <n v="56"/>
    <n v="4839"/>
    <x v="65"/>
  </r>
  <r>
    <d v="2003-09-18T00:00:00"/>
    <n v="918"/>
    <x v="17"/>
    <n v="2106"/>
    <n v="90"/>
    <n v="240"/>
    <n v="75"/>
    <n v="5079"/>
    <x v="0"/>
  </r>
  <r>
    <d v="2003-09-19T00:00:00"/>
    <n v="919"/>
    <x v="17"/>
    <n v="3616"/>
    <n v="141"/>
    <n v="275"/>
    <n v="112"/>
    <n v="5354"/>
    <x v="1"/>
  </r>
  <r>
    <d v="2003-09-20T00:00:00"/>
    <n v="920"/>
    <x v="17"/>
    <n v="2685"/>
    <n v="112"/>
    <n v="367"/>
    <n v="75"/>
    <n v="5721"/>
    <x v="2"/>
  </r>
  <r>
    <d v="2003-09-21T00:00:00"/>
    <n v="921"/>
    <x v="17"/>
    <n v="3003"/>
    <n v="104"/>
    <n v="339"/>
    <n v="95"/>
    <n v="6060"/>
    <x v="3"/>
  </r>
  <r>
    <d v="2003-09-22T00:00:00"/>
    <n v="922"/>
    <x v="17"/>
    <n v="2656"/>
    <n v="81"/>
    <n v="246"/>
    <n v="60"/>
    <n v="6306"/>
    <x v="4"/>
  </r>
  <r>
    <d v="2003-09-23T00:00:00"/>
    <n v="923"/>
    <x v="17"/>
    <n v="2860"/>
    <n v="100"/>
    <n v="248"/>
    <n v="67"/>
    <n v="6554"/>
    <x v="5"/>
  </r>
  <r>
    <d v="2003-09-24T00:00:00"/>
    <n v="924"/>
    <x v="17"/>
    <n v="3553"/>
    <n v="186"/>
    <n v="501"/>
    <n v="121"/>
    <n v="7055"/>
    <x v="6"/>
  </r>
  <r>
    <d v="2003-09-25T00:00:00"/>
    <n v="925"/>
    <x v="17"/>
    <n v="1926"/>
    <n v="188"/>
    <n v="1524"/>
    <n v="156"/>
    <n v="8579"/>
    <x v="7"/>
  </r>
  <r>
    <d v="2003-09-26T00:00:00"/>
    <n v="926"/>
    <x v="17"/>
    <n v="2367"/>
    <n v="174"/>
    <n v="1240"/>
    <n v="176"/>
    <n v="9819"/>
    <x v="8"/>
  </r>
  <r>
    <d v="2003-09-27T00:00:00"/>
    <n v="927"/>
    <x v="17"/>
    <n v="1756"/>
    <n v="174"/>
    <n v="761"/>
    <n v="141"/>
    <n v="10580"/>
    <x v="9"/>
  </r>
  <r>
    <d v="2003-09-28T00:00:00"/>
    <n v="928"/>
    <x v="17"/>
    <n v="2128"/>
    <n v="224"/>
    <n v="1007"/>
    <n v="228"/>
    <n v="11587"/>
    <x v="10"/>
  </r>
  <r>
    <d v="2003-09-29T00:00:00"/>
    <n v="929"/>
    <x v="17"/>
    <n v="2430"/>
    <n v="208"/>
    <n v="2690"/>
    <n v="282"/>
    <n v="14277"/>
    <x v="11"/>
  </r>
  <r>
    <d v="2003-09-30T00:00:00"/>
    <n v="930"/>
    <x v="17"/>
    <n v="1494"/>
    <n v="187"/>
    <n v="2827"/>
    <n v="291"/>
    <n v="17104"/>
    <x v="12"/>
  </r>
  <r>
    <d v="2003-10-01T00:00:00"/>
    <n v="1001"/>
    <x v="17"/>
    <n v="2149"/>
    <n v="217"/>
    <n v="1833"/>
    <n v="198"/>
    <n v="18937"/>
    <x v="13"/>
  </r>
  <r>
    <d v="2003-10-02T00:00:00"/>
    <n v="1002"/>
    <x v="17"/>
    <n v="1988"/>
    <n v="151"/>
    <n v="1761"/>
    <n v="200"/>
    <n v="20698"/>
    <x v="14"/>
  </r>
  <r>
    <d v="2003-10-03T00:00:00"/>
    <n v="1003"/>
    <x v="17"/>
    <n v="2474"/>
    <n v="223"/>
    <n v="2483"/>
    <n v="339"/>
    <n v="23181"/>
    <x v="15"/>
  </r>
  <r>
    <d v="2003-10-04T00:00:00"/>
    <n v="1004"/>
    <x v="17"/>
    <n v="2747"/>
    <n v="163"/>
    <n v="2517"/>
    <n v="286"/>
    <n v="25698"/>
    <x v="16"/>
  </r>
  <r>
    <d v="2003-10-05T00:00:00"/>
    <n v="1005"/>
    <x v="17"/>
    <n v="2302"/>
    <n v="119"/>
    <n v="2290"/>
    <n v="284"/>
    <n v="27988"/>
    <x v="17"/>
  </r>
  <r>
    <d v="2003-10-06T00:00:00"/>
    <n v="1006"/>
    <x v="17"/>
    <n v="2610"/>
    <n v="69"/>
    <n v="707"/>
    <n v="91"/>
    <n v="28695"/>
    <x v="18"/>
  </r>
  <r>
    <d v="2003-10-07T00:00:00"/>
    <n v="1007"/>
    <x v="17"/>
    <n v="1084"/>
    <n v="34"/>
    <n v="449"/>
    <n v="20"/>
    <n v="29144"/>
    <x v="19"/>
  </r>
  <r>
    <d v="2003-10-08T00:00:00"/>
    <n v="1008"/>
    <x v="17"/>
    <n v="1382"/>
    <n v="68"/>
    <n v="2270"/>
    <n v="189"/>
    <n v="31414"/>
    <x v="20"/>
  </r>
  <r>
    <d v="2003-10-09T00:00:00"/>
    <n v="1009"/>
    <x v="17"/>
    <n v="2862"/>
    <n v="133"/>
    <n v="1922"/>
    <n v="201"/>
    <n v="33336"/>
    <x v="21"/>
  </r>
  <r>
    <d v="2003-10-10T00:00:00"/>
    <n v="1010"/>
    <x v="17"/>
    <n v="2110"/>
    <n v="125"/>
    <n v="1189"/>
    <n v="156"/>
    <n v="34525"/>
    <x v="22"/>
  </r>
  <r>
    <d v="2003-10-11T00:00:00"/>
    <n v="1011"/>
    <x v="17"/>
    <n v="662"/>
    <n v="52"/>
    <n v="497"/>
    <n v="70"/>
    <n v="35022"/>
    <x v="23"/>
  </r>
  <r>
    <d v="2003-10-12T00:00:00"/>
    <n v="1012"/>
    <x v="17"/>
    <n v="1019"/>
    <n v="12"/>
    <n v="589"/>
    <n v="112"/>
    <n v="35611"/>
    <x v="24"/>
  </r>
  <r>
    <d v="2003-10-13T00:00:00"/>
    <n v="1013"/>
    <x v="17"/>
    <n v="887"/>
    <n v="29"/>
    <n v="131"/>
    <n v="22"/>
    <n v="35742"/>
    <x v="25"/>
  </r>
  <r>
    <d v="2003-10-14T00:00:00"/>
    <n v="1014"/>
    <x v="17"/>
    <n v="374"/>
    <n v="7"/>
    <n v="92"/>
    <n v="12"/>
    <n v="35834"/>
    <x v="26"/>
  </r>
  <r>
    <d v="2003-10-15T00:00:00"/>
    <n v="1015"/>
    <x v="17"/>
    <n v="402"/>
    <n v="26"/>
    <n v="143"/>
    <n v="38"/>
    <n v="35977"/>
    <x v="27"/>
  </r>
  <r>
    <d v="2003-10-16T00:00:00"/>
    <n v="1016"/>
    <x v="17"/>
    <n v="104"/>
    <n v="14"/>
    <n v="152"/>
    <n v="18"/>
    <n v="36129"/>
    <x v="28"/>
  </r>
  <r>
    <d v="2003-10-17T00:00:00"/>
    <n v="1017"/>
    <x v="17"/>
    <n v="52"/>
    <n v="7"/>
    <n v="76"/>
    <n v="9"/>
    <n v="36205"/>
    <x v="29"/>
  </r>
  <r>
    <d v="2003-10-25T00:00:00"/>
    <n v="1025"/>
    <x v="17"/>
    <n v="114"/>
    <n v="4"/>
    <n v="118"/>
    <n v="8"/>
    <n v="36323"/>
    <x v="37"/>
  </r>
  <r>
    <d v="2003-10-26T00:00:00"/>
    <n v="1026"/>
    <x v="17"/>
    <n v="228"/>
    <n v="8"/>
    <n v="236"/>
    <n v="15"/>
    <n v="36559"/>
    <x v="38"/>
  </r>
  <r>
    <d v="2003-10-27T00:00:00"/>
    <n v="1027"/>
    <x v="17"/>
    <n v="342"/>
    <n v="13"/>
    <n v="355"/>
    <n v="22"/>
    <n v="36914"/>
    <x v="39"/>
  </r>
  <r>
    <d v="2003-10-28T00:00:00"/>
    <n v="1028"/>
    <x v="17"/>
    <n v="456"/>
    <n v="17"/>
    <n v="473"/>
    <n v="30"/>
    <n v="37387"/>
    <x v="40"/>
  </r>
  <r>
    <d v="2003-10-29T00:00:00"/>
    <n v="1029"/>
    <x v="17"/>
    <n v="462"/>
    <n v="29"/>
    <n v="614"/>
    <n v="34"/>
    <n v="38001"/>
    <x v="41"/>
  </r>
  <r>
    <d v="2003-10-30T00:00:00"/>
    <n v="1030"/>
    <x v="17"/>
    <n v="318"/>
    <n v="27"/>
    <n v="452"/>
    <n v="44"/>
    <n v="38453"/>
    <x v="42"/>
  </r>
  <r>
    <d v="2003-10-31T00:00:00"/>
    <n v="1031"/>
    <x v="17"/>
    <n v="235"/>
    <n v="29"/>
    <n v="597"/>
    <n v="58"/>
    <n v="39050"/>
    <x v="43"/>
  </r>
  <r>
    <d v="2003-11-01T00:00:00"/>
    <n v="1101"/>
    <x v="17"/>
    <n v="54"/>
    <n v="4"/>
    <n v="501"/>
    <n v="52"/>
    <n v="39551"/>
    <x v="44"/>
  </r>
  <r>
    <d v="2003-11-02T00:00:00"/>
    <n v="1102"/>
    <x v="17"/>
    <n v="42"/>
    <n v="7"/>
    <n v="275"/>
    <n v="2"/>
    <n v="39826"/>
    <x v="45"/>
  </r>
  <r>
    <d v="2003-11-03T00:00:00"/>
    <n v="1103"/>
    <x v="17"/>
    <n v="33"/>
    <n v="14"/>
    <n v="216"/>
    <n v="35"/>
    <n v="40042"/>
    <x v="46"/>
  </r>
  <r>
    <d v="2003-11-04T00:00:00"/>
    <n v="1104"/>
    <x v="17"/>
    <n v="9"/>
    <n v="6"/>
    <n v="89"/>
    <n v="24"/>
    <n v="40131"/>
    <x v="47"/>
  </r>
  <r>
    <d v="2003-11-05T00:00:00"/>
    <n v="1105"/>
    <x v="17"/>
    <n v="12"/>
    <n v="16"/>
    <n v="71"/>
    <n v="1"/>
    <n v="40202"/>
    <x v="48"/>
  </r>
  <r>
    <d v="2003-11-06T00:00:00"/>
    <n v="1106"/>
    <x v="17"/>
    <n v="4"/>
    <n v="5"/>
    <n v="26"/>
    <n v="0"/>
    <n v="40228"/>
    <x v="49"/>
  </r>
  <r>
    <d v="2004-09-09T00:00:00"/>
    <n v="909"/>
    <x v="18"/>
    <n v="3512"/>
    <n v="6"/>
    <n v="2947"/>
    <n v="112"/>
    <n v="2947"/>
    <x v="73"/>
  </r>
  <r>
    <d v="2004-09-09T00:00:00"/>
    <n v="909"/>
    <x v="18"/>
    <n v="573"/>
    <n v="72"/>
    <n v="241"/>
    <n v="40"/>
    <n v="3188"/>
    <x v="73"/>
  </r>
  <r>
    <d v="2004-09-10T00:00:00"/>
    <n v="910"/>
    <x v="18"/>
    <n v="574"/>
    <n v="80"/>
    <n v="378"/>
    <n v="25"/>
    <n v="3566"/>
    <x v="74"/>
  </r>
  <r>
    <d v="2004-09-11T00:00:00"/>
    <n v="911"/>
    <x v="18"/>
    <n v="4713"/>
    <n v="313"/>
    <n v="5361"/>
    <n v="160"/>
    <n v="8927"/>
    <x v="68"/>
  </r>
  <r>
    <d v="2004-09-12T00:00:00"/>
    <n v="912"/>
    <x v="18"/>
    <n v="3748"/>
    <n v="300"/>
    <n v="3466"/>
    <n v="206"/>
    <n v="12393"/>
    <x v="69"/>
  </r>
  <r>
    <d v="2004-09-13T00:00:00"/>
    <n v="913"/>
    <x v="18"/>
    <n v="753"/>
    <n v="46"/>
    <n v="360"/>
    <n v="17"/>
    <n v="12753"/>
    <x v="70"/>
  </r>
  <r>
    <d v="2004-09-14T00:00:00"/>
    <n v="914"/>
    <x v="18"/>
    <n v="244"/>
    <n v="51"/>
    <n v="161"/>
    <n v="12"/>
    <n v="12914"/>
    <x v="67"/>
  </r>
  <r>
    <d v="2004-09-15T00:00:00"/>
    <n v="915"/>
    <x v="18"/>
    <n v="468"/>
    <n v="47"/>
    <n v="243"/>
    <n v="11"/>
    <n v="13157"/>
    <x v="63"/>
  </r>
  <r>
    <d v="2004-09-16T00:00:00"/>
    <n v="916"/>
    <x v="18"/>
    <n v="149"/>
    <n v="26"/>
    <n v="93"/>
    <n v="4"/>
    <n v="13250"/>
    <x v="64"/>
  </r>
  <r>
    <d v="2004-09-17T00:00:00"/>
    <n v="917"/>
    <x v="18"/>
    <n v="230"/>
    <n v="50"/>
    <n v="109"/>
    <n v="0"/>
    <n v="13359"/>
    <x v="65"/>
  </r>
  <r>
    <d v="2004-09-18T00:00:00"/>
    <n v="918"/>
    <x v="18"/>
    <n v="212"/>
    <n v="70"/>
    <n v="192"/>
    <n v="7"/>
    <n v="13551"/>
    <x v="0"/>
  </r>
  <r>
    <d v="2004-09-19T00:00:00"/>
    <n v="919"/>
    <x v="18"/>
    <n v="230"/>
    <n v="39"/>
    <n v="123"/>
    <n v="5"/>
    <n v="13674"/>
    <x v="1"/>
  </r>
  <r>
    <d v="2004-09-20T00:00:00"/>
    <n v="920"/>
    <x v="18"/>
    <n v="381"/>
    <n v="86"/>
    <n v="153"/>
    <n v="11"/>
    <n v="13827"/>
    <x v="2"/>
  </r>
  <r>
    <d v="2004-09-21T00:00:00"/>
    <n v="921"/>
    <x v="18"/>
    <n v="551"/>
    <n v="126"/>
    <n v="221"/>
    <n v="17"/>
    <n v="14048"/>
    <x v="3"/>
  </r>
  <r>
    <d v="2004-09-22T00:00:00"/>
    <n v="922"/>
    <x v="18"/>
    <n v="478"/>
    <n v="127"/>
    <n v="173"/>
    <n v="9"/>
    <n v="14221"/>
    <x v="4"/>
  </r>
  <r>
    <d v="2004-09-23T00:00:00"/>
    <n v="923"/>
    <x v="18"/>
    <n v="459"/>
    <n v="139"/>
    <n v="186"/>
    <n v="14"/>
    <n v="14407"/>
    <x v="5"/>
  </r>
  <r>
    <d v="2004-09-24T00:00:00"/>
    <n v="924"/>
    <x v="18"/>
    <n v="390"/>
    <n v="127"/>
    <n v="143"/>
    <n v="1"/>
    <n v="14550"/>
    <x v="6"/>
  </r>
  <r>
    <d v="2004-09-25T00:00:00"/>
    <n v="925"/>
    <x v="18"/>
    <n v="616"/>
    <n v="251"/>
    <n v="220"/>
    <n v="17"/>
    <n v="14770"/>
    <x v="7"/>
  </r>
  <r>
    <d v="2004-09-26T00:00:00"/>
    <n v="926"/>
    <x v="18"/>
    <n v="629"/>
    <n v="289"/>
    <n v="178"/>
    <n v="14"/>
    <n v="14948"/>
    <x v="8"/>
  </r>
  <r>
    <d v="2004-09-27T00:00:00"/>
    <n v="927"/>
    <x v="18"/>
    <n v="879"/>
    <n v="291"/>
    <n v="292"/>
    <n v="26"/>
    <n v="15240"/>
    <x v="9"/>
  </r>
  <r>
    <d v="2004-09-28T00:00:00"/>
    <n v="928"/>
    <x v="18"/>
    <n v="1000"/>
    <n v="363"/>
    <n v="371"/>
    <n v="23"/>
    <n v="15611"/>
    <x v="10"/>
  </r>
  <r>
    <d v="2004-09-29T00:00:00"/>
    <n v="929"/>
    <x v="18"/>
    <n v="1113"/>
    <n v="420"/>
    <n v="656"/>
    <n v="44"/>
    <n v="16267"/>
    <x v="11"/>
  </r>
  <r>
    <d v="2004-09-30T00:00:00"/>
    <n v="930"/>
    <x v="18"/>
    <n v="949"/>
    <n v="359"/>
    <n v="1083"/>
    <n v="79"/>
    <n v="17350"/>
    <x v="12"/>
  </r>
  <r>
    <d v="2004-10-01T00:00:00"/>
    <n v="1001"/>
    <x v="18"/>
    <n v="808"/>
    <n v="238"/>
    <n v="916"/>
    <n v="42"/>
    <n v="18266"/>
    <x v="13"/>
  </r>
  <r>
    <d v="2004-10-02T00:00:00"/>
    <n v="1002"/>
    <x v="18"/>
    <n v="600"/>
    <n v="219"/>
    <n v="483"/>
    <n v="11"/>
    <n v="18749"/>
    <x v="14"/>
  </r>
  <r>
    <d v="2004-10-03T00:00:00"/>
    <n v="1003"/>
    <x v="18"/>
    <n v="650"/>
    <n v="246"/>
    <n v="548"/>
    <n v="14"/>
    <n v="19297"/>
    <x v="15"/>
  </r>
  <r>
    <d v="2004-10-04T00:00:00"/>
    <n v="1004"/>
    <x v="18"/>
    <n v="798"/>
    <n v="266"/>
    <n v="668"/>
    <n v="31"/>
    <n v="19965"/>
    <x v="16"/>
  </r>
  <r>
    <d v="2004-10-05T00:00:00"/>
    <n v="1005"/>
    <x v="18"/>
    <n v="432"/>
    <n v="137"/>
    <n v="1094"/>
    <n v="43"/>
    <n v="21059"/>
    <x v="17"/>
  </r>
  <r>
    <d v="2004-10-06T00:00:00"/>
    <n v="1006"/>
    <x v="18"/>
    <n v="1109"/>
    <n v="373"/>
    <n v="2267"/>
    <n v="107"/>
    <n v="23326"/>
    <x v="18"/>
  </r>
  <r>
    <d v="2004-10-07T00:00:00"/>
    <n v="1007"/>
    <x v="18"/>
    <n v="886"/>
    <n v="197"/>
    <n v="2874"/>
    <n v="123"/>
    <n v="26200"/>
    <x v="19"/>
  </r>
  <r>
    <d v="2004-10-08T00:00:00"/>
    <n v="1008"/>
    <x v="18"/>
    <n v="789"/>
    <n v="103"/>
    <n v="4478"/>
    <n v="169"/>
    <n v="30678"/>
    <x v="20"/>
  </r>
  <r>
    <d v="2004-10-09T00:00:00"/>
    <n v="1009"/>
    <x v="18"/>
    <n v="780"/>
    <n v="106"/>
    <n v="1253"/>
    <n v="40"/>
    <n v="31931"/>
    <x v="21"/>
  </r>
  <r>
    <d v="2004-10-10T00:00:00"/>
    <n v="1010"/>
    <x v="18"/>
    <n v="437"/>
    <n v="84"/>
    <n v="1027"/>
    <n v="29"/>
    <n v="32958"/>
    <x v="22"/>
  </r>
  <r>
    <d v="2004-10-11T00:00:00"/>
    <n v="1011"/>
    <x v="18"/>
    <n v="340"/>
    <n v="56"/>
    <n v="1038"/>
    <n v="42"/>
    <n v="33996"/>
    <x v="23"/>
  </r>
  <r>
    <d v="2004-10-12T00:00:00"/>
    <n v="1012"/>
    <x v="18"/>
    <n v="478"/>
    <n v="94"/>
    <n v="1786"/>
    <n v="68"/>
    <n v="35782"/>
    <x v="24"/>
  </r>
  <r>
    <d v="2004-10-13T00:00:00"/>
    <n v="1013"/>
    <x v="18"/>
    <n v="660"/>
    <n v="79"/>
    <n v="2080"/>
    <n v="87"/>
    <n v="37862"/>
    <x v="25"/>
  </r>
  <r>
    <d v="2004-10-14T00:00:00"/>
    <n v="1014"/>
    <x v="18"/>
    <n v="893"/>
    <n v="68"/>
    <n v="3309"/>
    <n v="126"/>
    <n v="41171"/>
    <x v="26"/>
  </r>
  <r>
    <d v="2004-10-15T00:00:00"/>
    <n v="1015"/>
    <x v="18"/>
    <n v="390"/>
    <n v="37"/>
    <n v="2393"/>
    <n v="81"/>
    <n v="43564"/>
    <x v="27"/>
  </r>
  <r>
    <d v="2004-10-16T00:00:00"/>
    <n v="1016"/>
    <x v="18"/>
    <n v="666"/>
    <n v="72"/>
    <n v="3546"/>
    <n v="181"/>
    <n v="47110"/>
    <x v="28"/>
  </r>
  <r>
    <d v="2004-10-17T00:00:00"/>
    <n v="1017"/>
    <x v="18"/>
    <n v="209"/>
    <n v="29"/>
    <n v="977"/>
    <n v="26"/>
    <n v="48087"/>
    <x v="29"/>
  </r>
  <r>
    <d v="2004-10-18T00:00:00"/>
    <n v="1018"/>
    <x v="18"/>
    <n v="141"/>
    <n v="24"/>
    <n v="1019"/>
    <n v="12"/>
    <n v="49106"/>
    <x v="30"/>
  </r>
  <r>
    <d v="2004-10-19T00:00:00"/>
    <n v="1019"/>
    <x v="18"/>
    <n v="160"/>
    <n v="24"/>
    <n v="1713"/>
    <n v="28"/>
    <n v="50819"/>
    <x v="31"/>
  </r>
  <r>
    <d v="2004-10-20T00:00:00"/>
    <n v="1020"/>
    <x v="18"/>
    <n v="424"/>
    <n v="30"/>
    <n v="968"/>
    <n v="20"/>
    <n v="51787"/>
    <x v="32"/>
  </r>
  <r>
    <d v="2004-10-21T00:00:00"/>
    <n v="1021"/>
    <x v="18"/>
    <n v="159"/>
    <n v="16"/>
    <n v="1299"/>
    <n v="41"/>
    <n v="53086"/>
    <x v="33"/>
  </r>
  <r>
    <d v="2004-10-22T00:00:00"/>
    <n v="1022"/>
    <x v="18"/>
    <n v="31"/>
    <n v="3"/>
    <n v="1180"/>
    <n v="13"/>
    <n v="54266"/>
    <x v="34"/>
  </r>
  <r>
    <d v="2004-10-23T00:00:00"/>
    <n v="1023"/>
    <x v="18"/>
    <n v="46"/>
    <n v="6"/>
    <n v="1085"/>
    <n v="25"/>
    <n v="55351"/>
    <x v="35"/>
  </r>
  <r>
    <d v="2004-10-24T00:00:00"/>
    <n v="1024"/>
    <x v="18"/>
    <n v="56"/>
    <n v="9"/>
    <n v="1321"/>
    <n v="47"/>
    <n v="56672"/>
    <x v="36"/>
  </r>
  <r>
    <d v="2004-10-25T00:00:00"/>
    <n v="1025"/>
    <x v="18"/>
    <n v="9"/>
    <n v="0"/>
    <n v="173"/>
    <n v="1"/>
    <n v="56845"/>
    <x v="37"/>
  </r>
  <r>
    <d v="2004-10-26T00:00:00"/>
    <n v="1026"/>
    <x v="18"/>
    <n v="315"/>
    <n v="14"/>
    <n v="827"/>
    <n v="24"/>
    <n v="57672"/>
    <x v="38"/>
  </r>
  <r>
    <d v="2004-10-27T00:00:00"/>
    <n v="1027"/>
    <x v="18"/>
    <n v="260"/>
    <n v="12"/>
    <n v="658"/>
    <n v="17"/>
    <n v="58330"/>
    <x v="39"/>
  </r>
  <r>
    <d v="2004-10-28T00:00:00"/>
    <n v="1028"/>
    <x v="18"/>
    <n v="150"/>
    <n v="15"/>
    <n v="1305"/>
    <n v="11"/>
    <n v="59635"/>
    <x v="40"/>
  </r>
  <r>
    <d v="2004-10-29T00:00:00"/>
    <n v="1029"/>
    <x v="18"/>
    <n v="65"/>
    <n v="6"/>
    <n v="1171"/>
    <n v="33"/>
    <n v="60806"/>
    <x v="41"/>
  </r>
  <r>
    <d v="2004-10-30T00:00:00"/>
    <n v="1030"/>
    <x v="18"/>
    <n v="45"/>
    <n v="5"/>
    <n v="516"/>
    <n v="15"/>
    <n v="61322"/>
    <x v="42"/>
  </r>
  <r>
    <d v="2004-10-31T00:00:00"/>
    <n v="1031"/>
    <x v="18"/>
    <n v="62"/>
    <n v="8"/>
    <n v="675"/>
    <n v="20"/>
    <n v="61997"/>
    <x v="43"/>
  </r>
  <r>
    <d v="2004-11-01T00:00:00"/>
    <n v="1101"/>
    <x v="18"/>
    <n v="20"/>
    <n v="4"/>
    <n v="627"/>
    <n v="35"/>
    <n v="62624"/>
    <x v="44"/>
  </r>
  <r>
    <d v="2004-11-02T00:00:00"/>
    <n v="1102"/>
    <x v="18"/>
    <n v="3"/>
    <n v="2"/>
    <n v="384"/>
    <n v="9"/>
    <n v="63008"/>
    <x v="45"/>
  </r>
  <r>
    <d v="2004-11-03T00:00:00"/>
    <n v="1103"/>
    <x v="18"/>
    <n v="36"/>
    <n v="3"/>
    <n v="308"/>
    <n v="3"/>
    <n v="63316"/>
    <x v="46"/>
  </r>
  <r>
    <d v="2004-11-04T00:00:00"/>
    <n v="1104"/>
    <x v="18"/>
    <n v="58"/>
    <n v="18"/>
    <n v="367"/>
    <n v="8"/>
    <n v="63683"/>
    <x v="47"/>
  </r>
  <r>
    <d v="2004-11-05T00:00:00"/>
    <n v="1105"/>
    <x v="18"/>
    <n v="94"/>
    <n v="17"/>
    <n v="466"/>
    <n v="10"/>
    <n v="64149"/>
    <x v="48"/>
  </r>
  <r>
    <d v="2004-11-06T00:00:00"/>
    <n v="1106"/>
    <x v="18"/>
    <n v="39"/>
    <n v="9"/>
    <n v="341"/>
    <n v="28"/>
    <n v="64490"/>
    <x v="49"/>
  </r>
  <r>
    <d v="2004-11-07T00:00:00"/>
    <n v="1107"/>
    <x v="18"/>
    <n v="140"/>
    <n v="9"/>
    <n v="98"/>
    <n v="5"/>
    <n v="64588"/>
    <x v="50"/>
  </r>
  <r>
    <d v="2004-11-08T00:00:00"/>
    <n v="1108"/>
    <x v="18"/>
    <n v="420"/>
    <n v="19"/>
    <n v="40"/>
    <n v="1"/>
    <n v="64628"/>
    <x v="51"/>
  </r>
  <r>
    <d v="2004-11-09T00:00:00"/>
    <n v="1109"/>
    <x v="18"/>
    <n v="243"/>
    <n v="18"/>
    <n v="33"/>
    <n v="0"/>
    <n v="64661"/>
    <x v="52"/>
  </r>
  <r>
    <d v="2004-11-10T00:00:00"/>
    <n v="1110"/>
    <x v="18"/>
    <n v="145"/>
    <n v="9"/>
    <n v="51"/>
    <n v="2"/>
    <n v="64712"/>
    <x v="53"/>
  </r>
  <r>
    <d v="2004-11-11T00:00:00"/>
    <n v="1111"/>
    <x v="18"/>
    <n v="108"/>
    <n v="23"/>
    <n v="29"/>
    <n v="2"/>
    <n v="64741"/>
    <x v="54"/>
  </r>
  <r>
    <d v="2004-11-12T00:00:00"/>
    <n v="1112"/>
    <x v="18"/>
    <n v="50"/>
    <n v="16"/>
    <n v="28"/>
    <n v="1"/>
    <n v="64769"/>
    <x v="55"/>
  </r>
  <r>
    <d v="2004-11-13T00:00:00"/>
    <n v="1113"/>
    <x v="18"/>
    <n v="29"/>
    <n v="11"/>
    <n v="23"/>
    <n v="0"/>
    <n v="64792"/>
    <x v="56"/>
  </r>
  <r>
    <d v="2004-11-14T00:00:00"/>
    <n v="1114"/>
    <x v="18"/>
    <n v="6"/>
    <n v="5"/>
    <n v="16"/>
    <n v="2"/>
    <n v="64808"/>
    <x v="57"/>
  </r>
  <r>
    <d v="2005-09-07T00:00:00"/>
    <n v="907"/>
    <x v="19"/>
    <n v="191"/>
    <n v="0"/>
    <n v="0"/>
    <n v="0"/>
    <n v="0"/>
    <x v="71"/>
  </r>
  <r>
    <d v="2005-09-08T00:00:00"/>
    <n v="908"/>
    <x v="19"/>
    <n v="727"/>
    <m/>
    <n v="1747"/>
    <n v="74"/>
    <n v="1747"/>
    <x v="72"/>
  </r>
  <r>
    <d v="2005-09-08T00:00:00"/>
    <n v="908"/>
    <x v="19"/>
    <n v="190"/>
    <n v="10"/>
    <n v="185"/>
    <n v="54"/>
    <n v="1932"/>
    <x v="72"/>
  </r>
  <r>
    <d v="2005-09-09T00:00:00"/>
    <n v="909"/>
    <x v="19"/>
    <n v="451"/>
    <n v="21"/>
    <n v="437"/>
    <n v="175"/>
    <n v="2369"/>
    <x v="73"/>
  </r>
  <r>
    <d v="2005-09-10T00:00:00"/>
    <n v="910"/>
    <x v="19"/>
    <n v="646"/>
    <n v="26"/>
    <n v="289"/>
    <n v="116"/>
    <n v="2658"/>
    <x v="74"/>
  </r>
  <r>
    <d v="2005-09-11T00:00:00"/>
    <n v="911"/>
    <x v="19"/>
    <n v="471"/>
    <n v="75"/>
    <n v="362"/>
    <n v="103"/>
    <n v="3020"/>
    <x v="68"/>
  </r>
  <r>
    <d v="2005-09-12T00:00:00"/>
    <n v="912"/>
    <x v="19"/>
    <n v="725"/>
    <n v="84"/>
    <n v="291"/>
    <n v="120"/>
    <n v="3311"/>
    <x v="69"/>
  </r>
  <r>
    <d v="2005-09-13T00:00:00"/>
    <n v="913"/>
    <x v="19"/>
    <n v="2150"/>
    <n v="93"/>
    <n v="415"/>
    <n v="135"/>
    <n v="3726"/>
    <x v="70"/>
  </r>
  <r>
    <d v="2005-09-14T00:00:00"/>
    <n v="914"/>
    <x v="19"/>
    <n v="1744"/>
    <n v="38"/>
    <n v="400"/>
    <n v="193"/>
    <n v="4126"/>
    <x v="67"/>
  </r>
  <r>
    <d v="2005-09-15T00:00:00"/>
    <n v="915"/>
    <x v="19"/>
    <n v="2161"/>
    <n v="48"/>
    <n v="300"/>
    <n v="121"/>
    <n v="4426"/>
    <x v="63"/>
  </r>
  <r>
    <d v="2005-09-16T00:00:00"/>
    <n v="916"/>
    <x v="19"/>
    <n v="1510"/>
    <n v="33"/>
    <n v="287"/>
    <n v="111"/>
    <n v="4713"/>
    <x v="64"/>
  </r>
  <r>
    <d v="2005-09-17T00:00:00"/>
    <n v="917"/>
    <x v="19"/>
    <n v="1768"/>
    <n v="47"/>
    <n v="407"/>
    <n v="167"/>
    <n v="5120"/>
    <x v="65"/>
  </r>
  <r>
    <d v="2005-09-18T00:00:00"/>
    <n v="918"/>
    <x v="19"/>
    <n v="1856"/>
    <n v="65"/>
    <n v="404"/>
    <n v="222"/>
    <n v="5524"/>
    <x v="0"/>
  </r>
  <r>
    <d v="2005-09-19T00:00:00"/>
    <n v="919"/>
    <x v="19"/>
    <n v="2017"/>
    <n v="93"/>
    <n v="468"/>
    <n v="202"/>
    <n v="5992"/>
    <x v="1"/>
  </r>
  <r>
    <d v="2005-09-20T00:00:00"/>
    <n v="920"/>
    <x v="19"/>
    <n v="2012"/>
    <n v="105"/>
    <n v="723"/>
    <n v="217"/>
    <n v="6715"/>
    <x v="2"/>
  </r>
  <r>
    <d v="2005-09-21T00:00:00"/>
    <n v="921"/>
    <x v="19"/>
    <n v="1748"/>
    <n v="100"/>
    <n v="1461"/>
    <n v="238"/>
    <n v="8176"/>
    <x v="3"/>
  </r>
  <r>
    <d v="2005-09-22T00:00:00"/>
    <n v="922"/>
    <x v="19"/>
    <n v="2109"/>
    <n v="59"/>
    <n v="599"/>
    <n v="82"/>
    <n v="8775"/>
    <x v="4"/>
  </r>
  <r>
    <d v="2005-09-23T00:00:00"/>
    <n v="923"/>
    <x v="19"/>
    <n v="1934"/>
    <n v="67"/>
    <n v="392"/>
    <n v="76"/>
    <n v="9167"/>
    <x v="5"/>
  </r>
  <r>
    <d v="2005-09-24T00:00:00"/>
    <n v="924"/>
    <x v="19"/>
    <n v="2248"/>
    <n v="88"/>
    <n v="400"/>
    <n v="103"/>
    <n v="9567"/>
    <x v="6"/>
  </r>
  <r>
    <d v="2005-09-25T00:00:00"/>
    <n v="925"/>
    <x v="19"/>
    <n v="2262"/>
    <n v="97"/>
    <n v="438"/>
    <n v="126"/>
    <n v="10005"/>
    <x v="7"/>
  </r>
  <r>
    <d v="2005-09-26T00:00:00"/>
    <n v="926"/>
    <x v="19"/>
    <n v="2322"/>
    <n v="94"/>
    <n v="282"/>
    <n v="75"/>
    <n v="10287"/>
    <x v="8"/>
  </r>
  <r>
    <d v="2005-09-27T00:00:00"/>
    <n v="927"/>
    <x v="19"/>
    <n v="2322"/>
    <n v="99"/>
    <n v="329"/>
    <n v="122"/>
    <n v="10616"/>
    <x v="9"/>
  </r>
  <r>
    <d v="2005-09-28T00:00:00"/>
    <n v="928"/>
    <x v="19"/>
    <n v="2047"/>
    <n v="72"/>
    <n v="441"/>
    <n v="116"/>
    <n v="11057"/>
    <x v="10"/>
  </r>
  <r>
    <d v="2005-09-29T00:00:00"/>
    <n v="929"/>
    <x v="19"/>
    <n v="2075"/>
    <n v="115"/>
    <n v="518"/>
    <n v="201"/>
    <n v="11575"/>
    <x v="11"/>
  </r>
  <r>
    <d v="2005-09-30T00:00:00"/>
    <n v="930"/>
    <x v="19"/>
    <n v="3540"/>
    <n v="70"/>
    <n v="1049"/>
    <n v="153"/>
    <n v="12624"/>
    <x v="12"/>
  </r>
  <r>
    <d v="2005-10-01T00:00:00"/>
    <n v="1001"/>
    <x v="19"/>
    <n v="2400"/>
    <n v="47"/>
    <n v="918"/>
    <n v="118"/>
    <n v="13542"/>
    <x v="13"/>
  </r>
  <r>
    <d v="2005-10-02T00:00:00"/>
    <n v="1002"/>
    <x v="19"/>
    <n v="1368"/>
    <n v="26"/>
    <n v="673"/>
    <n v="132"/>
    <n v="14215"/>
    <x v="14"/>
  </r>
  <r>
    <d v="2005-10-03T00:00:00"/>
    <n v="1003"/>
    <x v="19"/>
    <n v="1989"/>
    <n v="19"/>
    <n v="344"/>
    <n v="61"/>
    <n v="14559"/>
    <x v="15"/>
  </r>
  <r>
    <d v="2005-10-04T00:00:00"/>
    <n v="1004"/>
    <x v="19"/>
    <n v="1622"/>
    <n v="46"/>
    <n v="555"/>
    <n v="78"/>
    <n v="15114"/>
    <x v="16"/>
  </r>
  <r>
    <d v="2005-10-05T00:00:00"/>
    <n v="1005"/>
    <x v="19"/>
    <n v="1183"/>
    <n v="38"/>
    <n v="744"/>
    <n v="117"/>
    <n v="15858"/>
    <x v="17"/>
  </r>
  <r>
    <d v="2005-10-06T00:00:00"/>
    <n v="1006"/>
    <x v="19"/>
    <n v="1448"/>
    <n v="60"/>
    <n v="1103"/>
    <n v="183"/>
    <n v="16961"/>
    <x v="18"/>
  </r>
  <r>
    <d v="2005-10-07T00:00:00"/>
    <n v="1007"/>
    <x v="19"/>
    <n v="1005"/>
    <n v="50"/>
    <n v="1105"/>
    <n v="207"/>
    <n v="18066"/>
    <x v="19"/>
  </r>
  <r>
    <d v="2005-10-08T00:00:00"/>
    <n v="1008"/>
    <x v="19"/>
    <n v="794"/>
    <n v="22"/>
    <n v="615"/>
    <n v="103"/>
    <n v="18681"/>
    <x v="20"/>
  </r>
  <r>
    <d v="2005-10-09T00:00:00"/>
    <n v="1009"/>
    <x v="19"/>
    <n v="705"/>
    <n v="10"/>
    <n v="609"/>
    <n v="130"/>
    <n v="19290"/>
    <x v="21"/>
  </r>
  <r>
    <d v="2005-10-10T00:00:00"/>
    <n v="1010"/>
    <x v="19"/>
    <n v="350"/>
    <n v="11"/>
    <n v="692"/>
    <n v="133"/>
    <n v="19982"/>
    <x v="22"/>
  </r>
  <r>
    <d v="2005-10-11T00:00:00"/>
    <n v="1011"/>
    <x v="19"/>
    <n v="1108"/>
    <n v="23"/>
    <n v="1686"/>
    <n v="286"/>
    <n v="21668"/>
    <x v="23"/>
  </r>
  <r>
    <d v="2005-10-12T00:00:00"/>
    <n v="1012"/>
    <x v="19"/>
    <n v="622"/>
    <n v="46"/>
    <n v="1646"/>
    <n v="304"/>
    <n v="23314"/>
    <x v="24"/>
  </r>
  <r>
    <d v="2005-10-13T00:00:00"/>
    <n v="1013"/>
    <x v="19"/>
    <n v="109"/>
    <n v="4"/>
    <n v="76"/>
    <n v="4"/>
    <n v="23390"/>
    <x v="25"/>
  </r>
  <r>
    <d v="2005-10-14T00:00:00"/>
    <n v="1014"/>
    <x v="19"/>
    <n v="284"/>
    <n v="24"/>
    <n v="591"/>
    <n v="148"/>
    <n v="23981"/>
    <x v="26"/>
  </r>
  <r>
    <d v="2005-10-18T00:00:00"/>
    <n v="1018"/>
    <x v="19"/>
    <n v="244"/>
    <n v="5"/>
    <n v="278"/>
    <n v="37"/>
    <n v="24259"/>
    <x v="30"/>
  </r>
  <r>
    <d v="2005-10-19T00:00:00"/>
    <n v="1019"/>
    <x v="19"/>
    <n v="727"/>
    <n v="10"/>
    <n v="405"/>
    <n v="64"/>
    <n v="24664"/>
    <x v="31"/>
  </r>
  <r>
    <d v="2005-10-20T00:00:00"/>
    <n v="1020"/>
    <x v="19"/>
    <n v="674"/>
    <n v="15"/>
    <n v="583"/>
    <n v="96"/>
    <n v="25247"/>
    <x v="32"/>
  </r>
  <r>
    <d v="2005-10-21T00:00:00"/>
    <n v="1021"/>
    <x v="19"/>
    <n v="301"/>
    <n v="9"/>
    <n v="635"/>
    <n v="48"/>
    <n v="25882"/>
    <x v="33"/>
  </r>
  <r>
    <d v="2005-10-22T00:00:00"/>
    <n v="1022"/>
    <x v="19"/>
    <n v="225"/>
    <n v="4"/>
    <n v="590"/>
    <n v="46"/>
    <n v="26472"/>
    <x v="34"/>
  </r>
  <r>
    <d v="2005-10-23T00:00:00"/>
    <n v="1023"/>
    <x v="19"/>
    <n v="252"/>
    <n v="14"/>
    <n v="633"/>
    <n v="53"/>
    <n v="27105"/>
    <x v="35"/>
  </r>
  <r>
    <d v="2005-10-24T00:00:00"/>
    <n v="1024"/>
    <x v="19"/>
    <n v="287"/>
    <n v="9"/>
    <n v="584"/>
    <n v="46"/>
    <n v="27689"/>
    <x v="36"/>
  </r>
  <r>
    <d v="2005-10-25T00:00:00"/>
    <n v="1025"/>
    <x v="19"/>
    <n v="215"/>
    <n v="8"/>
    <n v="588"/>
    <n v="46"/>
    <n v="28277"/>
    <x v="37"/>
  </r>
  <r>
    <d v="2005-10-26T00:00:00"/>
    <n v="1026"/>
    <x v="19"/>
    <n v="52"/>
    <n v="1"/>
    <n v="233"/>
    <n v="17"/>
    <n v="28510"/>
    <x v="38"/>
  </r>
  <r>
    <d v="2005-10-27T00:00:00"/>
    <n v="1027"/>
    <x v="19"/>
    <n v="66"/>
    <n v="4"/>
    <n v="131"/>
    <n v="11"/>
    <n v="28641"/>
    <x v="39"/>
  </r>
  <r>
    <d v="2005-10-28T00:00:00"/>
    <n v="1028"/>
    <x v="19"/>
    <n v="48"/>
    <n v="4"/>
    <n v="126"/>
    <n v="13"/>
    <n v="28767"/>
    <x v="40"/>
  </r>
  <r>
    <d v="2005-10-29T00:00:00"/>
    <n v="1029"/>
    <x v="19"/>
    <n v="149"/>
    <n v="2"/>
    <n v="116"/>
    <n v="14"/>
    <n v="28883"/>
    <x v="41"/>
  </r>
  <r>
    <d v="2005-10-30T00:00:00"/>
    <n v="1030"/>
    <x v="19"/>
    <n v="90"/>
    <n v="2"/>
    <n v="44"/>
    <n v="11"/>
    <n v="28927"/>
    <x v="42"/>
  </r>
  <r>
    <d v="2005-10-31T00:00:00"/>
    <n v="1031"/>
    <x v="19"/>
    <n v="21"/>
    <n v="0"/>
    <n v="6"/>
    <n v="2"/>
    <n v="28933"/>
    <x v="43"/>
  </r>
  <r>
    <d v="2005-11-01T00:00:00"/>
    <n v="1101"/>
    <x v="19"/>
    <n v="19"/>
    <n v="1"/>
    <n v="1"/>
    <n v="0"/>
    <n v="28934"/>
    <x v="44"/>
  </r>
  <r>
    <d v="2005-11-02T00:00:00"/>
    <n v="1102"/>
    <x v="19"/>
    <n v="32"/>
    <n v="2"/>
    <n v="1"/>
    <n v="2"/>
    <n v="28935"/>
    <x v="45"/>
  </r>
  <r>
    <d v="2005-11-03T00:00:00"/>
    <n v="1103"/>
    <x v="19"/>
    <n v="16"/>
    <n v="0"/>
    <n v="0"/>
    <n v="0"/>
    <n v="28935"/>
    <x v="46"/>
  </r>
  <r>
    <d v="2005-11-04T00:00:00"/>
    <n v="1104"/>
    <x v="19"/>
    <n v="7"/>
    <n v="0"/>
    <n v="0"/>
    <n v="0"/>
    <n v="28935"/>
    <x v="47"/>
  </r>
  <r>
    <d v="2005-11-05T00:00:00"/>
    <n v="1105"/>
    <x v="19"/>
    <n v="2"/>
    <n v="1"/>
    <n v="0"/>
    <n v="1"/>
    <n v="28935"/>
    <x v="48"/>
  </r>
  <r>
    <d v="2006-09-07T00:00:00"/>
    <n v="907"/>
    <x v="20"/>
    <n v="391"/>
    <n v="50"/>
    <n v="950"/>
    <n v="82"/>
    <n v="950"/>
    <x v="71"/>
  </r>
  <r>
    <d v="2006-09-07T00:00:00"/>
    <n v="907"/>
    <x v="20"/>
    <n v="13"/>
    <n v="24"/>
    <n v="69"/>
    <n v="8"/>
    <n v="1019"/>
    <x v="71"/>
  </r>
  <r>
    <d v="2006-09-08T00:00:00"/>
    <n v="908"/>
    <x v="20"/>
    <n v="91"/>
    <n v="75"/>
    <n v="126"/>
    <n v="10"/>
    <n v="1145"/>
    <x v="72"/>
  </r>
  <r>
    <d v="2006-09-09T00:00:00"/>
    <n v="909"/>
    <x v="20"/>
    <n v="317"/>
    <n v="116"/>
    <n v="530"/>
    <n v="34"/>
    <n v="1675"/>
    <x v="73"/>
  </r>
  <r>
    <d v="2006-09-10T00:00:00"/>
    <n v="910"/>
    <x v="20"/>
    <n v="215"/>
    <n v="54"/>
    <n v="782"/>
    <n v="22"/>
    <n v="2457"/>
    <x v="74"/>
  </r>
  <r>
    <d v="2006-09-11T00:00:00"/>
    <n v="911"/>
    <x v="20"/>
    <n v="107"/>
    <n v="30"/>
    <n v="327"/>
    <n v="8"/>
    <n v="2784"/>
    <x v="68"/>
  </r>
  <r>
    <d v="2006-09-12T00:00:00"/>
    <n v="912"/>
    <x v="20"/>
    <n v="129"/>
    <n v="58"/>
    <n v="335"/>
    <n v="9"/>
    <n v="3119"/>
    <x v="69"/>
  </r>
  <r>
    <d v="2006-09-13T00:00:00"/>
    <n v="913"/>
    <x v="20"/>
    <n v="163"/>
    <n v="109"/>
    <n v="371"/>
    <n v="4"/>
    <n v="3490"/>
    <x v="70"/>
  </r>
  <r>
    <d v="2006-09-14T00:00:00"/>
    <n v="914"/>
    <x v="20"/>
    <n v="410"/>
    <n v="240"/>
    <n v="566"/>
    <n v="10"/>
    <n v="4056"/>
    <x v="67"/>
  </r>
  <r>
    <d v="2006-09-15T00:00:00"/>
    <n v="915"/>
    <x v="20"/>
    <n v="839"/>
    <n v="323"/>
    <n v="770"/>
    <n v="7"/>
    <n v="4826"/>
    <x v="63"/>
  </r>
  <r>
    <d v="2006-09-16T00:00:00"/>
    <n v="916"/>
    <x v="20"/>
    <n v="781"/>
    <n v="246"/>
    <n v="519"/>
    <n v="3"/>
    <n v="5345"/>
    <x v="64"/>
  </r>
  <r>
    <d v="2006-09-17T00:00:00"/>
    <n v="917"/>
    <x v="20"/>
    <n v="387"/>
    <n v="277"/>
    <n v="787"/>
    <n v="20"/>
    <n v="6132"/>
    <x v="65"/>
  </r>
  <r>
    <d v="2006-09-18T00:00:00"/>
    <n v="918"/>
    <x v="20"/>
    <n v="837"/>
    <n v="191"/>
    <n v="1944"/>
    <n v="35"/>
    <n v="8076"/>
    <x v="0"/>
  </r>
  <r>
    <d v="2006-09-19T00:00:00"/>
    <n v="919"/>
    <x v="20"/>
    <n v="388"/>
    <n v="194"/>
    <n v="843"/>
    <n v="19"/>
    <n v="8919"/>
    <x v="1"/>
  </r>
  <r>
    <d v="2006-09-20T00:00:00"/>
    <n v="920"/>
    <x v="20"/>
    <n v="492"/>
    <n v="203"/>
    <n v="831"/>
    <n v="18"/>
    <n v="9750"/>
    <x v="2"/>
  </r>
  <r>
    <d v="2006-09-21T00:00:00"/>
    <n v="921"/>
    <x v="20"/>
    <n v="473"/>
    <n v="240"/>
    <n v="1131"/>
    <n v="6"/>
    <n v="10881"/>
    <x v="3"/>
  </r>
  <r>
    <d v="2006-09-22T00:00:00"/>
    <n v="922"/>
    <x v="20"/>
    <n v="440"/>
    <n v="204"/>
    <n v="996"/>
    <n v="10"/>
    <n v="11877"/>
    <x v="4"/>
  </r>
  <r>
    <d v="2006-09-23T00:00:00"/>
    <n v="923"/>
    <x v="20"/>
    <n v="425"/>
    <n v="203"/>
    <n v="1138"/>
    <n v="7"/>
    <n v="13015"/>
    <x v="5"/>
  </r>
  <r>
    <d v="2006-09-24T00:00:00"/>
    <n v="924"/>
    <x v="20"/>
    <n v="341"/>
    <n v="294"/>
    <n v="1132"/>
    <n v="18"/>
    <n v="14147"/>
    <x v="6"/>
  </r>
  <r>
    <d v="2006-09-25T00:00:00"/>
    <n v="925"/>
    <x v="20"/>
    <n v="345"/>
    <n v="318"/>
    <n v="1319"/>
    <n v="41"/>
    <n v="15466"/>
    <x v="7"/>
  </r>
  <r>
    <d v="2006-09-26T00:00:00"/>
    <n v="926"/>
    <x v="20"/>
    <n v="388"/>
    <n v="411"/>
    <n v="1541"/>
    <n v="39"/>
    <n v="17007"/>
    <x v="8"/>
  </r>
  <r>
    <d v="2006-09-27T00:00:00"/>
    <n v="927"/>
    <x v="20"/>
    <n v="426"/>
    <n v="328"/>
    <n v="1841"/>
    <n v="38"/>
    <n v="18848"/>
    <x v="9"/>
  </r>
  <r>
    <d v="2006-09-28T00:00:00"/>
    <n v="928"/>
    <x v="20"/>
    <n v="391"/>
    <n v="219"/>
    <n v="1945"/>
    <n v="68"/>
    <n v="20793"/>
    <x v="10"/>
  </r>
  <r>
    <d v="2006-09-29T00:00:00"/>
    <n v="929"/>
    <x v="20"/>
    <n v="197"/>
    <n v="182"/>
    <n v="1055"/>
    <n v="17"/>
    <n v="21848"/>
    <x v="11"/>
  </r>
  <r>
    <d v="2006-09-30T00:00:00"/>
    <n v="930"/>
    <x v="20"/>
    <n v="147"/>
    <n v="172"/>
    <n v="986"/>
    <n v="13"/>
    <n v="22834"/>
    <x v="12"/>
  </r>
  <r>
    <d v="2006-10-01T00:00:00"/>
    <n v="1001"/>
    <x v="20"/>
    <n v="161"/>
    <n v="177"/>
    <n v="1169"/>
    <n v="17"/>
    <n v="24003"/>
    <x v="13"/>
  </r>
  <r>
    <d v="2006-10-02T00:00:00"/>
    <n v="1002"/>
    <x v="20"/>
    <n v="151"/>
    <n v="138"/>
    <n v="1101"/>
    <n v="18"/>
    <n v="25104"/>
    <x v="14"/>
  </r>
  <r>
    <d v="2006-10-03T00:00:00"/>
    <n v="1003"/>
    <x v="20"/>
    <n v="155"/>
    <n v="112"/>
    <n v="938"/>
    <n v="22"/>
    <n v="26042"/>
    <x v="15"/>
  </r>
  <r>
    <d v="2006-10-04T00:00:00"/>
    <n v="1004"/>
    <x v="20"/>
    <n v="146"/>
    <n v="153"/>
    <n v="838"/>
    <n v="17"/>
    <n v="26880"/>
    <x v="16"/>
  </r>
  <r>
    <d v="2006-10-05T00:00:00"/>
    <n v="1005"/>
    <x v="20"/>
    <n v="139"/>
    <n v="90"/>
    <n v="776"/>
    <n v="13"/>
    <n v="27656"/>
    <x v="17"/>
  </r>
  <r>
    <d v="2006-10-06T00:00:00"/>
    <n v="1006"/>
    <x v="20"/>
    <n v="121"/>
    <n v="86"/>
    <n v="657"/>
    <n v="5"/>
    <n v="28313"/>
    <x v="18"/>
  </r>
  <r>
    <d v="2006-10-07T00:00:00"/>
    <n v="1007"/>
    <x v="20"/>
    <n v="121"/>
    <n v="85"/>
    <n v="990"/>
    <n v="16"/>
    <n v="29303"/>
    <x v="19"/>
  </r>
  <r>
    <d v="2006-10-08T00:00:00"/>
    <n v="1008"/>
    <x v="20"/>
    <n v="108"/>
    <n v="78"/>
    <n v="1021"/>
    <n v="9"/>
    <n v="30324"/>
    <x v="20"/>
  </r>
  <r>
    <d v="2006-10-09T00:00:00"/>
    <n v="1009"/>
    <x v="20"/>
    <n v="133"/>
    <n v="60"/>
    <n v="1024"/>
    <n v="12"/>
    <n v="31348"/>
    <x v="21"/>
  </r>
  <r>
    <d v="2006-10-10T00:00:00"/>
    <n v="1010"/>
    <x v="20"/>
    <n v="54"/>
    <n v="53"/>
    <n v="898"/>
    <n v="8"/>
    <n v="32246"/>
    <x v="22"/>
  </r>
  <r>
    <d v="2006-10-11T00:00:00"/>
    <n v="1011"/>
    <x v="20"/>
    <n v="46"/>
    <n v="42"/>
    <n v="981"/>
    <n v="14"/>
    <n v="33227"/>
    <x v="23"/>
  </r>
  <r>
    <d v="2006-10-12T00:00:00"/>
    <n v="1012"/>
    <x v="20"/>
    <n v="31"/>
    <n v="37"/>
    <n v="986"/>
    <n v="16"/>
    <n v="34213"/>
    <x v="24"/>
  </r>
  <r>
    <d v="2006-10-13T00:00:00"/>
    <n v="1013"/>
    <x v="20"/>
    <n v="39"/>
    <n v="24"/>
    <n v="833"/>
    <n v="8"/>
    <n v="35046"/>
    <x v="25"/>
  </r>
  <r>
    <d v="2006-10-14T00:00:00"/>
    <n v="1014"/>
    <x v="20"/>
    <n v="34"/>
    <n v="33"/>
    <n v="965"/>
    <n v="10"/>
    <n v="36011"/>
    <x v="26"/>
  </r>
  <r>
    <d v="2006-10-15T00:00:00"/>
    <n v="1015"/>
    <x v="20"/>
    <n v="42"/>
    <n v="42"/>
    <n v="1206"/>
    <n v="7"/>
    <n v="37217"/>
    <x v="27"/>
  </r>
  <r>
    <d v="2006-10-16T00:00:00"/>
    <n v="1016"/>
    <x v="20"/>
    <n v="41"/>
    <n v="46"/>
    <n v="858"/>
    <n v="14"/>
    <n v="38075"/>
    <x v="28"/>
  </r>
  <r>
    <d v="2006-10-17T00:00:00"/>
    <n v="1017"/>
    <x v="20"/>
    <n v="59"/>
    <n v="48"/>
    <n v="912"/>
    <n v="14"/>
    <n v="38987"/>
    <x v="29"/>
  </r>
  <r>
    <d v="2006-10-18T00:00:00"/>
    <n v="1018"/>
    <x v="20"/>
    <n v="24"/>
    <n v="21"/>
    <n v="1350"/>
    <n v="12"/>
    <n v="40337"/>
    <x v="30"/>
  </r>
  <r>
    <d v="2006-10-19T00:00:00"/>
    <n v="1019"/>
    <x v="20"/>
    <n v="25"/>
    <n v="23"/>
    <n v="862"/>
    <n v="10"/>
    <n v="41199"/>
    <x v="31"/>
  </r>
  <r>
    <d v="2006-10-20T00:00:00"/>
    <n v="1020"/>
    <x v="20"/>
    <n v="24"/>
    <n v="18"/>
    <n v="683"/>
    <n v="9"/>
    <n v="41882"/>
    <x v="32"/>
  </r>
  <r>
    <d v="2006-10-21T00:00:00"/>
    <n v="1021"/>
    <x v="20"/>
    <n v="30"/>
    <n v="15"/>
    <n v="1053"/>
    <n v="12"/>
    <n v="42935"/>
    <x v="33"/>
  </r>
  <r>
    <d v="2006-10-22T00:00:00"/>
    <n v="1022"/>
    <x v="20"/>
    <n v="28"/>
    <n v="7"/>
    <n v="810"/>
    <n v="5"/>
    <n v="43745"/>
    <x v="34"/>
  </r>
  <r>
    <d v="2006-10-23T00:00:00"/>
    <n v="1023"/>
    <x v="20"/>
    <n v="16"/>
    <n v="16"/>
    <n v="933"/>
    <n v="10"/>
    <n v="44678"/>
    <x v="35"/>
  </r>
  <r>
    <d v="2006-10-24T00:00:00"/>
    <n v="1024"/>
    <x v="20"/>
    <n v="22"/>
    <n v="14"/>
    <n v="828"/>
    <n v="7"/>
    <n v="45506"/>
    <x v="36"/>
  </r>
  <r>
    <d v="2006-10-25T00:00:00"/>
    <n v="1025"/>
    <x v="20"/>
    <n v="19"/>
    <n v="12"/>
    <n v="843"/>
    <n v="9"/>
    <n v="46349"/>
    <x v="37"/>
  </r>
  <r>
    <d v="2006-10-26T00:00:00"/>
    <n v="1026"/>
    <x v="20"/>
    <n v="16"/>
    <n v="9"/>
    <n v="1286"/>
    <n v="7"/>
    <n v="47635"/>
    <x v="38"/>
  </r>
  <r>
    <d v="2006-10-27T00:00:00"/>
    <n v="1027"/>
    <x v="20"/>
    <n v="96"/>
    <n v="26"/>
    <n v="1187"/>
    <n v="13"/>
    <n v="48822"/>
    <x v="39"/>
  </r>
  <r>
    <d v="2006-10-28T00:00:00"/>
    <n v="1028"/>
    <x v="20"/>
    <n v="122"/>
    <n v="28"/>
    <n v="535"/>
    <n v="8"/>
    <n v="49357"/>
    <x v="40"/>
  </r>
  <r>
    <d v="2006-10-29T00:00:00"/>
    <n v="1029"/>
    <x v="20"/>
    <n v="106"/>
    <n v="21"/>
    <n v="1182"/>
    <n v="18"/>
    <n v="50539"/>
    <x v="41"/>
  </r>
  <r>
    <d v="2006-10-30T00:00:00"/>
    <n v="1030"/>
    <x v="20"/>
    <n v="44"/>
    <n v="8"/>
    <n v="768"/>
    <n v="7"/>
    <n v="51307"/>
    <x v="42"/>
  </r>
  <r>
    <d v="2006-10-31T00:00:00"/>
    <n v="1031"/>
    <x v="20"/>
    <n v="21"/>
    <n v="17"/>
    <n v="414"/>
    <n v="3"/>
    <n v="51721"/>
    <x v="43"/>
  </r>
  <r>
    <d v="2006-11-01T00:00:00"/>
    <n v="1101"/>
    <x v="20"/>
    <n v="11"/>
    <n v="12"/>
    <n v="277"/>
    <n v="0"/>
    <n v="51998"/>
    <x v="44"/>
  </r>
  <r>
    <d v="2006-11-02T00:00:00"/>
    <n v="1102"/>
    <x v="20"/>
    <n v="5"/>
    <n v="31"/>
    <n v="207"/>
    <n v="1"/>
    <n v="52205"/>
    <x v="45"/>
  </r>
  <r>
    <d v="2006-11-03T00:00:00"/>
    <n v="1103"/>
    <x v="20"/>
    <n v="20"/>
    <n v="14"/>
    <n v="260"/>
    <n v="3"/>
    <n v="52465"/>
    <x v="46"/>
  </r>
  <r>
    <d v="2006-11-04T00:00:00"/>
    <n v="1104"/>
    <x v="20"/>
    <n v="126"/>
    <n v="35"/>
    <n v="234"/>
    <n v="9"/>
    <n v="52699"/>
    <x v="47"/>
  </r>
  <r>
    <d v="2006-11-05T00:00:00"/>
    <n v="1105"/>
    <x v="20"/>
    <n v="36"/>
    <n v="11"/>
    <n v="74"/>
    <n v="2"/>
    <n v="52773"/>
    <x v="48"/>
  </r>
  <r>
    <d v="2006-11-06T00:00:00"/>
    <n v="1106"/>
    <x v="20"/>
    <n v="0"/>
    <n v="0"/>
    <n v="0"/>
    <n v="0"/>
    <n v="52773"/>
    <x v="49"/>
  </r>
  <r>
    <d v="2006-11-07T00:00:00"/>
    <n v="1107"/>
    <x v="20"/>
    <n v="0"/>
    <n v="0"/>
    <n v="0"/>
    <n v="0"/>
    <n v="52773"/>
    <x v="50"/>
  </r>
  <r>
    <d v="2006-11-08T00:00:00"/>
    <n v="1108"/>
    <x v="20"/>
    <n v="0"/>
    <n v="0"/>
    <n v="0"/>
    <n v="0"/>
    <n v="52773"/>
    <x v="51"/>
  </r>
  <r>
    <d v="2006-11-09T00:00:00"/>
    <n v="1109"/>
    <x v="20"/>
    <n v="0"/>
    <n v="0"/>
    <n v="0"/>
    <n v="0"/>
    <n v="52773"/>
    <x v="52"/>
  </r>
  <r>
    <d v="2006-11-10T00:00:00"/>
    <n v="1110"/>
    <x v="20"/>
    <n v="0"/>
    <n v="0"/>
    <n v="0"/>
    <n v="0"/>
    <n v="52773"/>
    <x v="53"/>
  </r>
  <r>
    <d v="2006-11-11T00:00:00"/>
    <n v="1111"/>
    <x v="20"/>
    <n v="1"/>
    <n v="0"/>
    <n v="0"/>
    <n v="0"/>
    <n v="52773"/>
    <x v="54"/>
  </r>
  <r>
    <d v="2006-11-12T00:00:00"/>
    <n v="1112"/>
    <x v="20"/>
    <n v="0"/>
    <n v="0"/>
    <n v="0"/>
    <n v="0"/>
    <n v="52773"/>
    <x v="55"/>
  </r>
  <r>
    <d v="2006-11-13T00:00:00"/>
    <n v="1113"/>
    <x v="20"/>
    <n v="0"/>
    <n v="0"/>
    <n v="0"/>
    <n v="0"/>
    <n v="52773"/>
    <x v="56"/>
  </r>
  <r>
    <d v="2006-11-14T00:00:00"/>
    <n v="1114"/>
    <x v="20"/>
    <n v="1"/>
    <n v="0"/>
    <n v="0"/>
    <n v="0"/>
    <n v="52773"/>
    <x v="57"/>
  </r>
  <r>
    <d v="2007-09-06T00:00:00"/>
    <n v="906"/>
    <x v="21"/>
    <n v="1079"/>
    <n v="2"/>
    <n v="1828"/>
    <n v="136"/>
    <n v="1828"/>
    <x v="79"/>
  </r>
  <r>
    <d v="2007-09-06T00:00:00"/>
    <n v="906"/>
    <x v="21"/>
    <n v="502"/>
    <n v="31"/>
    <n v="159"/>
    <n v="23"/>
    <n v="1987"/>
    <x v="79"/>
  </r>
  <r>
    <d v="2007-09-07T00:00:00"/>
    <n v="907"/>
    <x v="21"/>
    <n v="1012"/>
    <n v="61"/>
    <n v="346"/>
    <n v="68"/>
    <n v="2333"/>
    <x v="71"/>
  </r>
  <r>
    <d v="2007-09-08T00:00:00"/>
    <n v="908"/>
    <x v="21"/>
    <n v="768"/>
    <n v="68"/>
    <n v="235"/>
    <n v="22"/>
    <n v="2568"/>
    <x v="72"/>
  </r>
  <r>
    <d v="2007-09-09T00:00:00"/>
    <n v="909"/>
    <x v="21"/>
    <n v="603"/>
    <n v="61"/>
    <n v="243"/>
    <n v="26"/>
    <n v="2811"/>
    <x v="73"/>
  </r>
  <r>
    <d v="2007-09-10T00:00:00"/>
    <n v="910"/>
    <x v="21"/>
    <n v="792"/>
    <n v="68"/>
    <n v="246"/>
    <n v="34"/>
    <n v="3057"/>
    <x v="74"/>
  </r>
  <r>
    <d v="2007-09-11T00:00:00"/>
    <n v="911"/>
    <x v="21"/>
    <n v="1173"/>
    <n v="75"/>
    <n v="289"/>
    <n v="101"/>
    <n v="3346"/>
    <x v="68"/>
  </r>
  <r>
    <d v="2007-09-12T00:00:00"/>
    <n v="912"/>
    <x v="21"/>
    <n v="908"/>
    <n v="57"/>
    <n v="268"/>
    <n v="78"/>
    <n v="3614"/>
    <x v="69"/>
  </r>
  <r>
    <d v="2007-09-13T00:00:00"/>
    <n v="913"/>
    <x v="21"/>
    <n v="873"/>
    <n v="54"/>
    <n v="243"/>
    <n v="65"/>
    <n v="3857"/>
    <x v="70"/>
  </r>
  <r>
    <d v="2007-09-14T00:00:00"/>
    <n v="914"/>
    <x v="21"/>
    <n v="986"/>
    <n v="50"/>
    <n v="445"/>
    <n v="91"/>
    <n v="4302"/>
    <x v="67"/>
  </r>
  <r>
    <d v="2007-09-15T00:00:00"/>
    <n v="915"/>
    <x v="21"/>
    <n v="1344"/>
    <n v="33"/>
    <n v="270"/>
    <n v="61"/>
    <n v="4572"/>
    <x v="63"/>
  </r>
  <r>
    <d v="2007-09-16T00:00:00"/>
    <n v="916"/>
    <x v="21"/>
    <n v="0"/>
    <n v="0"/>
    <n v="0"/>
    <n v="0"/>
    <n v="4572"/>
    <x v="64"/>
  </r>
  <r>
    <d v="2007-09-17T00:00:00"/>
    <n v="917"/>
    <x v="21"/>
    <n v="1263"/>
    <n v="74"/>
    <n v="285"/>
    <n v="82"/>
    <n v="4857"/>
    <x v="65"/>
  </r>
  <r>
    <d v="2007-09-18T00:00:00"/>
    <n v="918"/>
    <x v="21"/>
    <n v="1629"/>
    <n v="75"/>
    <n v="273"/>
    <n v="59"/>
    <n v="5130"/>
    <x v="0"/>
  </r>
  <r>
    <d v="2007-09-19T00:00:00"/>
    <n v="919"/>
    <x v="21"/>
    <n v="1977"/>
    <n v="101"/>
    <n v="106"/>
    <n v="36"/>
    <n v="5236"/>
    <x v="1"/>
  </r>
  <r>
    <d v="2007-09-20T00:00:00"/>
    <n v="920"/>
    <x v="21"/>
    <n v="2391"/>
    <n v="125"/>
    <n v="240"/>
    <n v="44"/>
    <n v="5476"/>
    <x v="2"/>
  </r>
  <r>
    <d v="2007-09-21T00:00:00"/>
    <n v="921"/>
    <x v="21"/>
    <n v="1621"/>
    <n v="88"/>
    <n v="167"/>
    <n v="29"/>
    <n v="5643"/>
    <x v="3"/>
  </r>
  <r>
    <d v="2007-09-22T00:00:00"/>
    <n v="922"/>
    <x v="21"/>
    <n v="2352"/>
    <n v="124"/>
    <n v="472"/>
    <n v="100"/>
    <n v="6115"/>
    <x v="4"/>
  </r>
  <r>
    <d v="2007-09-23T00:00:00"/>
    <n v="923"/>
    <x v="21"/>
    <n v="1902"/>
    <n v="93"/>
    <n v="475"/>
    <n v="52"/>
    <n v="6590"/>
    <x v="5"/>
  </r>
  <r>
    <d v="2007-09-24T00:00:00"/>
    <n v="924"/>
    <x v="21"/>
    <n v="2034"/>
    <n v="180"/>
    <n v="436"/>
    <n v="45"/>
    <n v="7026"/>
    <x v="6"/>
  </r>
  <r>
    <d v="2007-09-25T00:00:00"/>
    <n v="925"/>
    <x v="21"/>
    <n v="2646"/>
    <n v="287"/>
    <n v="830"/>
    <n v="78"/>
    <n v="7856"/>
    <x v="7"/>
  </r>
  <r>
    <d v="2007-09-26T00:00:00"/>
    <n v="926"/>
    <x v="21"/>
    <n v="1927"/>
    <n v="209"/>
    <n v="532"/>
    <n v="100"/>
    <n v="8388"/>
    <x v="8"/>
  </r>
  <r>
    <d v="2007-09-27T00:00:00"/>
    <n v="927"/>
    <x v="21"/>
    <n v="2428"/>
    <n v="308"/>
    <n v="654"/>
    <n v="108"/>
    <n v="9042"/>
    <x v="9"/>
  </r>
  <r>
    <d v="2007-09-28T00:00:00"/>
    <n v="928"/>
    <x v="21"/>
    <n v="1606"/>
    <n v="164"/>
    <n v="1025"/>
    <n v="75"/>
    <n v="10067"/>
    <x v="10"/>
  </r>
  <r>
    <d v="2007-09-29T00:00:00"/>
    <n v="929"/>
    <x v="21"/>
    <n v="875"/>
    <n v="86"/>
    <n v="1076"/>
    <n v="35"/>
    <n v="11143"/>
    <x v="11"/>
  </r>
  <r>
    <d v="2007-09-30T00:00:00"/>
    <n v="930"/>
    <x v="21"/>
    <n v="1091"/>
    <n v="60"/>
    <n v="390"/>
    <n v="13"/>
    <n v="11533"/>
    <x v="12"/>
  </r>
  <r>
    <d v="2007-10-01T00:00:00"/>
    <n v="1001"/>
    <x v="21"/>
    <n v="1181"/>
    <n v="115"/>
    <n v="1058"/>
    <n v="49"/>
    <n v="12591"/>
    <x v="13"/>
  </r>
  <r>
    <d v="2007-10-02T00:00:00"/>
    <n v="1002"/>
    <x v="21"/>
    <n v="497"/>
    <n v="42"/>
    <n v="243"/>
    <n v="21"/>
    <n v="12834"/>
    <x v="14"/>
  </r>
  <r>
    <d v="2007-10-03T00:00:00"/>
    <n v="1003"/>
    <x v="21"/>
    <n v="1131"/>
    <n v="104"/>
    <n v="321"/>
    <n v="67"/>
    <n v="13155"/>
    <x v="15"/>
  </r>
  <r>
    <d v="2007-10-04T00:00:00"/>
    <n v="1004"/>
    <x v="21"/>
    <n v="96"/>
    <n v="5"/>
    <n v="33"/>
    <n v="1"/>
    <n v="13188"/>
    <x v="16"/>
  </r>
  <r>
    <d v="2007-10-05T00:00:00"/>
    <n v="1005"/>
    <x v="21"/>
    <n v="59"/>
    <n v="12"/>
    <n v="12"/>
    <n v="0"/>
    <n v="13200"/>
    <x v="17"/>
  </r>
  <r>
    <d v="2007-10-06T00:00:00"/>
    <n v="1006"/>
    <x v="21"/>
    <n v="329"/>
    <n v="53"/>
    <n v="176"/>
    <n v="19"/>
    <n v="13376"/>
    <x v="18"/>
  </r>
  <r>
    <d v="2007-10-07T00:00:00"/>
    <n v="1007"/>
    <x v="21"/>
    <n v="142"/>
    <n v="12"/>
    <n v="338"/>
    <n v="33"/>
    <n v="13714"/>
    <x v="19"/>
  </r>
  <r>
    <d v="2007-10-08T00:00:00"/>
    <n v="1008"/>
    <x v="21"/>
    <n v="302"/>
    <n v="32"/>
    <n v="304"/>
    <n v="18"/>
    <n v="14018"/>
    <x v="20"/>
  </r>
  <r>
    <d v="2007-10-09T00:00:00"/>
    <n v="1009"/>
    <x v="21"/>
    <n v="197"/>
    <n v="37"/>
    <n v="230"/>
    <n v="24"/>
    <n v="14248"/>
    <x v="21"/>
  </r>
  <r>
    <d v="2007-10-12T00:00:00"/>
    <n v="1012"/>
    <x v="21"/>
    <n v="176"/>
    <n v="27"/>
    <n v="55"/>
    <n v="7"/>
    <n v="14303"/>
    <x v="24"/>
  </r>
  <r>
    <d v="2007-10-13T00:00:00"/>
    <n v="1013"/>
    <x v="21"/>
    <n v="261"/>
    <n v="33"/>
    <n v="145"/>
    <n v="26"/>
    <n v="14448"/>
    <x v="25"/>
  </r>
  <r>
    <d v="2007-10-14T00:00:00"/>
    <n v="1014"/>
    <x v="21"/>
    <n v="540"/>
    <n v="96"/>
    <n v="240"/>
    <n v="28"/>
    <n v="14688"/>
    <x v="26"/>
  </r>
  <r>
    <d v="2007-10-15T00:00:00"/>
    <n v="1015"/>
    <x v="21"/>
    <n v="373"/>
    <n v="55"/>
    <n v="351"/>
    <n v="28"/>
    <n v="15039"/>
    <x v="27"/>
  </r>
  <r>
    <d v="2007-10-16T00:00:00"/>
    <n v="1016"/>
    <x v="21"/>
    <n v="252"/>
    <n v="55"/>
    <n v="333"/>
    <n v="20"/>
    <n v="15372"/>
    <x v="28"/>
  </r>
  <r>
    <d v="2007-10-17T00:00:00"/>
    <n v="1017"/>
    <x v="21"/>
    <n v="340"/>
    <n v="63"/>
    <n v="194"/>
    <n v="13"/>
    <n v="15566"/>
    <x v="29"/>
  </r>
  <r>
    <d v="2007-10-18T00:00:00"/>
    <n v="1018"/>
    <x v="21"/>
    <n v="220"/>
    <n v="34"/>
    <n v="257"/>
    <n v="21"/>
    <n v="15823"/>
    <x v="30"/>
  </r>
  <r>
    <d v="2007-10-19T00:00:00"/>
    <n v="1019"/>
    <x v="21"/>
    <n v="95"/>
    <n v="20"/>
    <n v="32"/>
    <n v="3"/>
    <n v="15855"/>
    <x v="31"/>
  </r>
  <r>
    <d v="2007-10-20T00:00:00"/>
    <n v="1020"/>
    <x v="21"/>
    <n v="158"/>
    <n v="14"/>
    <n v="208"/>
    <n v="19"/>
    <n v="16063"/>
    <x v="32"/>
  </r>
  <r>
    <d v="2007-10-21T00:00:00"/>
    <n v="1021"/>
    <x v="21"/>
    <n v="117"/>
    <n v="24"/>
    <n v="80"/>
    <n v="3"/>
    <n v="16143"/>
    <x v="33"/>
  </r>
  <r>
    <d v="2007-10-22T00:00:00"/>
    <n v="1022"/>
    <x v="21"/>
    <n v="96"/>
    <n v="21"/>
    <n v="122"/>
    <n v="11"/>
    <n v="16265"/>
    <x v="34"/>
  </r>
  <r>
    <d v="2007-10-23T00:00:00"/>
    <n v="1023"/>
    <x v="21"/>
    <n v="189"/>
    <n v="32"/>
    <n v="106"/>
    <n v="9"/>
    <n v="16371"/>
    <x v="35"/>
  </r>
  <r>
    <d v="2007-10-24T00:00:00"/>
    <n v="1024"/>
    <x v="21"/>
    <n v="244"/>
    <n v="32"/>
    <n v="97"/>
    <n v="10"/>
    <n v="16468"/>
    <x v="36"/>
  </r>
  <r>
    <d v="2007-10-25T00:00:00"/>
    <n v="1025"/>
    <x v="21"/>
    <n v="163"/>
    <n v="32"/>
    <n v="82"/>
    <n v="7"/>
    <n v="16550"/>
    <x v="37"/>
  </r>
  <r>
    <d v="2007-10-26T00:00:00"/>
    <n v="1026"/>
    <x v="21"/>
    <n v="116"/>
    <n v="28"/>
    <n v="49"/>
    <n v="5"/>
    <n v="16599"/>
    <x v="38"/>
  </r>
  <r>
    <d v="2007-10-27T00:00:00"/>
    <n v="1027"/>
    <x v="21"/>
    <n v="102"/>
    <n v="15"/>
    <n v="34"/>
    <n v="6"/>
    <n v="16633"/>
    <x v="39"/>
  </r>
  <r>
    <d v="2007-10-28T00:00:00"/>
    <n v="1028"/>
    <x v="21"/>
    <n v="171"/>
    <n v="17"/>
    <n v="64"/>
    <n v="2"/>
    <n v="16697"/>
    <x v="40"/>
  </r>
  <r>
    <d v="2007-10-29T00:00:00"/>
    <n v="1029"/>
    <x v="21"/>
    <n v="120"/>
    <n v="11"/>
    <n v="56"/>
    <n v="3"/>
    <n v="16753"/>
    <x v="41"/>
  </r>
  <r>
    <d v="2007-10-30T00:00:00"/>
    <n v="1030"/>
    <x v="21"/>
    <n v="143"/>
    <n v="22"/>
    <n v="73"/>
    <n v="14"/>
    <n v="16826"/>
    <x v="42"/>
  </r>
  <r>
    <d v="2007-10-31T00:00:00"/>
    <n v="1031"/>
    <x v="21"/>
    <n v="66"/>
    <n v="19"/>
    <n v="35"/>
    <n v="1"/>
    <n v="16861"/>
    <x v="43"/>
  </r>
  <r>
    <d v="2007-11-01T00:00:00"/>
    <n v="1101"/>
    <x v="21"/>
    <n v="73"/>
    <n v="19"/>
    <n v="36"/>
    <n v="2"/>
    <n v="16897"/>
    <x v="44"/>
  </r>
  <r>
    <d v="2007-11-02T00:00:00"/>
    <n v="1102"/>
    <x v="21"/>
    <n v="40"/>
    <n v="6"/>
    <n v="11"/>
    <n v="1"/>
    <n v="16908"/>
    <x v="45"/>
  </r>
  <r>
    <d v="2007-11-03T00:00:00"/>
    <n v="1103"/>
    <x v="21"/>
    <n v="114"/>
    <n v="18"/>
    <n v="22"/>
    <n v="0"/>
    <n v="16930"/>
    <x v="46"/>
  </r>
  <r>
    <d v="2007-11-04T00:00:00"/>
    <n v="1104"/>
    <x v="21"/>
    <n v="89"/>
    <n v="18"/>
    <n v="7"/>
    <n v="1"/>
    <n v="16937"/>
    <x v="47"/>
  </r>
  <r>
    <d v="2007-11-05T00:00:00"/>
    <n v="1105"/>
    <x v="21"/>
    <n v="67"/>
    <n v="13"/>
    <n v="5"/>
    <n v="0"/>
    <n v="16942"/>
    <x v="48"/>
  </r>
  <r>
    <d v="2007-11-06T00:00:00"/>
    <n v="1106"/>
    <x v="21"/>
    <n v="23"/>
    <n v="6"/>
    <n v="2"/>
    <n v="0"/>
    <n v="16944"/>
    <x v="49"/>
  </r>
  <r>
    <d v="2007-11-07T00:00:00"/>
    <n v="1107"/>
    <x v="21"/>
    <n v="30"/>
    <n v="131"/>
    <n v="5"/>
    <n v="0"/>
    <n v="16949"/>
    <x v="50"/>
  </r>
  <r>
    <d v="2007-11-08T00:00:00"/>
    <n v="1108"/>
    <x v="21"/>
    <n v="42"/>
    <n v="229"/>
    <n v="2"/>
    <n v="0"/>
    <n v="16951"/>
    <x v="51"/>
  </r>
  <r>
    <d v="2007-11-09T00:00:00"/>
    <n v="1109"/>
    <x v="21"/>
    <n v="131"/>
    <n v="96"/>
    <n v="1"/>
    <n v="1"/>
    <n v="16952"/>
    <x v="52"/>
  </r>
  <r>
    <d v="2007-11-10T00:00:00"/>
    <n v="1110"/>
    <x v="21"/>
    <n v="188"/>
    <n v="29"/>
    <n v="0"/>
    <n v="0"/>
    <n v="16952"/>
    <x v="53"/>
  </r>
  <r>
    <d v="2007-11-11T00:00:00"/>
    <n v="1111"/>
    <x v="21"/>
    <n v="24"/>
    <n v="7"/>
    <n v="1"/>
    <n v="0"/>
    <n v="16953"/>
    <x v="54"/>
  </r>
  <r>
    <d v="2008-09-04T00:00:00"/>
    <n v="904"/>
    <x v="22"/>
    <n v="5996"/>
    <n v="21"/>
    <n v="2507"/>
    <n v="41"/>
    <n v="2507"/>
    <x v="77"/>
  </r>
  <r>
    <d v="2008-09-04T00:00:00"/>
    <n v="904"/>
    <x v="22"/>
    <n v="239"/>
    <n v="43"/>
    <n v="89"/>
    <n v="3"/>
    <n v="2596"/>
    <x v="77"/>
  </r>
  <r>
    <d v="2008-09-05T00:00:00"/>
    <n v="905"/>
    <x v="22"/>
    <n v="574"/>
    <n v="70"/>
    <n v="98"/>
    <n v="6"/>
    <n v="2694"/>
    <x v="78"/>
  </r>
  <r>
    <d v="2008-09-06T00:00:00"/>
    <n v="906"/>
    <x v="22"/>
    <n v="664"/>
    <n v="72"/>
    <n v="124"/>
    <n v="15"/>
    <n v="2818"/>
    <x v="79"/>
  </r>
  <r>
    <d v="2008-09-07T00:00:00"/>
    <n v="907"/>
    <x v="22"/>
    <n v="503"/>
    <n v="61"/>
    <n v="133"/>
    <n v="11"/>
    <n v="2951"/>
    <x v="71"/>
  </r>
  <r>
    <d v="2008-09-08T00:00:00"/>
    <n v="908"/>
    <x v="22"/>
    <n v="533"/>
    <n v="61"/>
    <n v="299"/>
    <n v="26"/>
    <n v="3250"/>
    <x v="72"/>
  </r>
  <r>
    <d v="2008-09-09T00:00:00"/>
    <n v="909"/>
    <x v="22"/>
    <n v="773"/>
    <n v="103"/>
    <n v="172"/>
    <n v="27"/>
    <n v="3422"/>
    <x v="73"/>
  </r>
  <r>
    <d v="2008-09-10T00:00:00"/>
    <n v="910"/>
    <x v="22"/>
    <n v="597"/>
    <n v="73"/>
    <n v="224"/>
    <n v="18"/>
    <n v="3646"/>
    <x v="74"/>
  </r>
  <r>
    <d v="2008-09-11T00:00:00"/>
    <n v="911"/>
    <x v="22"/>
    <n v="641"/>
    <n v="82"/>
    <n v="218"/>
    <n v="27"/>
    <n v="3864"/>
    <x v="68"/>
  </r>
  <r>
    <d v="2008-09-12T00:00:00"/>
    <n v="912"/>
    <x v="22"/>
    <n v="725"/>
    <n v="106"/>
    <n v="283"/>
    <n v="29"/>
    <n v="4147"/>
    <x v="69"/>
  </r>
  <r>
    <d v="2008-09-13T00:00:00"/>
    <n v="913"/>
    <x v="22"/>
    <n v="671"/>
    <n v="93"/>
    <n v="296"/>
    <n v="29"/>
    <n v="4443"/>
    <x v="70"/>
  </r>
  <r>
    <d v="2008-09-14T00:00:00"/>
    <n v="914"/>
    <x v="22"/>
    <n v="820"/>
    <n v="87"/>
    <n v="325"/>
    <n v="42"/>
    <n v="4768"/>
    <x v="67"/>
  </r>
  <r>
    <d v="2008-09-15T00:00:00"/>
    <n v="915"/>
    <x v="22"/>
    <n v="492"/>
    <n v="59"/>
    <n v="227"/>
    <n v="30"/>
    <n v="4995"/>
    <x v="63"/>
  </r>
  <r>
    <d v="2008-09-16T00:00:00"/>
    <n v="916"/>
    <x v="22"/>
    <n v="612"/>
    <n v="112"/>
    <n v="371"/>
    <n v="40"/>
    <n v="5366"/>
    <x v="64"/>
  </r>
  <r>
    <d v="2008-09-17T00:00:00"/>
    <n v="917"/>
    <x v="22"/>
    <n v="721"/>
    <n v="118"/>
    <n v="367"/>
    <n v="45"/>
    <n v="5733"/>
    <x v="65"/>
  </r>
  <r>
    <d v="2008-09-18T00:00:00"/>
    <n v="918"/>
    <x v="22"/>
    <n v="1044"/>
    <n v="145"/>
    <n v="450"/>
    <n v="39"/>
    <n v="6183"/>
    <x v="0"/>
  </r>
  <r>
    <d v="2008-09-19T00:00:00"/>
    <n v="919"/>
    <x v="22"/>
    <n v="1370"/>
    <n v="127"/>
    <n v="171"/>
    <n v="11"/>
    <n v="6354"/>
    <x v="1"/>
  </r>
  <r>
    <d v="2008-09-20T00:00:00"/>
    <n v="920"/>
    <x v="22"/>
    <n v="1442"/>
    <n v="58"/>
    <n v="203"/>
    <n v="24"/>
    <n v="6557"/>
    <x v="2"/>
  </r>
  <r>
    <d v="2008-09-21T00:00:00"/>
    <n v="921"/>
    <x v="22"/>
    <n v="1579"/>
    <n v="40"/>
    <n v="86"/>
    <n v="6"/>
    <n v="6643"/>
    <x v="3"/>
  </r>
  <r>
    <d v="2008-09-22T00:00:00"/>
    <n v="922"/>
    <x v="22"/>
    <n v="1682"/>
    <n v="35"/>
    <n v="148"/>
    <n v="8"/>
    <n v="6791"/>
    <x v="4"/>
  </r>
  <r>
    <d v="2008-09-23T00:00:00"/>
    <n v="923"/>
    <x v="22"/>
    <n v="1568"/>
    <n v="48"/>
    <n v="212"/>
    <n v="9"/>
    <n v="7003"/>
    <x v="5"/>
  </r>
  <r>
    <d v="2008-09-24T00:00:00"/>
    <n v="924"/>
    <x v="22"/>
    <n v="1535"/>
    <n v="71"/>
    <n v="294"/>
    <n v="17"/>
    <n v="7297"/>
    <x v="6"/>
  </r>
  <r>
    <d v="2008-09-25T00:00:00"/>
    <n v="925"/>
    <x v="22"/>
    <n v="1092"/>
    <n v="81"/>
    <n v="130"/>
    <n v="8"/>
    <n v="7427"/>
    <x v="7"/>
  </r>
  <r>
    <d v="2008-09-26T00:00:00"/>
    <n v="926"/>
    <x v="22"/>
    <n v="1035"/>
    <n v="69"/>
    <n v="197"/>
    <n v="6"/>
    <n v="7624"/>
    <x v="8"/>
  </r>
  <r>
    <d v="2008-09-27T00:00:00"/>
    <n v="927"/>
    <x v="22"/>
    <n v="1272"/>
    <n v="65"/>
    <n v="275"/>
    <n v="9"/>
    <n v="7899"/>
    <x v="9"/>
  </r>
  <r>
    <d v="2008-09-28T00:00:00"/>
    <n v="928"/>
    <x v="22"/>
    <n v="1050"/>
    <n v="57"/>
    <n v="319"/>
    <n v="7"/>
    <n v="8218"/>
    <x v="10"/>
  </r>
  <r>
    <d v="2008-09-29T00:00:00"/>
    <n v="929"/>
    <x v="22"/>
    <n v="899"/>
    <n v="47"/>
    <n v="303"/>
    <n v="12"/>
    <n v="8521"/>
    <x v="11"/>
  </r>
  <r>
    <d v="2008-09-30T00:00:00"/>
    <n v="930"/>
    <x v="22"/>
    <n v="992"/>
    <n v="40"/>
    <n v="376"/>
    <n v="20"/>
    <n v="8897"/>
    <x v="12"/>
  </r>
  <r>
    <d v="2008-10-01T00:00:00"/>
    <n v="1001"/>
    <x v="22"/>
    <n v="1090"/>
    <n v="44"/>
    <n v="411"/>
    <n v="25"/>
    <n v="9308"/>
    <x v="13"/>
  </r>
  <r>
    <d v="2008-10-02T00:00:00"/>
    <n v="1002"/>
    <x v="22"/>
    <n v="529"/>
    <n v="35"/>
    <n v="651"/>
    <n v="21"/>
    <n v="9959"/>
    <x v="14"/>
  </r>
  <r>
    <d v="2008-10-03T00:00:00"/>
    <n v="1003"/>
    <x v="22"/>
    <n v="978"/>
    <n v="30"/>
    <n v="445"/>
    <n v="24"/>
    <n v="10404"/>
    <x v="15"/>
  </r>
  <r>
    <d v="2008-10-04T00:00:00"/>
    <n v="1004"/>
    <x v="22"/>
    <n v="729"/>
    <n v="36"/>
    <n v="551"/>
    <n v="28"/>
    <n v="10955"/>
    <x v="16"/>
  </r>
  <r>
    <d v="2008-10-05T00:00:00"/>
    <n v="1005"/>
    <x v="22"/>
    <n v="575"/>
    <n v="22"/>
    <n v="466"/>
    <n v="18"/>
    <n v="11421"/>
    <x v="17"/>
  </r>
  <r>
    <d v="2008-10-06T00:00:00"/>
    <n v="1006"/>
    <x v="22"/>
    <n v="274"/>
    <n v="16"/>
    <n v="528"/>
    <n v="11"/>
    <n v="11949"/>
    <x v="18"/>
  </r>
  <r>
    <d v="2008-10-07T00:00:00"/>
    <n v="1007"/>
    <x v="22"/>
    <n v="992"/>
    <n v="31"/>
    <n v="1274"/>
    <n v="39"/>
    <n v="13223"/>
    <x v="19"/>
  </r>
  <r>
    <d v="2008-10-08T00:00:00"/>
    <n v="1008"/>
    <x v="22"/>
    <n v="596"/>
    <n v="28"/>
    <n v="274"/>
    <n v="10"/>
    <n v="13497"/>
    <x v="20"/>
  </r>
  <r>
    <d v="2008-10-09T00:00:00"/>
    <n v="1009"/>
    <x v="22"/>
    <n v="219"/>
    <n v="6"/>
    <n v="445"/>
    <n v="8"/>
    <n v="13942"/>
    <x v="21"/>
  </r>
  <r>
    <d v="2008-10-10T00:00:00"/>
    <n v="1010"/>
    <x v="22"/>
    <n v="248"/>
    <n v="10"/>
    <n v="547"/>
    <n v="9"/>
    <n v="14489"/>
    <x v="22"/>
  </r>
  <r>
    <d v="2008-10-11T00:00:00"/>
    <n v="1011"/>
    <x v="22"/>
    <n v="353"/>
    <n v="13"/>
    <n v="510"/>
    <n v="12"/>
    <n v="14999"/>
    <x v="23"/>
  </r>
  <r>
    <d v="2008-10-12T00:00:00"/>
    <n v="1012"/>
    <x v="22"/>
    <n v="406"/>
    <n v="13"/>
    <n v="666"/>
    <n v="14"/>
    <n v="15665"/>
    <x v="24"/>
  </r>
  <r>
    <d v="2008-10-13T00:00:00"/>
    <n v="1013"/>
    <x v="22"/>
    <n v="222"/>
    <n v="14"/>
    <n v="546"/>
    <n v="14"/>
    <n v="16211"/>
    <x v="25"/>
  </r>
  <r>
    <d v="2008-10-14T00:00:00"/>
    <n v="1014"/>
    <x v="22"/>
    <n v="162"/>
    <n v="12"/>
    <n v="418"/>
    <n v="8"/>
    <n v="16629"/>
    <x v="26"/>
  </r>
  <r>
    <d v="2008-10-15T00:00:00"/>
    <n v="1015"/>
    <x v="22"/>
    <n v="183"/>
    <n v="10"/>
    <n v="582"/>
    <n v="5"/>
    <n v="17211"/>
    <x v="27"/>
  </r>
  <r>
    <d v="2008-10-16T00:00:00"/>
    <n v="1016"/>
    <x v="22"/>
    <n v="121"/>
    <n v="8"/>
    <n v="491"/>
    <n v="18"/>
    <n v="17702"/>
    <x v="28"/>
  </r>
  <r>
    <d v="2008-10-17T00:00:00"/>
    <n v="1017"/>
    <x v="22"/>
    <n v="7"/>
    <n v="2"/>
    <n v="27"/>
    <n v="0"/>
    <n v="17729"/>
    <x v="29"/>
  </r>
  <r>
    <d v="2008-10-18T00:00:00"/>
    <n v="1018"/>
    <x v="22"/>
    <n v="144"/>
    <n v="3"/>
    <n v="217"/>
    <n v="6"/>
    <n v="17946"/>
    <x v="30"/>
  </r>
  <r>
    <d v="2008-10-19T00:00:00"/>
    <n v="1019"/>
    <x v="22"/>
    <n v="102"/>
    <n v="6"/>
    <n v="472"/>
    <n v="18"/>
    <n v="18418"/>
    <x v="31"/>
  </r>
  <r>
    <d v="2008-10-20T00:00:00"/>
    <n v="1020"/>
    <x v="22"/>
    <n v="123"/>
    <n v="17"/>
    <n v="691"/>
    <n v="9"/>
    <n v="19109"/>
    <x v="32"/>
  </r>
  <r>
    <d v="2008-10-21T00:00:00"/>
    <n v="1021"/>
    <x v="22"/>
    <n v="136"/>
    <n v="7"/>
    <n v="386"/>
    <n v="6"/>
    <n v="19495"/>
    <x v="33"/>
  </r>
  <r>
    <d v="2008-10-22T00:00:00"/>
    <n v="1022"/>
    <x v="22"/>
    <n v="122"/>
    <n v="9"/>
    <n v="367"/>
    <n v="12"/>
    <n v="19862"/>
    <x v="34"/>
  </r>
  <r>
    <d v="2008-10-23T00:00:00"/>
    <n v="1023"/>
    <x v="22"/>
    <n v="104"/>
    <n v="9"/>
    <n v="367"/>
    <n v="16"/>
    <n v="20229"/>
    <x v="35"/>
  </r>
  <r>
    <d v="2008-10-24T00:00:00"/>
    <n v="1024"/>
    <x v="22"/>
    <n v="71"/>
    <n v="4"/>
    <n v="161"/>
    <n v="8"/>
    <n v="20390"/>
    <x v="36"/>
  </r>
  <r>
    <d v="2008-10-25T00:00:00"/>
    <n v="1025"/>
    <x v="22"/>
    <n v="62"/>
    <n v="0"/>
    <n v="156"/>
    <n v="5"/>
    <n v="20546"/>
    <x v="37"/>
  </r>
  <r>
    <d v="2008-10-26T00:00:00"/>
    <n v="1026"/>
    <x v="22"/>
    <n v="15"/>
    <n v="0"/>
    <n v="68"/>
    <n v="0"/>
    <n v="20614"/>
    <x v="38"/>
  </r>
  <r>
    <d v="2008-10-27T00:00:00"/>
    <n v="1027"/>
    <x v="22"/>
    <n v="48"/>
    <n v="5"/>
    <n v="98"/>
    <n v="3"/>
    <n v="20712"/>
    <x v="39"/>
  </r>
  <r>
    <d v="2008-10-28T00:00:00"/>
    <n v="1028"/>
    <x v="22"/>
    <n v="59"/>
    <n v="2"/>
    <n v="83"/>
    <n v="2"/>
    <n v="20795"/>
    <x v="40"/>
  </r>
  <r>
    <d v="2008-10-29T00:00:00"/>
    <n v="1029"/>
    <x v="22"/>
    <n v="56"/>
    <n v="89"/>
    <n v="93"/>
    <n v="3"/>
    <n v="20888"/>
    <x v="41"/>
  </r>
  <r>
    <d v="2008-10-30T00:00:00"/>
    <n v="1030"/>
    <x v="22"/>
    <n v="157"/>
    <n v="71"/>
    <n v="74"/>
    <n v="3"/>
    <n v="20962"/>
    <x v="42"/>
  </r>
  <r>
    <d v="2008-10-31T00:00:00"/>
    <n v="1031"/>
    <x v="22"/>
    <n v="411"/>
    <n v="55"/>
    <n v="73"/>
    <n v="2"/>
    <n v="21035"/>
    <x v="43"/>
  </r>
  <r>
    <d v="2008-11-01T00:00:00"/>
    <n v="1101"/>
    <x v="22"/>
    <n v="740"/>
    <n v="25"/>
    <n v="21"/>
    <n v="2"/>
    <n v="21056"/>
    <x v="44"/>
  </r>
  <r>
    <d v="2008-11-02T00:00:00"/>
    <n v="1102"/>
    <x v="22"/>
    <n v="0"/>
    <n v="0"/>
    <n v="0"/>
    <n v="0"/>
    <n v="21056"/>
    <x v="45"/>
  </r>
  <r>
    <d v="2008-11-03T00:00:00"/>
    <n v="1103"/>
    <x v="22"/>
    <n v="0"/>
    <n v="0"/>
    <n v="0"/>
    <n v="0"/>
    <n v="21056"/>
    <x v="46"/>
  </r>
  <r>
    <d v="2008-11-04T00:00:00"/>
    <n v="1104"/>
    <x v="22"/>
    <n v="424"/>
    <n v="8"/>
    <n v="4"/>
    <n v="0"/>
    <n v="21060"/>
    <x v="47"/>
  </r>
  <r>
    <d v="2008-11-05T00:00:00"/>
    <n v="1105"/>
    <x v="22"/>
    <n v="39"/>
    <n v="2"/>
    <n v="4"/>
    <n v="0"/>
    <n v="21064"/>
    <x v="48"/>
  </r>
  <r>
    <d v="2008-11-06T00:00:00"/>
    <n v="1106"/>
    <x v="22"/>
    <n v="73"/>
    <n v="16"/>
    <n v="7"/>
    <n v="1"/>
    <n v="21071"/>
    <x v="49"/>
  </r>
  <r>
    <d v="2008-11-07T00:00:00"/>
    <n v="1107"/>
    <x v="22"/>
    <n v="44"/>
    <n v="10"/>
    <n v="5"/>
    <n v="0"/>
    <n v="21076"/>
    <x v="50"/>
  </r>
  <r>
    <d v="2008-11-08T00:00:00"/>
    <n v="1108"/>
    <x v="22"/>
    <n v="0"/>
    <n v="0"/>
    <n v="0"/>
    <n v="0"/>
    <n v="21076"/>
    <x v="51"/>
  </r>
  <r>
    <d v="2008-11-09T00:00:00"/>
    <n v="1109"/>
    <x v="22"/>
    <n v="0"/>
    <n v="0"/>
    <n v="0"/>
    <n v="0"/>
    <n v="21076"/>
    <x v="52"/>
  </r>
  <r>
    <d v="2008-11-10T00:00:00"/>
    <n v="1110"/>
    <x v="22"/>
    <n v="0"/>
    <n v="0"/>
    <n v="0"/>
    <n v="0"/>
    <n v="21076"/>
    <x v="53"/>
  </r>
  <r>
    <d v="2008-11-11T00:00:00"/>
    <n v="1111"/>
    <x v="22"/>
    <n v="109"/>
    <n v="5"/>
    <n v="3"/>
    <n v="0"/>
    <n v="21079"/>
    <x v="54"/>
  </r>
  <r>
    <d v="2008-11-12T00:00:00"/>
    <n v="1112"/>
    <x v="22"/>
    <n v="34"/>
    <n v="0"/>
    <n v="1"/>
    <n v="0"/>
    <n v="21080"/>
    <x v="55"/>
  </r>
  <r>
    <d v="2009-09-03T00:00:00"/>
    <n v="903"/>
    <x v="23"/>
    <n v="745"/>
    <n v="200"/>
    <n v="0"/>
    <n v="0"/>
    <n v="0"/>
    <x v="76"/>
  </r>
  <r>
    <d v="2009-09-03T00:00:00"/>
    <n v="903"/>
    <x v="23"/>
    <n v="2185"/>
    <n v="0"/>
    <n v="318"/>
    <n v="125"/>
    <n v="318"/>
    <x v="76"/>
  </r>
  <r>
    <d v="2009-09-03T00:00:00"/>
    <n v="903"/>
    <x v="23"/>
    <n v="596"/>
    <n v="31"/>
    <n v="133"/>
    <n v="93"/>
    <n v="451"/>
    <x v="76"/>
  </r>
  <r>
    <d v="2009-09-04T00:00:00"/>
    <n v="904"/>
    <x v="23"/>
    <n v="839"/>
    <n v="38"/>
    <n v="52"/>
    <n v="64"/>
    <n v="503"/>
    <x v="77"/>
  </r>
  <r>
    <d v="2009-09-05T00:00:00"/>
    <n v="905"/>
    <x v="23"/>
    <n v="1099"/>
    <n v="17"/>
    <n v="217"/>
    <n v="86"/>
    <n v="720"/>
    <x v="78"/>
  </r>
  <r>
    <d v="2009-09-06T00:00:00"/>
    <n v="906"/>
    <x v="23"/>
    <n v="1254"/>
    <n v="34"/>
    <n v="152"/>
    <n v="33"/>
    <n v="872"/>
    <x v="79"/>
  </r>
  <r>
    <d v="2009-09-07T00:00:00"/>
    <n v="907"/>
    <x v="23"/>
    <n v="1068"/>
    <n v="40"/>
    <n v="132"/>
    <n v="38"/>
    <n v="1004"/>
    <x v="71"/>
  </r>
  <r>
    <d v="2009-09-08T00:00:00"/>
    <n v="908"/>
    <x v="23"/>
    <n v="1297"/>
    <n v="53"/>
    <n v="126"/>
    <n v="45"/>
    <n v="1130"/>
    <x v="72"/>
  </r>
  <r>
    <d v="2009-09-09T00:00:00"/>
    <n v="909"/>
    <x v="23"/>
    <n v="734"/>
    <n v="18"/>
    <n v="68"/>
    <n v="16"/>
    <n v="1198"/>
    <x v="73"/>
  </r>
  <r>
    <d v="2009-09-10T00:00:00"/>
    <n v="910"/>
    <x v="23"/>
    <n v="960"/>
    <n v="13"/>
    <n v="45"/>
    <n v="21"/>
    <n v="1243"/>
    <x v="74"/>
  </r>
  <r>
    <d v="2009-09-11T00:00:00"/>
    <n v="911"/>
    <x v="23"/>
    <n v="777"/>
    <n v="16"/>
    <n v="48"/>
    <n v="25"/>
    <n v="1291"/>
    <x v="68"/>
  </r>
  <r>
    <d v="2009-09-12T00:00:00"/>
    <n v="912"/>
    <x v="23"/>
    <n v="631"/>
    <n v="26"/>
    <n v="55"/>
    <n v="31"/>
    <n v="1346"/>
    <x v="69"/>
  </r>
  <r>
    <d v="2009-09-13T00:00:00"/>
    <n v="913"/>
    <x v="23"/>
    <n v="640"/>
    <n v="33"/>
    <n v="33"/>
    <n v="23"/>
    <n v="1379"/>
    <x v="70"/>
  </r>
  <r>
    <d v="2009-09-14T00:00:00"/>
    <n v="914"/>
    <x v="23"/>
    <n v="1066"/>
    <n v="63"/>
    <n v="37"/>
    <n v="35"/>
    <n v="1416"/>
    <x v="67"/>
  </r>
  <r>
    <d v="2009-09-15T00:00:00"/>
    <n v="915"/>
    <x v="23"/>
    <n v="254"/>
    <n v="24"/>
    <n v="19"/>
    <n v="23"/>
    <n v="1435"/>
    <x v="63"/>
  </r>
  <r>
    <d v="2009-09-16T00:00:00"/>
    <n v="916"/>
    <x v="23"/>
    <n v="2071"/>
    <n v="88"/>
    <n v="94"/>
    <n v="111"/>
    <n v="1529"/>
    <x v="64"/>
  </r>
  <r>
    <d v="2009-09-17T00:00:00"/>
    <n v="917"/>
    <x v="23"/>
    <n v="1668"/>
    <n v="17"/>
    <n v="73"/>
    <n v="56"/>
    <n v="1602"/>
    <x v="65"/>
  </r>
  <r>
    <d v="2009-09-18T00:00:00"/>
    <n v="918"/>
    <x v="23"/>
    <n v="1707"/>
    <n v="32"/>
    <n v="65"/>
    <n v="87"/>
    <n v="1667"/>
    <x v="0"/>
  </r>
  <r>
    <d v="2009-09-19T00:00:00"/>
    <n v="919"/>
    <x v="23"/>
    <n v="1573"/>
    <n v="44"/>
    <n v="99"/>
    <n v="112"/>
    <n v="1766"/>
    <x v="1"/>
  </r>
  <r>
    <d v="2009-09-20T00:00:00"/>
    <n v="920"/>
    <x v="23"/>
    <n v="1471"/>
    <n v="43"/>
    <n v="176"/>
    <n v="75"/>
    <n v="1942"/>
    <x v="2"/>
  </r>
  <r>
    <d v="2009-09-21T00:00:00"/>
    <n v="921"/>
    <x v="23"/>
    <n v="1564"/>
    <n v="54"/>
    <n v="77"/>
    <n v="66"/>
    <n v="2019"/>
    <x v="3"/>
  </r>
  <r>
    <d v="2009-09-22T00:00:00"/>
    <n v="922"/>
    <x v="23"/>
    <n v="1391"/>
    <n v="49"/>
    <n v="56"/>
    <n v="46"/>
    <n v="2075"/>
    <x v="4"/>
  </r>
  <r>
    <d v="2009-09-23T00:00:00"/>
    <n v="923"/>
    <x v="23"/>
    <n v="1487"/>
    <n v="48"/>
    <n v="78"/>
    <n v="83"/>
    <n v="2153"/>
    <x v="5"/>
  </r>
  <r>
    <d v="2009-09-24T00:00:00"/>
    <n v="924"/>
    <x v="23"/>
    <n v="1919"/>
    <n v="64"/>
    <n v="90"/>
    <n v="105"/>
    <n v="2243"/>
    <x v="6"/>
  </r>
  <r>
    <d v="2009-09-25T00:00:00"/>
    <n v="925"/>
    <x v="23"/>
    <n v="1783"/>
    <n v="44"/>
    <n v="98"/>
    <n v="94"/>
    <n v="2341"/>
    <x v="7"/>
  </r>
  <r>
    <d v="2009-09-26T00:00:00"/>
    <n v="926"/>
    <x v="23"/>
    <n v="2136"/>
    <n v="52"/>
    <n v="142"/>
    <n v="106"/>
    <n v="2483"/>
    <x v="8"/>
  </r>
  <r>
    <d v="2009-09-27T00:00:00"/>
    <n v="927"/>
    <x v="23"/>
    <n v="2131"/>
    <n v="64"/>
    <n v="131"/>
    <n v="114"/>
    <n v="2614"/>
    <x v="9"/>
  </r>
  <r>
    <d v="2009-09-28T00:00:00"/>
    <n v="928"/>
    <x v="23"/>
    <n v="2212"/>
    <n v="76"/>
    <n v="192"/>
    <n v="119"/>
    <n v="2806"/>
    <x v="10"/>
  </r>
  <r>
    <d v="2009-09-29T00:00:00"/>
    <n v="929"/>
    <x v="23"/>
    <n v="1956"/>
    <n v="50"/>
    <n v="256"/>
    <n v="76"/>
    <n v="3062"/>
    <x v="11"/>
  </r>
  <r>
    <d v="2009-09-30T00:00:00"/>
    <n v="930"/>
    <x v="23"/>
    <n v="1760"/>
    <n v="71"/>
    <n v="228"/>
    <n v="76"/>
    <n v="3290"/>
    <x v="12"/>
  </r>
  <r>
    <d v="2009-10-01T00:00:00"/>
    <n v="1001"/>
    <x v="23"/>
    <n v="1906"/>
    <n v="47"/>
    <n v="243"/>
    <n v="112"/>
    <n v="3533"/>
    <x v="13"/>
  </r>
  <r>
    <d v="2009-10-02T00:00:00"/>
    <n v="1002"/>
    <x v="23"/>
    <n v="1540"/>
    <n v="40"/>
    <n v="228"/>
    <n v="105"/>
    <n v="3761"/>
    <x v="14"/>
  </r>
  <r>
    <d v="2009-10-03T00:00:00"/>
    <n v="1003"/>
    <x v="23"/>
    <n v="1376"/>
    <n v="21"/>
    <n v="208"/>
    <n v="99"/>
    <n v="3969"/>
    <x v="15"/>
  </r>
  <r>
    <d v="2009-10-04T00:00:00"/>
    <n v="1004"/>
    <x v="23"/>
    <n v="1673"/>
    <n v="24"/>
    <n v="264"/>
    <n v="109"/>
    <n v="4233"/>
    <x v="16"/>
  </r>
  <r>
    <d v="2009-10-05T00:00:00"/>
    <n v="1005"/>
    <x v="23"/>
    <n v="1323"/>
    <n v="15"/>
    <n v="154"/>
    <n v="66"/>
    <n v="4387"/>
    <x v="17"/>
  </r>
  <r>
    <d v="2009-10-06T00:00:00"/>
    <n v="1006"/>
    <x v="23"/>
    <n v="2017"/>
    <n v="25"/>
    <n v="334"/>
    <n v="101"/>
    <n v="4721"/>
    <x v="18"/>
  </r>
  <r>
    <d v="2009-10-07T00:00:00"/>
    <n v="1007"/>
    <x v="23"/>
    <n v="1662"/>
    <n v="38"/>
    <n v="467"/>
    <n v="110"/>
    <n v="5188"/>
    <x v="19"/>
  </r>
  <r>
    <d v="2009-10-08T00:00:00"/>
    <n v="1008"/>
    <x v="23"/>
    <n v="1262"/>
    <n v="24"/>
    <n v="397"/>
    <n v="85"/>
    <n v="5585"/>
    <x v="20"/>
  </r>
  <r>
    <d v="2009-10-09T00:00:00"/>
    <n v="1009"/>
    <x v="23"/>
    <n v="431"/>
    <n v="11"/>
    <n v="172"/>
    <n v="31"/>
    <n v="5757"/>
    <x v="21"/>
  </r>
  <r>
    <d v="2009-10-10T00:00:00"/>
    <n v="1010"/>
    <x v="23"/>
    <n v="893"/>
    <n v="14"/>
    <n v="434"/>
    <n v="85"/>
    <n v="6191"/>
    <x v="22"/>
  </r>
  <r>
    <d v="2009-10-11T00:00:00"/>
    <n v="1011"/>
    <x v="23"/>
    <n v="727"/>
    <n v="19"/>
    <n v="668"/>
    <n v="132"/>
    <n v="6859"/>
    <x v="23"/>
  </r>
  <r>
    <d v="2009-10-12T00:00:00"/>
    <n v="1012"/>
    <x v="23"/>
    <n v="447"/>
    <n v="8"/>
    <n v="648"/>
    <n v="111"/>
    <n v="7507"/>
    <x v="24"/>
  </r>
  <r>
    <d v="2009-10-13T00:00:00"/>
    <n v="1013"/>
    <x v="23"/>
    <n v="357"/>
    <n v="12"/>
    <n v="677"/>
    <n v="130"/>
    <n v="8184"/>
    <x v="25"/>
  </r>
  <r>
    <d v="2009-10-14T00:00:00"/>
    <n v="1014"/>
    <x v="23"/>
    <n v="1051"/>
    <n v="14"/>
    <n v="529"/>
    <n v="111"/>
    <n v="8713"/>
    <x v="26"/>
  </r>
  <r>
    <d v="2009-10-15T00:00:00"/>
    <n v="1015"/>
    <x v="23"/>
    <n v="1047"/>
    <n v="19"/>
    <n v="352"/>
    <n v="103"/>
    <n v="9065"/>
    <x v="27"/>
  </r>
  <r>
    <d v="2009-10-16T00:00:00"/>
    <n v="1016"/>
    <x v="23"/>
    <n v="76"/>
    <n v="1"/>
    <n v="41"/>
    <n v="15"/>
    <n v="9106"/>
    <x v="28"/>
  </r>
  <r>
    <d v="2009-10-17T00:00:00"/>
    <n v="1017"/>
    <x v="23"/>
    <n v="0"/>
    <n v="0"/>
    <n v="0"/>
    <n v="0"/>
    <n v="9106"/>
    <x v="29"/>
  </r>
  <r>
    <d v="2009-10-18T00:00:00"/>
    <n v="1018"/>
    <x v="23"/>
    <n v="0"/>
    <n v="0"/>
    <n v="0"/>
    <n v="0"/>
    <n v="9106"/>
    <x v="30"/>
  </r>
  <r>
    <d v="2009-10-19T00:00:00"/>
    <n v="1019"/>
    <x v="23"/>
    <n v="1264"/>
    <n v="3"/>
    <n v="406"/>
    <n v="84"/>
    <n v="9512"/>
    <x v="31"/>
  </r>
  <r>
    <d v="2009-10-20T00:00:00"/>
    <n v="1020"/>
    <x v="23"/>
    <n v="935"/>
    <n v="9"/>
    <n v="775"/>
    <n v="71"/>
    <n v="10287"/>
    <x v="32"/>
  </r>
  <r>
    <d v="2009-10-21T00:00:00"/>
    <n v="1021"/>
    <x v="23"/>
    <n v="488"/>
    <n v="3"/>
    <n v="393"/>
    <n v="46"/>
    <n v="10680"/>
    <x v="33"/>
  </r>
  <r>
    <d v="2009-10-22T00:00:00"/>
    <n v="1022"/>
    <x v="23"/>
    <n v="545"/>
    <n v="2"/>
    <n v="172"/>
    <n v="20"/>
    <n v="10852"/>
    <x v="34"/>
  </r>
  <r>
    <d v="2009-10-23T00:00:00"/>
    <n v="1023"/>
    <x v="23"/>
    <n v="457"/>
    <n v="4"/>
    <n v="232"/>
    <n v="26"/>
    <n v="11084"/>
    <x v="35"/>
  </r>
  <r>
    <d v="2009-10-24T00:00:00"/>
    <n v="1024"/>
    <x v="23"/>
    <n v="246"/>
    <n v="5"/>
    <n v="120"/>
    <n v="21"/>
    <n v="11204"/>
    <x v="36"/>
  </r>
  <r>
    <d v="2009-10-25T00:00:00"/>
    <n v="1025"/>
    <x v="23"/>
    <n v="83"/>
    <n v="0"/>
    <n v="116"/>
    <n v="11"/>
    <n v="11320"/>
    <x v="37"/>
  </r>
  <r>
    <d v="2009-10-26T00:00:00"/>
    <n v="1026"/>
    <x v="23"/>
    <n v="126"/>
    <n v="2"/>
    <n v="96"/>
    <n v="11"/>
    <n v="11416"/>
    <x v="38"/>
  </r>
  <r>
    <d v="2009-10-27T00:00:00"/>
    <n v="1027"/>
    <x v="23"/>
    <n v="236"/>
    <n v="5"/>
    <n v="66"/>
    <n v="10"/>
    <n v="11482"/>
    <x v="39"/>
  </r>
  <r>
    <d v="2009-10-28T00:00:00"/>
    <n v="1028"/>
    <x v="23"/>
    <n v="151"/>
    <n v="3"/>
    <n v="58"/>
    <n v="11"/>
    <n v="11540"/>
    <x v="40"/>
  </r>
  <r>
    <d v="2009-10-29T00:00:00"/>
    <n v="1029"/>
    <x v="23"/>
    <n v="71"/>
    <n v="9"/>
    <n v="19"/>
    <n v="8"/>
    <n v="11559"/>
    <x v="41"/>
  </r>
  <r>
    <d v="2009-10-30T00:00:00"/>
    <n v="1030"/>
    <x v="23"/>
    <n v="72"/>
    <n v="6"/>
    <n v="49"/>
    <n v="13"/>
    <n v="11608"/>
    <x v="42"/>
  </r>
  <r>
    <d v="2009-10-31T00:00:00"/>
    <n v="1031"/>
    <x v="23"/>
    <n v="0"/>
    <n v="0"/>
    <n v="0"/>
    <n v="0"/>
    <n v="11608"/>
    <x v="43"/>
  </r>
  <r>
    <d v="2009-11-01T00:00:00"/>
    <n v="1101"/>
    <x v="23"/>
    <n v="0"/>
    <n v="0"/>
    <n v="0"/>
    <n v="0"/>
    <n v="11608"/>
    <x v="44"/>
  </r>
  <r>
    <d v="2009-11-02T00:00:00"/>
    <n v="1102"/>
    <x v="23"/>
    <n v="0"/>
    <n v="0"/>
    <n v="0"/>
    <n v="0"/>
    <n v="11608"/>
    <x v="45"/>
  </r>
  <r>
    <d v="2009-11-03T00:00:00"/>
    <n v="1103"/>
    <x v="23"/>
    <n v="443"/>
    <n v="10"/>
    <n v="13"/>
    <n v="9"/>
    <n v="11621"/>
    <x v="46"/>
  </r>
  <r>
    <d v="2009-11-04T00:00:00"/>
    <n v="1104"/>
    <x v="23"/>
    <n v="200"/>
    <n v="10"/>
    <n v="11"/>
    <n v="5"/>
    <n v="11632"/>
    <x v="47"/>
  </r>
  <r>
    <d v="2009-11-05T00:00:00"/>
    <n v="1105"/>
    <x v="23"/>
    <n v="217"/>
    <n v="10"/>
    <n v="10"/>
    <n v="4"/>
    <n v="11642"/>
    <x v="48"/>
  </r>
  <r>
    <d v="2009-11-06T00:00:00"/>
    <n v="1106"/>
    <x v="23"/>
    <n v="0"/>
    <n v="0"/>
    <n v="0"/>
    <n v="0"/>
    <n v="11642"/>
    <x v="49"/>
  </r>
  <r>
    <d v="2009-11-07T00:00:00"/>
    <n v="1107"/>
    <x v="23"/>
    <n v="0"/>
    <n v="0"/>
    <n v="0"/>
    <n v="0"/>
    <n v="11642"/>
    <x v="50"/>
  </r>
  <r>
    <d v="2009-11-08T00:00:00"/>
    <n v="1108"/>
    <x v="23"/>
    <n v="299"/>
    <n v="0"/>
    <n v="4"/>
    <n v="0"/>
    <n v="11646"/>
    <x v="51"/>
  </r>
  <r>
    <d v="2009-11-09T00:00:00"/>
    <n v="1109"/>
    <x v="23"/>
    <n v="0"/>
    <n v="0"/>
    <n v="0"/>
    <n v="0"/>
    <n v="11646"/>
    <x v="52"/>
  </r>
  <r>
    <d v="2009-11-10T00:00:00"/>
    <n v="1110"/>
    <x v="23"/>
    <n v="0"/>
    <n v="0"/>
    <n v="0"/>
    <n v="0"/>
    <n v="11646"/>
    <x v="53"/>
  </r>
  <r>
    <d v="2009-11-11T00:00:00"/>
    <n v="1111"/>
    <x v="23"/>
    <n v="0"/>
    <n v="0"/>
    <n v="0"/>
    <n v="0"/>
    <n v="11646"/>
    <x v="54"/>
  </r>
  <r>
    <d v="2009-11-12T00:00:00"/>
    <n v="1112"/>
    <x v="23"/>
    <n v="0"/>
    <n v="0"/>
    <n v="0"/>
    <n v="0"/>
    <n v="11646"/>
    <x v="55"/>
  </r>
  <r>
    <d v="2010-09-01T00:00:00"/>
    <n v="901"/>
    <x v="24"/>
    <n v="604"/>
    <n v="1"/>
    <n v="0"/>
    <n v="0"/>
    <n v="0"/>
    <x v="80"/>
  </r>
  <r>
    <d v="2010-09-02T00:00:00"/>
    <n v="902"/>
    <x v="24"/>
    <n v="1726"/>
    <n v="0"/>
    <n v="1128"/>
    <n v="44"/>
    <n v="1128"/>
    <x v="75"/>
  </r>
  <r>
    <d v="2010-09-02T00:00:00"/>
    <n v="902"/>
    <x v="24"/>
    <n v="55"/>
    <n v="10"/>
    <n v="141"/>
    <n v="7"/>
    <n v="1269"/>
    <x v="75"/>
  </r>
  <r>
    <d v="2010-09-03T00:00:00"/>
    <n v="903"/>
    <x v="24"/>
    <n v="258"/>
    <n v="47"/>
    <n v="176"/>
    <n v="11"/>
    <n v="1445"/>
    <x v="76"/>
  </r>
  <r>
    <d v="2010-09-04T00:00:00"/>
    <n v="904"/>
    <x v="24"/>
    <n v="249"/>
    <n v="39"/>
    <n v="215"/>
    <n v="8"/>
    <n v="1660"/>
    <x v="77"/>
  </r>
  <r>
    <d v="2010-09-05T00:00:00"/>
    <n v="905"/>
    <x v="24"/>
    <n v="416"/>
    <n v="78"/>
    <n v="247"/>
    <n v="26"/>
    <n v="1907"/>
    <x v="78"/>
  </r>
  <r>
    <d v="2010-09-06T00:00:00"/>
    <n v="906"/>
    <x v="24"/>
    <n v="355"/>
    <n v="65"/>
    <n v="186"/>
    <n v="36"/>
    <n v="2093"/>
    <x v="79"/>
  </r>
  <r>
    <d v="2010-09-07T00:00:00"/>
    <n v="907"/>
    <x v="24"/>
    <n v="668"/>
    <n v="104"/>
    <n v="371"/>
    <n v="53"/>
    <n v="2464"/>
    <x v="71"/>
  </r>
  <r>
    <d v="2010-09-08T00:00:00"/>
    <n v="908"/>
    <x v="24"/>
    <n v="698"/>
    <n v="124"/>
    <n v="582"/>
    <n v="72"/>
    <n v="3046"/>
    <x v="72"/>
  </r>
  <r>
    <d v="2010-09-09T00:00:00"/>
    <n v="909"/>
    <x v="24"/>
    <n v="664"/>
    <n v="71"/>
    <n v="389"/>
    <n v="32"/>
    <n v="3435"/>
    <x v="73"/>
  </r>
  <r>
    <d v="2010-09-10T00:00:00"/>
    <n v="910"/>
    <x v="24"/>
    <n v="642"/>
    <n v="67"/>
    <n v="335"/>
    <n v="15"/>
    <n v="3770"/>
    <x v="74"/>
  </r>
  <r>
    <d v="2010-09-11T00:00:00"/>
    <n v="911"/>
    <x v="24"/>
    <n v="857"/>
    <n v="74"/>
    <n v="417"/>
    <n v="26"/>
    <n v="4187"/>
    <x v="68"/>
  </r>
  <r>
    <d v="2010-09-12T00:00:00"/>
    <n v="912"/>
    <x v="24"/>
    <n v="700"/>
    <n v="89"/>
    <n v="312"/>
    <n v="30"/>
    <n v="4499"/>
    <x v="69"/>
  </r>
  <r>
    <d v="2010-09-13T00:00:00"/>
    <n v="913"/>
    <x v="24"/>
    <n v="621"/>
    <n v="76"/>
    <n v="281"/>
    <n v="38"/>
    <n v="4780"/>
    <x v="70"/>
  </r>
  <r>
    <d v="2010-09-14T00:00:00"/>
    <n v="914"/>
    <x v="24"/>
    <n v="512"/>
    <n v="79"/>
    <n v="320"/>
    <n v="37"/>
    <n v="5100"/>
    <x v="67"/>
  </r>
  <r>
    <d v="2010-09-15T00:00:00"/>
    <n v="915"/>
    <x v="24"/>
    <n v="598"/>
    <n v="105"/>
    <n v="370"/>
    <n v="36"/>
    <n v="5470"/>
    <x v="63"/>
  </r>
  <r>
    <d v="2010-09-16T00:00:00"/>
    <n v="916"/>
    <x v="24"/>
    <n v="661"/>
    <n v="164"/>
    <n v="545"/>
    <n v="37"/>
    <n v="6015"/>
    <x v="64"/>
  </r>
  <r>
    <d v="2010-09-17T00:00:00"/>
    <n v="917"/>
    <x v="24"/>
    <n v="925"/>
    <n v="241"/>
    <n v="867"/>
    <n v="87"/>
    <n v="6882"/>
    <x v="65"/>
  </r>
  <r>
    <d v="2010-09-18T00:00:00"/>
    <n v="918"/>
    <x v="24"/>
    <n v="741"/>
    <n v="174"/>
    <n v="914"/>
    <n v="71"/>
    <n v="7796"/>
    <x v="0"/>
  </r>
  <r>
    <d v="2010-09-19T00:00:00"/>
    <n v="919"/>
    <x v="24"/>
    <n v="531"/>
    <n v="203"/>
    <n v="752"/>
    <n v="70"/>
    <n v="8548"/>
    <x v="1"/>
  </r>
  <r>
    <d v="2010-09-20T00:00:00"/>
    <n v="920"/>
    <x v="24"/>
    <n v="416"/>
    <n v="141"/>
    <n v="762"/>
    <n v="33"/>
    <n v="9310"/>
    <x v="2"/>
  </r>
  <r>
    <d v="2010-09-21T00:00:00"/>
    <n v="921"/>
    <x v="24"/>
    <n v="347"/>
    <n v="112"/>
    <n v="589"/>
    <n v="21"/>
    <n v="9899"/>
    <x v="3"/>
  </r>
  <r>
    <d v="2010-09-22T00:00:00"/>
    <n v="922"/>
    <x v="24"/>
    <n v="234"/>
    <n v="108"/>
    <n v="537"/>
    <n v="21"/>
    <n v="10436"/>
    <x v="4"/>
  </r>
  <r>
    <d v="2010-09-23T00:00:00"/>
    <n v="923"/>
    <x v="24"/>
    <n v="249"/>
    <n v="94"/>
    <n v="778"/>
    <n v="30"/>
    <n v="11214"/>
    <x v="5"/>
  </r>
  <r>
    <d v="2010-09-24T00:00:00"/>
    <n v="924"/>
    <x v="24"/>
    <n v="414"/>
    <n v="99"/>
    <n v="629"/>
    <n v="16"/>
    <n v="11843"/>
    <x v="6"/>
  </r>
  <r>
    <d v="2010-09-25T00:00:00"/>
    <n v="925"/>
    <x v="24"/>
    <n v="536"/>
    <n v="96"/>
    <n v="725"/>
    <n v="21"/>
    <n v="12568"/>
    <x v="7"/>
  </r>
  <r>
    <d v="2010-09-26T00:00:00"/>
    <n v="926"/>
    <x v="24"/>
    <n v="689"/>
    <n v="141"/>
    <n v="624"/>
    <n v="23"/>
    <n v="13192"/>
    <x v="8"/>
  </r>
  <r>
    <d v="2010-09-27T00:00:00"/>
    <n v="927"/>
    <x v="24"/>
    <n v="459"/>
    <n v="127"/>
    <n v="747"/>
    <n v="31"/>
    <n v="13939"/>
    <x v="9"/>
  </r>
  <r>
    <d v="2010-09-28T00:00:00"/>
    <n v="928"/>
    <x v="24"/>
    <n v="625"/>
    <n v="171"/>
    <n v="625"/>
    <n v="33"/>
    <n v="14564"/>
    <x v="10"/>
  </r>
  <r>
    <d v="2010-09-29T00:00:00"/>
    <n v="929"/>
    <x v="24"/>
    <n v="365"/>
    <n v="102"/>
    <n v="282"/>
    <n v="12"/>
    <n v="14846"/>
    <x v="11"/>
  </r>
  <r>
    <d v="2010-09-30T00:00:00"/>
    <n v="930"/>
    <x v="24"/>
    <n v="357"/>
    <n v="79"/>
    <n v="325"/>
    <n v="12"/>
    <n v="15171"/>
    <x v="12"/>
  </r>
  <r>
    <d v="2010-10-01T00:00:00"/>
    <n v="1001"/>
    <x v="24"/>
    <n v="426"/>
    <n v="106"/>
    <n v="399"/>
    <n v="15"/>
    <n v="15570"/>
    <x v="13"/>
  </r>
  <r>
    <d v="2010-10-02T00:00:00"/>
    <n v="1002"/>
    <x v="24"/>
    <n v="490"/>
    <n v="88"/>
    <n v="603"/>
    <n v="28"/>
    <n v="16173"/>
    <x v="14"/>
  </r>
  <r>
    <d v="2010-10-03T00:00:00"/>
    <n v="1003"/>
    <x v="24"/>
    <n v="388"/>
    <n v="84"/>
    <n v="770"/>
    <n v="28"/>
    <n v="16943"/>
    <x v="15"/>
  </r>
  <r>
    <d v="2010-10-04T00:00:00"/>
    <n v="1004"/>
    <x v="24"/>
    <n v="343"/>
    <n v="96"/>
    <n v="800"/>
    <n v="33"/>
    <n v="17743"/>
    <x v="16"/>
  </r>
  <r>
    <d v="2010-10-05T00:00:00"/>
    <n v="1005"/>
    <x v="24"/>
    <n v="260"/>
    <n v="61"/>
    <n v="844"/>
    <n v="34"/>
    <n v="18587"/>
    <x v="17"/>
  </r>
  <r>
    <d v="2010-10-06T00:00:00"/>
    <n v="1006"/>
    <x v="24"/>
    <n v="263"/>
    <n v="69"/>
    <n v="521"/>
    <n v="29"/>
    <n v="19108"/>
    <x v="18"/>
  </r>
  <r>
    <d v="2010-10-07T00:00:00"/>
    <n v="1007"/>
    <x v="24"/>
    <n v="293"/>
    <n v="57"/>
    <n v="576"/>
    <n v="15"/>
    <n v="19684"/>
    <x v="19"/>
  </r>
  <r>
    <d v="2010-10-08T00:00:00"/>
    <n v="1008"/>
    <x v="24"/>
    <n v="237"/>
    <n v="47"/>
    <n v="646"/>
    <n v="25"/>
    <n v="20330"/>
    <x v="20"/>
  </r>
  <r>
    <d v="2010-10-09T00:00:00"/>
    <n v="1009"/>
    <x v="24"/>
    <n v="317"/>
    <n v="46"/>
    <n v="392"/>
    <n v="10"/>
    <n v="20722"/>
    <x v="21"/>
  </r>
  <r>
    <d v="2010-10-10T00:00:00"/>
    <n v="1010"/>
    <x v="24"/>
    <n v="390"/>
    <n v="31"/>
    <n v="524"/>
    <n v="17"/>
    <n v="21246"/>
    <x v="22"/>
  </r>
  <r>
    <d v="2010-10-11T00:00:00"/>
    <n v="1011"/>
    <x v="24"/>
    <n v="244"/>
    <n v="22"/>
    <n v="323"/>
    <n v="12"/>
    <n v="21569"/>
    <x v="23"/>
  </r>
  <r>
    <d v="2010-10-12T00:00:00"/>
    <n v="1012"/>
    <x v="24"/>
    <n v="168"/>
    <n v="15"/>
    <n v="304"/>
    <n v="11"/>
    <n v="21873"/>
    <x v="24"/>
  </r>
  <r>
    <d v="2010-10-13T00:00:00"/>
    <n v="1013"/>
    <x v="24"/>
    <n v="85"/>
    <n v="11"/>
    <n v="283"/>
    <n v="10"/>
    <n v="22156"/>
    <x v="25"/>
  </r>
  <r>
    <d v="2010-10-14T00:00:00"/>
    <n v="1014"/>
    <x v="24"/>
    <n v="59"/>
    <n v="10"/>
    <n v="277"/>
    <n v="13"/>
    <n v="22433"/>
    <x v="26"/>
  </r>
  <r>
    <d v="2010-10-15T00:00:00"/>
    <n v="1015"/>
    <x v="24"/>
    <n v="37"/>
    <n v="4"/>
    <n v="180"/>
    <n v="9"/>
    <n v="22613"/>
    <x v="27"/>
  </r>
  <r>
    <d v="2010-10-16T00:00:00"/>
    <n v="1016"/>
    <x v="24"/>
    <n v="28"/>
    <n v="8"/>
    <n v="177"/>
    <n v="6"/>
    <n v="22790"/>
    <x v="28"/>
  </r>
  <r>
    <d v="2010-10-17T00:00:00"/>
    <n v="1017"/>
    <x v="24"/>
    <n v="23"/>
    <n v="1"/>
    <n v="256"/>
    <n v="9"/>
    <n v="23046"/>
    <x v="29"/>
  </r>
  <r>
    <d v="2010-10-18T00:00:00"/>
    <n v="1018"/>
    <x v="24"/>
    <n v="24"/>
    <n v="3"/>
    <n v="307"/>
    <n v="6"/>
    <n v="23353"/>
    <x v="30"/>
  </r>
  <r>
    <d v="2010-10-19T00:00:00"/>
    <n v="1019"/>
    <x v="24"/>
    <n v="22"/>
    <n v="8"/>
    <n v="242"/>
    <n v="7"/>
    <n v="23595"/>
    <x v="31"/>
  </r>
  <r>
    <d v="2010-10-20T00:00:00"/>
    <n v="1020"/>
    <x v="24"/>
    <n v="40"/>
    <n v="4"/>
    <n v="373"/>
    <n v="16"/>
    <n v="23968"/>
    <x v="32"/>
  </r>
  <r>
    <d v="2010-10-21T00:00:00"/>
    <n v="1021"/>
    <x v="24"/>
    <n v="30"/>
    <n v="3"/>
    <n v="304"/>
    <n v="16"/>
    <n v="24272"/>
    <x v="33"/>
  </r>
  <r>
    <d v="2010-10-22T00:00:00"/>
    <n v="1022"/>
    <x v="24"/>
    <n v="19"/>
    <n v="9"/>
    <n v="348"/>
    <n v="10"/>
    <n v="24620"/>
    <x v="34"/>
  </r>
  <r>
    <d v="2010-10-23T00:00:00"/>
    <n v="1023"/>
    <x v="24"/>
    <n v="15"/>
    <n v="6"/>
    <n v="56"/>
    <n v="4"/>
    <n v="24676"/>
    <x v="35"/>
  </r>
  <r>
    <d v="2010-10-24T00:00:00"/>
    <n v="1024"/>
    <x v="24"/>
    <n v="0"/>
    <n v="0"/>
    <n v="0"/>
    <n v="0"/>
    <n v="24676"/>
    <x v="36"/>
  </r>
  <r>
    <d v="2010-10-25T00:00:00"/>
    <n v="1025"/>
    <x v="24"/>
    <n v="0"/>
    <n v="0"/>
    <n v="0"/>
    <n v="0"/>
    <n v="24676"/>
    <x v="37"/>
  </r>
  <r>
    <d v="2010-10-26T00:00:00"/>
    <n v="1026"/>
    <x v="24"/>
    <n v="0"/>
    <n v="0"/>
    <n v="0"/>
    <n v="0"/>
    <n v="24676"/>
    <x v="38"/>
  </r>
  <r>
    <d v="2010-10-27T00:00:00"/>
    <n v="1027"/>
    <x v="24"/>
    <n v="40"/>
    <n v="2"/>
    <n v="74"/>
    <n v="4"/>
    <n v="24750"/>
    <x v="39"/>
  </r>
  <r>
    <d v="2010-10-28T00:00:00"/>
    <n v="1028"/>
    <x v="24"/>
    <n v="42"/>
    <n v="10"/>
    <n v="82"/>
    <n v="6"/>
    <n v="24832"/>
    <x v="40"/>
  </r>
  <r>
    <d v="2010-10-29T00:00:00"/>
    <n v="1029"/>
    <x v="24"/>
    <n v="20"/>
    <n v="4"/>
    <n v="45"/>
    <n v="2"/>
    <n v="24877"/>
    <x v="41"/>
  </r>
  <r>
    <d v="2010-10-30T00:00:00"/>
    <n v="1030"/>
    <x v="24"/>
    <n v="24"/>
    <n v="2"/>
    <n v="32"/>
    <n v="3"/>
    <n v="24909"/>
    <x v="42"/>
  </r>
  <r>
    <d v="2010-10-31T00:00:00"/>
    <n v="1031"/>
    <x v="24"/>
    <n v="0"/>
    <n v="0"/>
    <n v="0"/>
    <n v="0"/>
    <n v="24909"/>
    <x v="43"/>
  </r>
  <r>
    <d v="2010-11-01T00:00:00"/>
    <n v="1101"/>
    <x v="24"/>
    <n v="0"/>
    <n v="0"/>
    <n v="0"/>
    <n v="0"/>
    <n v="24909"/>
    <x v="44"/>
  </r>
  <r>
    <d v="2010-11-02T00:00:00"/>
    <n v="1102"/>
    <x v="24"/>
    <n v="0"/>
    <n v="0"/>
    <n v="0"/>
    <n v="0"/>
    <n v="24909"/>
    <x v="45"/>
  </r>
  <r>
    <d v="2010-11-03T00:00:00"/>
    <n v="1103"/>
    <x v="24"/>
    <n v="0"/>
    <n v="0"/>
    <n v="0"/>
    <n v="0"/>
    <n v="24909"/>
    <x v="46"/>
  </r>
  <r>
    <d v="2010-11-04T00:00:00"/>
    <n v="1104"/>
    <x v="24"/>
    <n v="19"/>
    <n v="1"/>
    <n v="9"/>
    <n v="1"/>
    <n v="24918"/>
    <x v="47"/>
  </r>
  <r>
    <d v="2010-11-05T00:00:00"/>
    <n v="1105"/>
    <x v="24"/>
    <n v="68"/>
    <n v="3"/>
    <n v="18"/>
    <n v="1"/>
    <n v="24936"/>
    <x v="48"/>
  </r>
  <r>
    <d v="2010-11-06T00:00:00"/>
    <n v="1106"/>
    <x v="24"/>
    <n v="24"/>
    <n v="1"/>
    <n v="6"/>
    <n v="0"/>
    <n v="24942"/>
    <x v="49"/>
  </r>
  <r>
    <d v="2011-08-31T00:00:00"/>
    <n v="831"/>
    <x v="25"/>
    <n v="0"/>
    <n v="0"/>
    <n v="0"/>
    <n v="0"/>
    <n v="0"/>
    <x v="81"/>
  </r>
  <r>
    <d v="2011-09-01T00:00:00"/>
    <n v="901"/>
    <x v="25"/>
    <n v="1310"/>
    <n v="0"/>
    <n v="1010"/>
    <n v="3"/>
    <n v="1010"/>
    <x v="80"/>
  </r>
  <r>
    <d v="2011-09-01T00:00:00"/>
    <n v="901"/>
    <x v="25"/>
    <n v="22"/>
    <n v="0"/>
    <n v="345"/>
    <n v="0"/>
    <n v="1355"/>
    <x v="80"/>
  </r>
  <r>
    <d v="2011-09-01T00:00:00"/>
    <n v="901"/>
    <x v="25"/>
    <n v="458"/>
    <n v="36"/>
    <n v="598"/>
    <n v="12"/>
    <n v="1953"/>
    <x v="80"/>
  </r>
  <r>
    <d v="2011-09-02T00:00:00"/>
    <n v="902"/>
    <x v="25"/>
    <n v="644"/>
    <n v="41"/>
    <n v="314"/>
    <n v="15"/>
    <n v="2267"/>
    <x v="75"/>
  </r>
  <r>
    <d v="2011-09-03T00:00:00"/>
    <n v="903"/>
    <x v="25"/>
    <n v="262"/>
    <n v="18"/>
    <n v="548"/>
    <n v="3"/>
    <n v="2815"/>
    <x v="76"/>
  </r>
  <r>
    <d v="2011-09-04T00:00:00"/>
    <n v="904"/>
    <x v="25"/>
    <n v="283"/>
    <n v="21"/>
    <n v="576"/>
    <n v="8"/>
    <n v="3391"/>
    <x v="77"/>
  </r>
  <r>
    <d v="2011-09-05T00:00:00"/>
    <n v="905"/>
    <x v="25"/>
    <n v="552"/>
    <n v="61"/>
    <n v="519"/>
    <n v="10"/>
    <n v="3910"/>
    <x v="78"/>
  </r>
  <r>
    <d v="2011-09-06T00:00:00"/>
    <n v="906"/>
    <x v="25"/>
    <n v="487"/>
    <n v="67"/>
    <n v="386"/>
    <n v="16"/>
    <n v="4296"/>
    <x v="79"/>
  </r>
  <r>
    <d v="2011-09-07T00:00:00"/>
    <n v="907"/>
    <x v="25"/>
    <n v="699"/>
    <n v="71"/>
    <n v="434"/>
    <n v="17"/>
    <n v="4730"/>
    <x v="71"/>
  </r>
  <r>
    <d v="2011-09-08T00:00:00"/>
    <n v="908"/>
    <x v="25"/>
    <n v="503"/>
    <n v="61"/>
    <n v="452"/>
    <n v="24"/>
    <n v="5182"/>
    <x v="72"/>
  </r>
  <r>
    <d v="2011-09-09T00:00:00"/>
    <n v="909"/>
    <x v="25"/>
    <n v="539"/>
    <n v="59"/>
    <n v="499"/>
    <n v="21"/>
    <n v="5681"/>
    <x v="73"/>
  </r>
  <r>
    <d v="2011-09-10T00:00:00"/>
    <n v="910"/>
    <x v="25"/>
    <n v="516"/>
    <n v="96"/>
    <n v="579"/>
    <n v="37"/>
    <n v="6260"/>
    <x v="74"/>
  </r>
  <r>
    <d v="2011-09-11T00:00:00"/>
    <n v="911"/>
    <x v="25"/>
    <n v="494"/>
    <n v="78"/>
    <n v="557"/>
    <n v="18"/>
    <n v="6817"/>
    <x v="68"/>
  </r>
  <r>
    <d v="2011-09-12T00:00:00"/>
    <n v="912"/>
    <x v="25"/>
    <n v="457"/>
    <n v="80"/>
    <n v="799"/>
    <n v="29"/>
    <n v="7616"/>
    <x v="69"/>
  </r>
  <r>
    <d v="2011-09-13T00:00:00"/>
    <n v="913"/>
    <x v="25"/>
    <n v="1281"/>
    <n v="81"/>
    <n v="447"/>
    <n v="28"/>
    <n v="8063"/>
    <x v="70"/>
  </r>
  <r>
    <d v="2011-09-14T00:00:00"/>
    <n v="914"/>
    <x v="25"/>
    <n v="922"/>
    <n v="62"/>
    <n v="552"/>
    <n v="22"/>
    <n v="8615"/>
    <x v="67"/>
  </r>
  <r>
    <d v="2011-09-15T00:00:00"/>
    <n v="915"/>
    <x v="25"/>
    <n v="2003"/>
    <n v="84"/>
    <n v="823"/>
    <n v="22"/>
    <n v="9438"/>
    <x v="63"/>
  </r>
  <r>
    <d v="2011-09-16T00:00:00"/>
    <n v="916"/>
    <x v="25"/>
    <n v="2240"/>
    <n v="62"/>
    <n v="1056"/>
    <n v="4"/>
    <n v="10494"/>
    <x v="64"/>
  </r>
  <r>
    <d v="2011-09-17T00:00:00"/>
    <n v="917"/>
    <x v="25"/>
    <n v="2883"/>
    <n v="95"/>
    <n v="881"/>
    <n v="16"/>
    <n v="11375"/>
    <x v="65"/>
  </r>
  <r>
    <d v="2011-09-18T00:00:00"/>
    <n v="918"/>
    <x v="25"/>
    <n v="2364"/>
    <n v="72"/>
    <n v="622"/>
    <n v="9"/>
    <n v="11997"/>
    <x v="0"/>
  </r>
  <r>
    <d v="2011-09-19T00:00:00"/>
    <n v="919"/>
    <x v="25"/>
    <n v="1282"/>
    <n v="46"/>
    <n v="255"/>
    <n v="4"/>
    <n v="12252"/>
    <x v="1"/>
  </r>
  <r>
    <d v="2011-09-20T00:00:00"/>
    <n v="920"/>
    <x v="25"/>
    <n v="2241"/>
    <n v="120"/>
    <n v="605"/>
    <n v="16"/>
    <n v="12857"/>
    <x v="2"/>
  </r>
  <r>
    <d v="2011-09-21T00:00:00"/>
    <n v="921"/>
    <x v="25"/>
    <n v="1823"/>
    <n v="102"/>
    <n v="979"/>
    <n v="26"/>
    <n v="13836"/>
    <x v="3"/>
  </r>
  <r>
    <d v="2011-09-22T00:00:00"/>
    <n v="922"/>
    <x v="25"/>
    <n v="3623"/>
    <n v="201"/>
    <n v="877"/>
    <n v="26"/>
    <n v="14713"/>
    <x v="4"/>
  </r>
  <r>
    <d v="2011-09-23T00:00:00"/>
    <n v="923"/>
    <x v="25"/>
    <n v="1561"/>
    <n v="80"/>
    <n v="644"/>
    <n v="26"/>
    <n v="15357"/>
    <x v="5"/>
  </r>
  <r>
    <d v="2011-09-24T00:00:00"/>
    <n v="924"/>
    <x v="25"/>
    <n v="1280"/>
    <n v="44"/>
    <n v="248"/>
    <n v="2"/>
    <n v="15605"/>
    <x v="6"/>
  </r>
  <r>
    <d v="2011-09-25T00:00:00"/>
    <n v="925"/>
    <x v="25"/>
    <n v="1211"/>
    <n v="5"/>
    <n v="540"/>
    <n v="12"/>
    <n v="16145"/>
    <x v="7"/>
  </r>
  <r>
    <d v="2011-09-26T00:00:00"/>
    <n v="926"/>
    <x v="25"/>
    <n v="1026"/>
    <n v="38"/>
    <n v="630"/>
    <n v="16"/>
    <n v="16775"/>
    <x v="8"/>
  </r>
  <r>
    <d v="2011-09-27T00:00:00"/>
    <n v="927"/>
    <x v="25"/>
    <n v="159"/>
    <n v="2"/>
    <n v="389"/>
    <n v="5"/>
    <n v="17164"/>
    <x v="9"/>
  </r>
  <r>
    <d v="2011-09-28T00:00:00"/>
    <n v="928"/>
    <x v="25"/>
    <n v="767"/>
    <n v="17"/>
    <n v="430"/>
    <n v="11"/>
    <n v="17594"/>
    <x v="10"/>
  </r>
  <r>
    <d v="2011-09-29T00:00:00"/>
    <n v="929"/>
    <x v="25"/>
    <n v="995"/>
    <n v="15"/>
    <n v="459"/>
    <n v="13"/>
    <n v="18053"/>
    <x v="11"/>
  </r>
  <r>
    <d v="2011-09-30T00:00:00"/>
    <n v="930"/>
    <x v="25"/>
    <n v="1026"/>
    <n v="37"/>
    <n v="131"/>
    <n v="3"/>
    <n v="18184"/>
    <x v="12"/>
  </r>
  <r>
    <d v="2011-10-01T00:00:00"/>
    <n v="1001"/>
    <x v="25"/>
    <n v="1146"/>
    <n v="68"/>
    <n v="307"/>
    <n v="9"/>
    <n v="18491"/>
    <x v="13"/>
  </r>
  <r>
    <d v="2011-10-02T00:00:00"/>
    <n v="1002"/>
    <x v="25"/>
    <n v="1298"/>
    <n v="52"/>
    <n v="333"/>
    <n v="6"/>
    <n v="18824"/>
    <x v="14"/>
  </r>
  <r>
    <d v="2011-10-03T00:00:00"/>
    <n v="1003"/>
    <x v="25"/>
    <n v="867"/>
    <n v="34"/>
    <n v="314"/>
    <n v="8"/>
    <n v="19138"/>
    <x v="15"/>
  </r>
  <r>
    <d v="2011-10-04T00:00:00"/>
    <n v="1004"/>
    <x v="25"/>
    <n v="565"/>
    <n v="23"/>
    <n v="363"/>
    <n v="11"/>
    <n v="19501"/>
    <x v="16"/>
  </r>
  <r>
    <d v="2011-10-05T00:00:00"/>
    <n v="1005"/>
    <x v="25"/>
    <n v="541"/>
    <n v="20"/>
    <n v="410"/>
    <n v="14"/>
    <n v="19911"/>
    <x v="17"/>
  </r>
  <r>
    <d v="2011-10-06T00:00:00"/>
    <n v="1006"/>
    <x v="25"/>
    <n v="333"/>
    <n v="6"/>
    <n v="302"/>
    <n v="12"/>
    <n v="20213"/>
    <x v="18"/>
  </r>
  <r>
    <d v="2011-10-07T00:00:00"/>
    <n v="1007"/>
    <x v="25"/>
    <n v="472"/>
    <n v="13"/>
    <n v="480"/>
    <n v="9"/>
    <n v="20693"/>
    <x v="19"/>
  </r>
  <r>
    <d v="2011-10-08T00:00:00"/>
    <n v="1008"/>
    <x v="25"/>
    <n v="568"/>
    <n v="24"/>
    <n v="382"/>
    <n v="11"/>
    <n v="21075"/>
    <x v="20"/>
  </r>
  <r>
    <d v="2011-10-09T00:00:00"/>
    <n v="1009"/>
    <x v="25"/>
    <n v="705"/>
    <n v="54"/>
    <n v="304"/>
    <n v="8"/>
    <n v="21379"/>
    <x v="21"/>
  </r>
  <r>
    <d v="2011-10-10T00:00:00"/>
    <n v="1010"/>
    <x v="25"/>
    <n v="343"/>
    <n v="22"/>
    <n v="456"/>
    <n v="13"/>
    <n v="21835"/>
    <x v="22"/>
  </r>
  <r>
    <d v="2011-10-11T00:00:00"/>
    <n v="1011"/>
    <x v="25"/>
    <n v="329"/>
    <n v="21"/>
    <n v="472"/>
    <n v="10"/>
    <n v="22307"/>
    <x v="23"/>
  </r>
  <r>
    <d v="2011-10-12T00:00:00"/>
    <n v="1012"/>
    <x v="25"/>
    <n v="228"/>
    <n v="15"/>
    <n v="490"/>
    <n v="18"/>
    <n v="22797"/>
    <x v="24"/>
  </r>
  <r>
    <d v="2011-10-13T00:00:00"/>
    <n v="1013"/>
    <x v="25"/>
    <n v="256"/>
    <n v="15"/>
    <n v="376"/>
    <n v="9"/>
    <n v="23173"/>
    <x v="25"/>
  </r>
  <r>
    <d v="2011-10-14T00:00:00"/>
    <n v="1014"/>
    <x v="25"/>
    <n v="319"/>
    <n v="15"/>
    <n v="307"/>
    <n v="3"/>
    <n v="23480"/>
    <x v="26"/>
  </r>
  <r>
    <d v="2011-10-15T00:00:00"/>
    <n v="1015"/>
    <x v="25"/>
    <n v="186"/>
    <n v="13"/>
    <n v="182"/>
    <n v="3"/>
    <n v="23662"/>
    <x v="27"/>
  </r>
  <r>
    <d v="2011-10-16T00:00:00"/>
    <n v="1016"/>
    <x v="25"/>
    <n v="323"/>
    <n v="26"/>
    <n v="308"/>
    <n v="6"/>
    <n v="23970"/>
    <x v="28"/>
  </r>
  <r>
    <d v="2011-10-17T00:00:00"/>
    <n v="1017"/>
    <x v="25"/>
    <n v="231"/>
    <n v="18"/>
    <n v="276"/>
    <n v="10"/>
    <n v="24246"/>
    <x v="29"/>
  </r>
  <r>
    <d v="2011-10-18T00:00:00"/>
    <n v="1018"/>
    <x v="25"/>
    <n v="386"/>
    <n v="22"/>
    <n v="339"/>
    <n v="7"/>
    <n v="24585"/>
    <x v="30"/>
  </r>
  <r>
    <d v="2011-10-19T00:00:00"/>
    <n v="1019"/>
    <x v="25"/>
    <n v="474"/>
    <n v="14"/>
    <n v="549"/>
    <n v="23"/>
    <n v="25134"/>
    <x v="31"/>
  </r>
  <r>
    <d v="2011-10-20T00:00:00"/>
    <n v="1020"/>
    <x v="25"/>
    <n v="357"/>
    <n v="12"/>
    <n v="320"/>
    <n v="7"/>
    <n v="25454"/>
    <x v="32"/>
  </r>
  <r>
    <d v="2011-10-21T00:00:00"/>
    <n v="1021"/>
    <x v="25"/>
    <n v="177"/>
    <n v="9"/>
    <n v="220"/>
    <n v="6"/>
    <n v="25674"/>
    <x v="33"/>
  </r>
  <r>
    <d v="2011-10-22T00:00:00"/>
    <n v="1022"/>
    <x v="25"/>
    <n v="313"/>
    <n v="14"/>
    <n v="155"/>
    <n v="7"/>
    <n v="25829"/>
    <x v="34"/>
  </r>
  <r>
    <d v="2011-10-23T00:00:00"/>
    <n v="1023"/>
    <x v="25"/>
    <n v="256"/>
    <n v="12"/>
    <n v="124"/>
    <n v="7"/>
    <n v="25953"/>
    <x v="35"/>
  </r>
  <r>
    <d v="2011-10-24T00:00:00"/>
    <n v="1024"/>
    <x v="25"/>
    <n v="130"/>
    <n v="10"/>
    <n v="113"/>
    <n v="8"/>
    <n v="26066"/>
    <x v="36"/>
  </r>
  <r>
    <d v="2011-10-25T00:00:00"/>
    <n v="1025"/>
    <x v="25"/>
    <n v="68"/>
    <n v="7"/>
    <n v="58"/>
    <n v="1"/>
    <n v="26124"/>
    <x v="37"/>
  </r>
  <r>
    <d v="2011-10-26T00:00:00"/>
    <n v="1026"/>
    <x v="25"/>
    <n v="58"/>
    <n v="4"/>
    <n v="28"/>
    <n v="0"/>
    <n v="26152"/>
    <x v="38"/>
  </r>
  <r>
    <d v="2011-10-27T00:00:00"/>
    <n v="1027"/>
    <x v="25"/>
    <n v="78"/>
    <n v="7"/>
    <n v="33"/>
    <n v="0"/>
    <n v="26185"/>
    <x v="39"/>
  </r>
  <r>
    <d v="2011-10-28T00:00:00"/>
    <n v="1028"/>
    <x v="25"/>
    <n v="69"/>
    <n v="8"/>
    <n v="17"/>
    <n v="0"/>
    <n v="26202"/>
    <x v="40"/>
  </r>
  <r>
    <d v="2011-10-29T00:00:00"/>
    <n v="1029"/>
    <x v="25"/>
    <n v="234"/>
    <n v="5"/>
    <n v="21"/>
    <n v="1"/>
    <n v="26223"/>
    <x v="41"/>
  </r>
  <r>
    <d v="2011-10-30T00:00:00"/>
    <n v="1030"/>
    <x v="25"/>
    <n v="142"/>
    <n v="8"/>
    <n v="20"/>
    <n v="2"/>
    <n v="26243"/>
    <x v="42"/>
  </r>
  <r>
    <d v="2011-10-31T00:00:00"/>
    <n v="1031"/>
    <x v="25"/>
    <n v="38"/>
    <n v="6"/>
    <n v="6"/>
    <n v="1"/>
    <n v="26249"/>
    <x v="43"/>
  </r>
  <r>
    <d v="2011-11-01T00:00:00"/>
    <n v="1101"/>
    <x v="25"/>
    <n v="66"/>
    <n v="10"/>
    <n v="9"/>
    <n v="2"/>
    <n v="26258"/>
    <x v="44"/>
  </r>
  <r>
    <d v="2011-11-02T00:00:00"/>
    <n v="1102"/>
    <x v="25"/>
    <n v="15"/>
    <n v="3"/>
    <n v="7"/>
    <n v="0"/>
    <n v="26265"/>
    <x v="45"/>
  </r>
  <r>
    <d v="2011-11-03T00:00:00"/>
    <n v="1103"/>
    <x v="25"/>
    <n v="56"/>
    <n v="7"/>
    <n v="4"/>
    <n v="2"/>
    <n v="26269"/>
    <x v="46"/>
  </r>
  <r>
    <d v="2012-09-06T00:00:00"/>
    <n v="906"/>
    <x v="26"/>
    <n v="1437"/>
    <n v="1"/>
    <n v="1669"/>
    <n v="179"/>
    <n v="1669"/>
    <x v="79"/>
  </r>
  <r>
    <d v="2012-09-06T00:00:00"/>
    <n v="906"/>
    <x v="26"/>
    <n v="1654"/>
    <n v="65"/>
    <n v="0"/>
    <n v="0"/>
    <n v="1669"/>
    <x v="79"/>
  </r>
  <r>
    <d v="2012-09-06T00:00:00"/>
    <n v="906"/>
    <x v="26"/>
    <n v="102"/>
    <n v="36"/>
    <n v="132"/>
    <n v="51"/>
    <n v="1801"/>
    <x v="79"/>
  </r>
  <r>
    <d v="2012-09-07T00:00:00"/>
    <n v="907"/>
    <x v="26"/>
    <n v="312"/>
    <n v="84"/>
    <n v="426"/>
    <n v="63"/>
    <n v="2227"/>
    <x v="71"/>
  </r>
  <r>
    <d v="2012-09-08T00:00:00"/>
    <n v="908"/>
    <x v="26"/>
    <n v="891"/>
    <n v="123"/>
    <n v="501"/>
    <n v="84"/>
    <n v="2728"/>
    <x v="72"/>
  </r>
  <r>
    <d v="2012-09-09T00:00:00"/>
    <n v="909"/>
    <x v="26"/>
    <n v="1368"/>
    <n v="96"/>
    <n v="477"/>
    <n v="63"/>
    <n v="3205"/>
    <x v="73"/>
  </r>
  <r>
    <d v="2012-09-10T00:00:00"/>
    <n v="910"/>
    <x v="26"/>
    <n v="1410"/>
    <n v="117"/>
    <n v="435"/>
    <n v="24"/>
    <n v="3640"/>
    <x v="74"/>
  </r>
  <r>
    <d v="2012-09-11T00:00:00"/>
    <n v="911"/>
    <x v="26"/>
    <n v="910"/>
    <n v="74"/>
    <n v="243"/>
    <n v="52"/>
    <n v="3883"/>
    <x v="68"/>
  </r>
  <r>
    <d v="2012-09-12T00:00:00"/>
    <n v="912"/>
    <x v="26"/>
    <n v="1434"/>
    <n v="117"/>
    <n v="342"/>
    <n v="108"/>
    <n v="4225"/>
    <x v="69"/>
  </r>
  <r>
    <d v="2012-09-13T00:00:00"/>
    <n v="913"/>
    <x v="26"/>
    <n v="1068"/>
    <n v="198"/>
    <n v="360"/>
    <n v="90"/>
    <n v="4585"/>
    <x v="70"/>
  </r>
  <r>
    <d v="2012-09-14T00:00:00"/>
    <n v="914"/>
    <x v="26"/>
    <n v="573"/>
    <n v="93"/>
    <n v="168"/>
    <n v="30"/>
    <n v="4753"/>
    <x v="67"/>
  </r>
  <r>
    <d v="2012-09-15T00:00:00"/>
    <n v="915"/>
    <x v="26"/>
    <n v="594"/>
    <n v="93"/>
    <n v="129"/>
    <n v="15"/>
    <n v="4882"/>
    <x v="63"/>
  </r>
  <r>
    <d v="2012-09-16T00:00:00"/>
    <n v="916"/>
    <x v="26"/>
    <n v="672"/>
    <n v="81"/>
    <n v="102"/>
    <n v="27"/>
    <n v="4984"/>
    <x v="64"/>
  </r>
  <r>
    <d v="2012-09-17T00:00:00"/>
    <n v="917"/>
    <x v="26"/>
    <n v="795"/>
    <n v="57"/>
    <n v="159"/>
    <n v="75"/>
    <n v="5143"/>
    <x v="65"/>
  </r>
  <r>
    <d v="2012-09-18T00:00:00"/>
    <n v="918"/>
    <x v="26"/>
    <n v="486"/>
    <n v="93"/>
    <n v="48"/>
    <n v="9"/>
    <n v="5191"/>
    <x v="0"/>
  </r>
  <r>
    <d v="2012-09-19T00:00:00"/>
    <n v="919"/>
    <x v="26"/>
    <n v="975"/>
    <n v="117"/>
    <n v="336"/>
    <n v="147"/>
    <n v="5527"/>
    <x v="1"/>
  </r>
  <r>
    <d v="2012-09-20T00:00:00"/>
    <n v="920"/>
    <x v="26"/>
    <n v="1098"/>
    <n v="42"/>
    <n v="453"/>
    <n v="129"/>
    <n v="5980"/>
    <x v="2"/>
  </r>
  <r>
    <d v="2012-09-21T00:00:00"/>
    <n v="921"/>
    <x v="26"/>
    <n v="1146"/>
    <n v="54"/>
    <n v="477"/>
    <n v="123"/>
    <n v="6457"/>
    <x v="3"/>
  </r>
  <r>
    <d v="2012-09-22T00:00:00"/>
    <n v="922"/>
    <x v="26"/>
    <n v="612"/>
    <n v="36"/>
    <n v="462"/>
    <n v="60"/>
    <n v="6919"/>
    <x v="4"/>
  </r>
  <r>
    <d v="2012-09-23T00:00:00"/>
    <n v="923"/>
    <x v="26"/>
    <n v="474"/>
    <n v="18"/>
    <n v="633"/>
    <n v="48"/>
    <n v="7552"/>
    <x v="5"/>
  </r>
  <r>
    <d v="2012-09-24T00:00:00"/>
    <n v="924"/>
    <x v="26"/>
    <n v="548"/>
    <n v="114"/>
    <n v="430"/>
    <n v="82"/>
    <n v="7982"/>
    <x v="6"/>
  </r>
  <r>
    <d v="2012-09-25T00:00:00"/>
    <n v="925"/>
    <x v="26"/>
    <n v="491"/>
    <n v="93"/>
    <n v="238"/>
    <n v="56"/>
    <n v="8220"/>
    <x v="7"/>
  </r>
  <r>
    <d v="2012-09-26T00:00:00"/>
    <n v="926"/>
    <x v="26"/>
    <n v="645"/>
    <n v="73"/>
    <n v="289"/>
    <n v="48"/>
    <n v="8509"/>
    <x v="8"/>
  </r>
  <r>
    <d v="2012-09-27T00:00:00"/>
    <n v="927"/>
    <x v="26"/>
    <n v="520"/>
    <n v="115"/>
    <n v="239"/>
    <n v="58"/>
    <n v="8748"/>
    <x v="9"/>
  </r>
  <r>
    <d v="2012-09-28T00:00:00"/>
    <n v="928"/>
    <x v="26"/>
    <n v="474"/>
    <n v="69"/>
    <n v="283"/>
    <n v="64"/>
    <n v="9031"/>
    <x v="10"/>
  </r>
  <r>
    <d v="2012-09-29T00:00:00"/>
    <n v="929"/>
    <x v="26"/>
    <n v="253"/>
    <n v="44"/>
    <n v="209"/>
    <n v="25"/>
    <n v="9240"/>
    <x v="11"/>
  </r>
  <r>
    <d v="2012-09-30T00:00:00"/>
    <n v="930"/>
    <x v="26"/>
    <n v="150"/>
    <n v="20"/>
    <n v="75"/>
    <n v="10"/>
    <n v="9315"/>
    <x v="12"/>
  </r>
  <r>
    <d v="2012-10-01T00:00:00"/>
    <n v="1001"/>
    <x v="26"/>
    <n v="103"/>
    <n v="13"/>
    <n v="49"/>
    <n v="5"/>
    <n v="9364"/>
    <x v="13"/>
  </r>
  <r>
    <d v="2012-10-02T00:00:00"/>
    <n v="1002"/>
    <x v="26"/>
    <n v="1188"/>
    <n v="44"/>
    <n v="244"/>
    <n v="36"/>
    <n v="9608"/>
    <x v="14"/>
  </r>
  <r>
    <d v="2012-10-03T00:00:00"/>
    <n v="1003"/>
    <x v="26"/>
    <n v="438"/>
    <n v="33"/>
    <n v="413"/>
    <n v="36"/>
    <n v="10021"/>
    <x v="15"/>
  </r>
  <r>
    <d v="2012-10-04T00:00:00"/>
    <n v="1004"/>
    <x v="26"/>
    <n v="273"/>
    <n v="41"/>
    <n v="204"/>
    <n v="15"/>
    <n v="10225"/>
    <x v="16"/>
  </r>
  <r>
    <d v="2012-10-05T00:00:00"/>
    <n v="1005"/>
    <x v="26"/>
    <n v="164"/>
    <n v="7"/>
    <n v="123"/>
    <n v="7"/>
    <n v="10348"/>
    <x v="17"/>
  </r>
  <r>
    <d v="2012-10-06T00:00:00"/>
    <n v="1006"/>
    <x v="26"/>
    <n v="216"/>
    <n v="15"/>
    <n v="351"/>
    <n v="14"/>
    <n v="10699"/>
    <x v="18"/>
  </r>
  <r>
    <d v="2012-10-07T00:00:00"/>
    <n v="1007"/>
    <x v="26"/>
    <n v="207"/>
    <n v="32"/>
    <n v="436"/>
    <n v="18"/>
    <n v="11135"/>
    <x v="19"/>
  </r>
  <r>
    <d v="2012-10-08T00:00:00"/>
    <n v="1008"/>
    <x v="26"/>
    <n v="183"/>
    <n v="26"/>
    <n v="471"/>
    <n v="18"/>
    <n v="11606"/>
    <x v="20"/>
  </r>
  <r>
    <d v="2012-10-09T00:00:00"/>
    <n v="1009"/>
    <x v="26"/>
    <n v="128"/>
    <n v="16"/>
    <n v="522"/>
    <n v="35"/>
    <n v="12128"/>
    <x v="21"/>
  </r>
  <r>
    <d v="2012-10-10T00:00:00"/>
    <n v="1010"/>
    <x v="26"/>
    <n v="95"/>
    <n v="17"/>
    <n v="353"/>
    <n v="22"/>
    <n v="12481"/>
    <x v="22"/>
  </r>
  <r>
    <d v="2012-10-11T00:00:00"/>
    <n v="1011"/>
    <x v="26"/>
    <n v="79"/>
    <n v="22"/>
    <n v="321"/>
    <n v="18"/>
    <n v="12802"/>
    <x v="23"/>
  </r>
  <r>
    <d v="2012-10-12T00:00:00"/>
    <n v="1012"/>
    <x v="26"/>
    <n v="91"/>
    <n v="6"/>
    <n v="385"/>
    <n v="39"/>
    <n v="13187"/>
    <x v="24"/>
  </r>
  <r>
    <d v="2012-10-13T00:00:00"/>
    <n v="1013"/>
    <x v="26"/>
    <n v="431"/>
    <n v="25"/>
    <n v="552"/>
    <n v="33"/>
    <n v="13739"/>
    <x v="25"/>
  </r>
  <r>
    <d v="2012-10-14T00:00:00"/>
    <n v="1014"/>
    <x v="26"/>
    <n v="472"/>
    <n v="37"/>
    <n v="634"/>
    <n v="71"/>
    <n v="14373"/>
    <x v="26"/>
  </r>
  <r>
    <d v="2012-10-15T00:00:00"/>
    <n v="1015"/>
    <x v="26"/>
    <n v="130"/>
    <n v="24"/>
    <n v="183"/>
    <n v="12"/>
    <n v="14556"/>
    <x v="27"/>
  </r>
  <r>
    <d v="2012-10-16T00:00:00"/>
    <n v="1016"/>
    <x v="26"/>
    <n v="639"/>
    <n v="22"/>
    <n v="89"/>
    <n v="7"/>
    <n v="14645"/>
    <x v="28"/>
  </r>
  <r>
    <d v="2012-10-17T00:00:00"/>
    <n v="1017"/>
    <x v="26"/>
    <n v="35"/>
    <n v="2"/>
    <n v="48"/>
    <n v="3"/>
    <n v="14693"/>
    <x v="29"/>
  </r>
  <r>
    <d v="2012-10-18T00:00:00"/>
    <n v="1018"/>
    <x v="26"/>
    <n v="16"/>
    <n v="0"/>
    <n v="60"/>
    <n v="8"/>
    <n v="14753"/>
    <x v="30"/>
  </r>
  <r>
    <d v="2012-10-19T00:00:00"/>
    <n v="1019"/>
    <x v="26"/>
    <n v="60"/>
    <n v="5"/>
    <n v="38"/>
    <n v="3"/>
    <n v="14791"/>
    <x v="31"/>
  </r>
  <r>
    <d v="2012-10-20T00:00:00"/>
    <n v="1020"/>
    <x v="26"/>
    <n v="21"/>
    <n v="6"/>
    <n v="20"/>
    <n v="0"/>
    <n v="14811"/>
    <x v="32"/>
  </r>
  <r>
    <d v="2012-10-21T00:00:00"/>
    <n v="1021"/>
    <x v="26"/>
    <n v="26"/>
    <n v="4"/>
    <n v="20"/>
    <n v="0"/>
    <n v="14831"/>
    <x v="33"/>
  </r>
  <r>
    <d v="2012-10-22T00:00:00"/>
    <n v="1022"/>
    <x v="26"/>
    <n v="0"/>
    <n v="0"/>
    <n v="0"/>
    <n v="0"/>
    <n v="14831"/>
    <x v="34"/>
  </r>
  <r>
    <d v="2012-10-23T00:00:00"/>
    <n v="1023"/>
    <x v="26"/>
    <n v="42"/>
    <n v="3"/>
    <n v="22"/>
    <n v="1"/>
    <n v="14853"/>
    <x v="35"/>
  </r>
  <r>
    <d v="2012-10-24T00:00:00"/>
    <n v="1024"/>
    <x v="26"/>
    <n v="11"/>
    <n v="0"/>
    <n v="10"/>
    <n v="1"/>
    <n v="14863"/>
    <x v="36"/>
  </r>
  <r>
    <d v="2012-10-25T00:00:00"/>
    <n v="1025"/>
    <x v="26"/>
    <n v="13"/>
    <n v="3"/>
    <n v="12"/>
    <n v="2"/>
    <n v="14875"/>
    <x v="37"/>
  </r>
  <r>
    <d v="2012-10-26T00:00:00"/>
    <n v="1026"/>
    <x v="26"/>
    <n v="10"/>
    <n v="16"/>
    <n v="24"/>
    <n v="1"/>
    <n v="14899"/>
    <x v="38"/>
  </r>
  <r>
    <d v="2012-10-27T00:00:00"/>
    <n v="1027"/>
    <x v="26"/>
    <n v="17"/>
    <n v="18"/>
    <n v="10"/>
    <n v="1"/>
    <n v="14909"/>
    <x v="39"/>
  </r>
  <r>
    <d v="2012-10-28T00:00:00"/>
    <n v="1028"/>
    <x v="26"/>
    <n v="12"/>
    <n v="13"/>
    <n v="4"/>
    <n v="1"/>
    <n v="14913"/>
    <x v="40"/>
  </r>
  <r>
    <d v="2012-10-29T00:00:00"/>
    <n v="1029"/>
    <x v="26"/>
    <n v="50"/>
    <n v="57"/>
    <n v="9"/>
    <n v="2"/>
    <n v="14922"/>
    <x v="41"/>
  </r>
  <r>
    <d v="2012-10-30T00:00:00"/>
    <n v="1030"/>
    <x v="26"/>
    <n v="66"/>
    <n v="65"/>
    <n v="8"/>
    <n v="0"/>
    <n v="14930"/>
    <x v="42"/>
  </r>
  <r>
    <d v="2012-10-31T00:00:00"/>
    <n v="1031"/>
    <x v="26"/>
    <n v="51"/>
    <n v="53"/>
    <n v="7"/>
    <n v="1"/>
    <n v="14937"/>
    <x v="43"/>
  </r>
  <r>
    <d v="2012-11-01T00:00:00"/>
    <n v="1101"/>
    <x v="26"/>
    <n v="185"/>
    <n v="17"/>
    <n v="3"/>
    <n v="1"/>
    <n v="14940"/>
    <x v="44"/>
  </r>
  <r>
    <d v="2012-11-02T00:00:00"/>
    <n v="1102"/>
    <x v="26"/>
    <n v="64"/>
    <n v="8"/>
    <n v="3"/>
    <n v="1"/>
    <n v="14943"/>
    <x v="45"/>
  </r>
  <r>
    <d v="2012-11-03T00:00:00"/>
    <n v="1103"/>
    <x v="26"/>
    <n v="22"/>
    <n v="8"/>
    <n v="0"/>
    <n v="0"/>
    <n v="14943"/>
    <x v="46"/>
  </r>
  <r>
    <d v="2012-11-04T00:00:00"/>
    <n v="1104"/>
    <x v="26"/>
    <n v="17"/>
    <n v="8"/>
    <n v="1"/>
    <n v="0"/>
    <n v="14944"/>
    <x v="47"/>
  </r>
  <r>
    <d v="2012-11-05T00:00:00"/>
    <n v="1105"/>
    <x v="26"/>
    <n v="18"/>
    <n v="24"/>
    <n v="0"/>
    <n v="1"/>
    <n v="14944"/>
    <x v="48"/>
  </r>
  <r>
    <d v="2012-11-06T00:00:00"/>
    <n v="1106"/>
    <x v="26"/>
    <n v="11"/>
    <n v="25"/>
    <n v="0"/>
    <n v="0"/>
    <n v="14944"/>
    <x v="49"/>
  </r>
  <r>
    <d v="2013-08-14T00:00:00"/>
    <n v="814"/>
    <x v="27"/>
    <n v="477"/>
    <n v="3"/>
    <n v="51"/>
    <n v="0"/>
    <n v="51"/>
    <x v="82"/>
  </r>
  <r>
    <d v="2013-08-15T00:00:00"/>
    <n v="815"/>
    <x v="27"/>
    <n v="147"/>
    <n v="0"/>
    <n v="30"/>
    <n v="0"/>
    <n v="81"/>
    <x v="83"/>
  </r>
  <r>
    <d v="2013-08-16T00:00:00"/>
    <n v="816"/>
    <x v="27"/>
    <n v="78"/>
    <n v="0"/>
    <n v="48"/>
    <n v="0"/>
    <n v="129"/>
    <x v="84"/>
  </r>
  <r>
    <d v="2013-08-17T00:00:00"/>
    <n v="817"/>
    <x v="27"/>
    <n v="249"/>
    <n v="0"/>
    <n v="9"/>
    <n v="0"/>
    <n v="138"/>
    <x v="85"/>
  </r>
  <r>
    <d v="2013-08-18T00:00:00"/>
    <n v="818"/>
    <x v="27"/>
    <n v="291"/>
    <n v="0"/>
    <n v="24"/>
    <n v="0"/>
    <n v="162"/>
    <x v="86"/>
  </r>
  <r>
    <d v="2013-08-19T00:00:00"/>
    <n v="819"/>
    <x v="27"/>
    <n v="567"/>
    <n v="3"/>
    <n v="9"/>
    <n v="0"/>
    <n v="171"/>
    <x v="87"/>
  </r>
  <r>
    <d v="2013-08-20T00:00:00"/>
    <n v="820"/>
    <x v="27"/>
    <n v="372"/>
    <n v="0"/>
    <n v="9"/>
    <n v="0"/>
    <n v="180"/>
    <x v="88"/>
  </r>
  <r>
    <d v="2013-08-21T00:00:00"/>
    <n v="821"/>
    <x v="27"/>
    <n v="441"/>
    <n v="9"/>
    <n v="48"/>
    <n v="3"/>
    <n v="228"/>
    <x v="89"/>
  </r>
  <r>
    <d v="2013-08-22T00:00:00"/>
    <n v="822"/>
    <x v="27"/>
    <n v="300"/>
    <n v="12"/>
    <n v="132"/>
    <n v="0"/>
    <n v="360"/>
    <x v="90"/>
  </r>
  <r>
    <d v="2013-08-23T00:00:00"/>
    <n v="823"/>
    <x v="27"/>
    <n v="126"/>
    <n v="0"/>
    <n v="171"/>
    <n v="0"/>
    <n v="531"/>
    <x v="91"/>
  </r>
  <r>
    <d v="2013-08-24T00:00:00"/>
    <n v="824"/>
    <x v="27"/>
    <n v="258"/>
    <n v="48"/>
    <n v="81"/>
    <n v="0"/>
    <n v="612"/>
    <x v="92"/>
  </r>
  <r>
    <d v="2013-08-25T00:00:00"/>
    <n v="825"/>
    <x v="27"/>
    <n v="312"/>
    <n v="0"/>
    <n v="87"/>
    <n v="0"/>
    <n v="699"/>
    <x v="93"/>
  </r>
  <r>
    <d v="2013-08-26T00:00:00"/>
    <n v="826"/>
    <x v="27"/>
    <n v="600"/>
    <n v="12"/>
    <n v="168"/>
    <n v="0"/>
    <n v="867"/>
    <x v="94"/>
  </r>
  <r>
    <d v="2013-08-27T00:00:00"/>
    <n v="827"/>
    <x v="27"/>
    <n v="957"/>
    <n v="12"/>
    <n v="216"/>
    <n v="6"/>
    <n v="1083"/>
    <x v="95"/>
  </r>
  <r>
    <d v="2013-08-28T00:00:00"/>
    <n v="828"/>
    <x v="27"/>
    <n v="522"/>
    <n v="15"/>
    <n v="60"/>
    <n v="3"/>
    <n v="1143"/>
    <x v="96"/>
  </r>
  <r>
    <d v="2013-08-29T00:00:00"/>
    <n v="829"/>
    <x v="27"/>
    <n v="885"/>
    <n v="9"/>
    <n v="171"/>
    <n v="12"/>
    <n v="1314"/>
    <x v="97"/>
  </r>
  <r>
    <d v="2013-08-30T00:00:00"/>
    <n v="830"/>
    <x v="27"/>
    <n v="1557"/>
    <n v="32"/>
    <n v="363"/>
    <n v="15"/>
    <n v="1677"/>
    <x v="98"/>
  </r>
  <r>
    <d v="2013-08-31T00:00:00"/>
    <n v="831"/>
    <x v="27"/>
    <n v="1389"/>
    <n v="60"/>
    <n v="321"/>
    <n v="6"/>
    <n v="1998"/>
    <x v="81"/>
  </r>
  <r>
    <d v="2013-09-01T00:00:00"/>
    <n v="901"/>
    <x v="27"/>
    <n v="1329"/>
    <n v="33"/>
    <n v="432"/>
    <n v="3"/>
    <n v="2430"/>
    <x v="80"/>
  </r>
  <r>
    <d v="2013-09-02T00:00:00"/>
    <n v="902"/>
    <x v="27"/>
    <n v="1434"/>
    <n v="81"/>
    <n v="255"/>
    <n v="15"/>
    <n v="2685"/>
    <x v="75"/>
  </r>
  <r>
    <d v="2013-09-03T00:00:00"/>
    <n v="903"/>
    <x v="27"/>
    <n v="1422"/>
    <n v="123"/>
    <n v="291"/>
    <n v="6"/>
    <n v="2976"/>
    <x v="76"/>
  </r>
  <r>
    <d v="2013-09-04T00:00:00"/>
    <n v="904"/>
    <x v="27"/>
    <n v="1524"/>
    <n v="81"/>
    <n v="387"/>
    <n v="27"/>
    <n v="3363"/>
    <x v="77"/>
  </r>
  <r>
    <d v="2013-09-05T00:00:00"/>
    <n v="905"/>
    <x v="27"/>
    <n v="1023"/>
    <n v="69"/>
    <n v="309"/>
    <n v="21"/>
    <n v="3672"/>
    <x v="78"/>
  </r>
  <r>
    <d v="2013-09-06T00:00:00"/>
    <n v="906"/>
    <x v="27"/>
    <n v="1644"/>
    <n v="99"/>
    <n v="510"/>
    <n v="15"/>
    <n v="4182"/>
    <x v="79"/>
  </r>
  <r>
    <d v="2013-09-07T00:00:00"/>
    <n v="907"/>
    <x v="27"/>
    <n v="1989"/>
    <n v="180"/>
    <n v="378"/>
    <n v="30"/>
    <n v="4560"/>
    <x v="71"/>
  </r>
  <r>
    <d v="2013-09-08T00:00:00"/>
    <n v="908"/>
    <x v="27"/>
    <n v="2058"/>
    <n v="210"/>
    <n v="429"/>
    <n v="18"/>
    <n v="4989"/>
    <x v="72"/>
  </r>
  <r>
    <d v="2013-09-09T00:00:00"/>
    <n v="909"/>
    <x v="27"/>
    <n v="1368"/>
    <n v="114"/>
    <n v="687"/>
    <n v="21"/>
    <n v="5676"/>
    <x v="73"/>
  </r>
  <r>
    <d v="2013-09-10T00:00:00"/>
    <n v="910"/>
    <x v="27"/>
    <n v="1027"/>
    <n v="96"/>
    <n v="465"/>
    <n v="23"/>
    <n v="6141"/>
    <x v="74"/>
  </r>
  <r>
    <d v="2013-09-11T00:00:00"/>
    <n v="911"/>
    <x v="27"/>
    <n v="1084"/>
    <n v="148"/>
    <n v="648"/>
    <n v="18"/>
    <n v="6789"/>
    <x v="68"/>
  </r>
  <r>
    <d v="2013-09-12T00:00:00"/>
    <n v="912"/>
    <x v="27"/>
    <n v="912"/>
    <n v="113"/>
    <n v="711"/>
    <n v="13"/>
    <n v="7500"/>
    <x v="69"/>
  </r>
  <r>
    <d v="2013-09-13T00:00:00"/>
    <n v="913"/>
    <x v="27"/>
    <n v="792"/>
    <n v="130"/>
    <n v="821"/>
    <n v="28"/>
    <n v="8321"/>
    <x v="70"/>
  </r>
  <r>
    <d v="2013-09-14T00:00:00"/>
    <n v="914"/>
    <x v="27"/>
    <n v="1125"/>
    <n v="126"/>
    <n v="517"/>
    <n v="17"/>
    <n v="8838"/>
    <x v="67"/>
  </r>
  <r>
    <d v="2013-09-15T00:00:00"/>
    <n v="915"/>
    <x v="27"/>
    <n v="1069"/>
    <n v="132"/>
    <n v="502"/>
    <n v="21"/>
    <n v="9340"/>
    <x v="63"/>
  </r>
  <r>
    <d v="2013-09-16T00:00:00"/>
    <n v="916"/>
    <x v="27"/>
    <n v="2055"/>
    <n v="114"/>
    <n v="504"/>
    <n v="12"/>
    <n v="9844"/>
    <x v="64"/>
  </r>
  <r>
    <d v="2013-09-17T00:00:00"/>
    <n v="917"/>
    <x v="27"/>
    <n v="2177"/>
    <n v="66"/>
    <n v="638"/>
    <n v="13"/>
    <n v="10482"/>
    <x v="65"/>
  </r>
  <r>
    <d v="2013-09-18T00:00:00"/>
    <n v="918"/>
    <x v="27"/>
    <n v="1477"/>
    <n v="113"/>
    <n v="361"/>
    <n v="7"/>
    <n v="10843"/>
    <x v="0"/>
  </r>
  <r>
    <d v="2013-09-19T00:00:00"/>
    <n v="919"/>
    <x v="27"/>
    <n v="2110"/>
    <n v="148"/>
    <n v="637"/>
    <n v="13"/>
    <n v="11480"/>
    <x v="1"/>
  </r>
  <r>
    <d v="2013-09-20T00:00:00"/>
    <n v="920"/>
    <x v="27"/>
    <n v="1418"/>
    <n v="137"/>
    <n v="680"/>
    <n v="13"/>
    <n v="12160"/>
    <x v="2"/>
  </r>
  <r>
    <d v="2013-09-21T00:00:00"/>
    <n v="921"/>
    <x v="27"/>
    <n v="2257"/>
    <n v="200"/>
    <n v="706"/>
    <n v="22"/>
    <n v="12866"/>
    <x v="3"/>
  </r>
  <r>
    <d v="2013-09-22T00:00:00"/>
    <n v="922"/>
    <x v="27"/>
    <n v="1161"/>
    <n v="113"/>
    <n v="988"/>
    <n v="28"/>
    <n v="13854"/>
    <x v="4"/>
  </r>
  <r>
    <d v="2013-09-23T00:00:00"/>
    <n v="923"/>
    <x v="27"/>
    <n v="1290"/>
    <n v="97"/>
    <n v="720"/>
    <n v="10"/>
    <n v="14574"/>
    <x v="5"/>
  </r>
  <r>
    <d v="2013-09-24T00:00:00"/>
    <n v="924"/>
    <x v="27"/>
    <n v="607"/>
    <n v="92"/>
    <n v="973"/>
    <n v="29"/>
    <n v="15547"/>
    <x v="6"/>
  </r>
  <r>
    <d v="2013-09-25T00:00:00"/>
    <n v="925"/>
    <x v="27"/>
    <n v="661"/>
    <n v="84"/>
    <n v="1090"/>
    <n v="17"/>
    <n v="16637"/>
    <x v="7"/>
  </r>
  <r>
    <d v="2013-09-26T00:00:00"/>
    <n v="926"/>
    <x v="27"/>
    <n v="576"/>
    <n v="62"/>
    <n v="1023"/>
    <n v="26"/>
    <n v="17660"/>
    <x v="8"/>
  </r>
  <r>
    <d v="2013-09-27T00:00:00"/>
    <n v="927"/>
    <x v="27"/>
    <n v="577"/>
    <n v="55"/>
    <n v="852"/>
    <n v="21"/>
    <n v="18512"/>
    <x v="9"/>
  </r>
  <r>
    <d v="2013-09-28T00:00:00"/>
    <n v="928"/>
    <x v="27"/>
    <n v="710"/>
    <n v="57"/>
    <n v="934"/>
    <n v="12"/>
    <n v="19446"/>
    <x v="10"/>
  </r>
  <r>
    <d v="2013-09-29T00:00:00"/>
    <n v="929"/>
    <x v="27"/>
    <n v="97"/>
    <n v="4"/>
    <n v="116"/>
    <n v="4"/>
    <n v="19562"/>
    <x v="11"/>
  </r>
  <r>
    <d v="2013-09-30T00:00:00"/>
    <n v="930"/>
    <x v="27"/>
    <n v="221"/>
    <n v="18"/>
    <n v="338"/>
    <n v="4"/>
    <n v="19900"/>
    <x v="12"/>
  </r>
  <r>
    <d v="2013-10-01T00:00:00"/>
    <n v="1001"/>
    <x v="27"/>
    <n v="221"/>
    <n v="18"/>
    <n v="338"/>
    <n v="4"/>
    <n v="20238"/>
    <x v="13"/>
  </r>
  <r>
    <d v="2013-10-02T00:00:00"/>
    <n v="1002"/>
    <x v="27"/>
    <n v="221"/>
    <n v="18"/>
    <n v="338"/>
    <n v="4"/>
    <n v="20576"/>
    <x v="14"/>
  </r>
  <r>
    <d v="2013-10-03T00:00:00"/>
    <n v="1003"/>
    <x v="27"/>
    <n v="221"/>
    <n v="18"/>
    <n v="338"/>
    <n v="4"/>
    <n v="20914"/>
    <x v="15"/>
  </r>
  <r>
    <d v="2013-10-04T00:00:00"/>
    <n v="1004"/>
    <x v="27"/>
    <n v="98"/>
    <n v="8"/>
    <n v="125"/>
    <n v="1"/>
    <n v="21039"/>
    <x v="16"/>
  </r>
  <r>
    <d v="2013-10-05T00:00:00"/>
    <n v="1005"/>
    <x v="27"/>
    <n v="326"/>
    <n v="19"/>
    <n v="399"/>
    <n v="3"/>
    <n v="21438"/>
    <x v="17"/>
  </r>
  <r>
    <d v="2013-10-06T00:00:00"/>
    <n v="1006"/>
    <x v="27"/>
    <n v="301"/>
    <n v="31"/>
    <n v="675"/>
    <n v="7"/>
    <n v="22113"/>
    <x v="18"/>
  </r>
  <r>
    <d v="2013-10-07T00:00:00"/>
    <n v="1007"/>
    <x v="27"/>
    <n v="277"/>
    <n v="33"/>
    <n v="884"/>
    <n v="4"/>
    <n v="22997"/>
    <x v="19"/>
  </r>
  <r>
    <d v="2013-10-08T00:00:00"/>
    <n v="1008"/>
    <x v="27"/>
    <n v="294"/>
    <n v="47"/>
    <n v="566"/>
    <n v="9"/>
    <n v="23563"/>
    <x v="20"/>
  </r>
  <r>
    <d v="2013-10-09T00:00:00"/>
    <n v="1009"/>
    <x v="27"/>
    <n v="93"/>
    <n v="8"/>
    <n v="276"/>
    <n v="0"/>
    <n v="23839"/>
    <x v="21"/>
  </r>
  <r>
    <d v="2013-10-10T00:00:00"/>
    <n v="1010"/>
    <x v="27"/>
    <n v="216"/>
    <n v="20"/>
    <n v="663"/>
    <n v="6"/>
    <n v="24502"/>
    <x v="22"/>
  </r>
  <r>
    <d v="2013-10-11T00:00:00"/>
    <n v="1011"/>
    <x v="27"/>
    <n v="228"/>
    <n v="14"/>
    <n v="961"/>
    <n v="8"/>
    <n v="25463"/>
    <x v="23"/>
  </r>
  <r>
    <d v="2013-10-12T00:00:00"/>
    <n v="1012"/>
    <x v="27"/>
    <n v="243"/>
    <n v="17"/>
    <n v="758"/>
    <n v="17"/>
    <n v="26221"/>
    <x v="24"/>
  </r>
  <r>
    <d v="2013-10-13T00:00:00"/>
    <n v="1013"/>
    <x v="27"/>
    <n v="168"/>
    <n v="8"/>
    <n v="628"/>
    <n v="10"/>
    <n v="26849"/>
    <x v="25"/>
  </r>
  <r>
    <d v="2013-10-14T00:00:00"/>
    <n v="1014"/>
    <x v="27"/>
    <n v="131"/>
    <n v="7"/>
    <n v="384"/>
    <n v="8"/>
    <n v="27233"/>
    <x v="26"/>
  </r>
  <r>
    <d v="2013-10-15T00:00:00"/>
    <n v="1015"/>
    <x v="27"/>
    <n v="119"/>
    <n v="7"/>
    <n v="348"/>
    <n v="4"/>
    <n v="27581"/>
    <x v="27"/>
  </r>
  <r>
    <d v="2013-10-16T00:00:00"/>
    <n v="1016"/>
    <x v="27"/>
    <n v="98"/>
    <n v="8"/>
    <n v="235"/>
    <n v="4"/>
    <n v="27816"/>
    <x v="28"/>
  </r>
  <r>
    <d v="2013-10-17T00:00:00"/>
    <n v="1017"/>
    <x v="27"/>
    <n v="70"/>
    <n v="10"/>
    <n v="144"/>
    <n v="6"/>
    <n v="27960"/>
    <x v="29"/>
  </r>
  <r>
    <d v="2013-10-18T00:00:00"/>
    <n v="1018"/>
    <x v="27"/>
    <n v="54"/>
    <n v="22"/>
    <n v="131"/>
    <n v="0"/>
    <n v="28091"/>
    <x v="30"/>
  </r>
  <r>
    <d v="2013-10-19T00:00:00"/>
    <n v="1019"/>
    <x v="27"/>
    <n v="53"/>
    <n v="38"/>
    <n v="110"/>
    <n v="3"/>
    <n v="28201"/>
    <x v="31"/>
  </r>
  <r>
    <d v="2013-10-20T00:00:00"/>
    <n v="1020"/>
    <x v="27"/>
    <n v="40"/>
    <n v="8"/>
    <n v="72"/>
    <n v="2"/>
    <n v="28273"/>
    <x v="32"/>
  </r>
  <r>
    <d v="2013-10-21T00:00:00"/>
    <n v="1021"/>
    <x v="27"/>
    <n v="20"/>
    <n v="13"/>
    <n v="99"/>
    <n v="4"/>
    <n v="28372"/>
    <x v="33"/>
  </r>
  <r>
    <d v="2013-10-22T00:00:00"/>
    <n v="1022"/>
    <x v="27"/>
    <n v="17"/>
    <n v="3"/>
    <n v="38"/>
    <n v="0"/>
    <n v="28410"/>
    <x v="34"/>
  </r>
  <r>
    <d v="2013-10-23T00:00:00"/>
    <n v="1023"/>
    <x v="27"/>
    <n v="22"/>
    <n v="5"/>
    <n v="24"/>
    <n v="2"/>
    <n v="28434"/>
    <x v="35"/>
  </r>
  <r>
    <d v="2013-10-24T00:00:00"/>
    <n v="1024"/>
    <x v="27"/>
    <n v="9"/>
    <n v="21"/>
    <n v="36"/>
    <n v="0"/>
    <n v="28470"/>
    <x v="36"/>
  </r>
  <r>
    <d v="2013-10-25T00:00:00"/>
    <n v="1025"/>
    <x v="27"/>
    <n v="20"/>
    <n v="7"/>
    <n v="28"/>
    <n v="1"/>
    <n v="28498"/>
    <x v="37"/>
  </r>
  <r>
    <d v="2013-10-26T00:00:00"/>
    <n v="1026"/>
    <x v="27"/>
    <n v="20"/>
    <n v="10"/>
    <n v="13"/>
    <n v="0"/>
    <n v="28511"/>
    <x v="38"/>
  </r>
  <r>
    <d v="2013-10-27T00:00:00"/>
    <n v="1027"/>
    <x v="27"/>
    <n v="5"/>
    <n v="0"/>
    <n v="13"/>
    <n v="0"/>
    <n v="28524"/>
    <x v="39"/>
  </r>
  <r>
    <d v="2013-10-28T00:00:00"/>
    <n v="1028"/>
    <x v="27"/>
    <n v="11"/>
    <n v="4"/>
    <n v="13"/>
    <n v="0"/>
    <n v="28537"/>
    <x v="40"/>
  </r>
  <r>
    <d v="2013-10-29T00:00:00"/>
    <n v="1029"/>
    <x v="27"/>
    <n v="10"/>
    <n v="0"/>
    <n v="10"/>
    <n v="0"/>
    <n v="28547"/>
    <x v="41"/>
  </r>
  <r>
    <d v="2013-10-30T00:00:00"/>
    <n v="1030"/>
    <x v="27"/>
    <n v="15"/>
    <n v="5"/>
    <n v="7"/>
    <n v="0"/>
    <n v="28554"/>
    <x v="42"/>
  </r>
  <r>
    <d v="2013-10-31T00:00:00"/>
    <n v="1031"/>
    <x v="27"/>
    <n v="51"/>
    <n v="3"/>
    <n v="4"/>
    <n v="0"/>
    <n v="28558"/>
    <x v="43"/>
  </r>
  <r>
    <d v="2013-11-01T00:00:00"/>
    <n v="1101"/>
    <x v="27"/>
    <n v="67"/>
    <n v="2"/>
    <n v="4"/>
    <n v="0"/>
    <n v="28562"/>
    <x v="44"/>
  </r>
  <r>
    <d v="2013-11-02T00:00:00"/>
    <n v="1102"/>
    <x v="27"/>
    <n v="434"/>
    <n v="12"/>
    <n v="7"/>
    <n v="1"/>
    <n v="28569"/>
    <x v="45"/>
  </r>
  <r>
    <d v="2013-11-03T00:00:00"/>
    <n v="1103"/>
    <x v="27"/>
    <n v="672"/>
    <n v="14"/>
    <n v="1"/>
    <n v="0"/>
    <n v="28570"/>
    <x v="46"/>
  </r>
  <r>
    <d v="2013-11-04T00:00:00"/>
    <n v="1104"/>
    <x v="27"/>
    <n v="147"/>
    <n v="5"/>
    <n v="0"/>
    <n v="0"/>
    <n v="28570"/>
    <x v="47"/>
  </r>
  <r>
    <d v="2013-11-05T00:00:00"/>
    <n v="1105"/>
    <x v="27"/>
    <n v="96"/>
    <n v="8"/>
    <n v="0"/>
    <n v="0"/>
    <n v="28570"/>
    <x v="48"/>
  </r>
  <r>
    <d v="2013-11-06T00:00:00"/>
    <n v="1106"/>
    <x v="27"/>
    <n v="57"/>
    <n v="3"/>
    <n v="0"/>
    <n v="0"/>
    <n v="28570"/>
    <x v="49"/>
  </r>
  <r>
    <d v="2013-11-07T00:00:00"/>
    <n v="1107"/>
    <x v="27"/>
    <n v="24"/>
    <n v="2"/>
    <n v="1"/>
    <n v="0"/>
    <n v="28571"/>
    <x v="50"/>
  </r>
  <r>
    <d v="2014-07-31T00:00:00"/>
    <n v="731"/>
    <x v="28"/>
    <n v="19"/>
    <n v="0"/>
    <n v="1"/>
    <n v="6"/>
    <n v="1"/>
    <x v="99"/>
  </r>
  <r>
    <d v="2014-08-01T00:00:00"/>
    <n v="801"/>
    <x v="28"/>
    <n v="0"/>
    <n v="0"/>
    <n v="0"/>
    <n v="0"/>
    <n v="1"/>
    <x v="100"/>
  </r>
  <r>
    <d v="2014-08-02T00:00:00"/>
    <n v="802"/>
    <x v="28"/>
    <n v="2"/>
    <n v="0"/>
    <n v="0"/>
    <n v="0"/>
    <n v="1"/>
    <x v="101"/>
  </r>
  <r>
    <d v="2014-08-03T00:00:00"/>
    <n v="803"/>
    <x v="28"/>
    <n v="4"/>
    <n v="0"/>
    <n v="0"/>
    <n v="0"/>
    <n v="1"/>
    <x v="102"/>
  </r>
  <r>
    <d v="2014-08-04T00:00:00"/>
    <n v="804"/>
    <x v="28"/>
    <n v="0"/>
    <n v="0"/>
    <n v="0"/>
    <n v="0"/>
    <n v="1"/>
    <x v="103"/>
  </r>
  <r>
    <d v="2014-08-05T00:00:00"/>
    <n v="805"/>
    <x v="28"/>
    <n v="0"/>
    <n v="0"/>
    <n v="0"/>
    <n v="0"/>
    <n v="1"/>
    <x v="104"/>
  </r>
  <r>
    <d v="2014-08-06T00:00:00"/>
    <n v="806"/>
    <x v="28"/>
    <n v="1"/>
    <n v="0"/>
    <n v="3"/>
    <n v="0"/>
    <n v="4"/>
    <x v="105"/>
  </r>
  <r>
    <d v="2014-08-07T00:00:00"/>
    <n v="807"/>
    <x v="28"/>
    <n v="0"/>
    <n v="0"/>
    <n v="0"/>
    <n v="0"/>
    <n v="4"/>
    <x v="106"/>
  </r>
  <r>
    <d v="2014-08-08T00:00:00"/>
    <n v="808"/>
    <x v="28"/>
    <n v="4"/>
    <n v="0"/>
    <n v="3"/>
    <n v="0"/>
    <n v="7"/>
    <x v="107"/>
  </r>
  <r>
    <d v="2014-08-09T00:00:00"/>
    <n v="809"/>
    <x v="28"/>
    <n v="4"/>
    <n v="0"/>
    <n v="6"/>
    <n v="0"/>
    <n v="13"/>
    <x v="108"/>
  </r>
  <r>
    <d v="2014-08-10T00:00:00"/>
    <n v="810"/>
    <x v="28"/>
    <n v="9"/>
    <n v="0"/>
    <n v="15"/>
    <n v="1"/>
    <n v="28"/>
    <x v="109"/>
  </r>
  <r>
    <d v="2014-08-11T00:00:00"/>
    <n v="811"/>
    <x v="28"/>
    <n v="13"/>
    <n v="0"/>
    <n v="8"/>
    <n v="1"/>
    <n v="36"/>
    <x v="110"/>
  </r>
  <r>
    <d v="2014-08-12T00:00:00"/>
    <n v="812"/>
    <x v="28"/>
    <n v="7"/>
    <n v="0"/>
    <n v="15"/>
    <n v="1"/>
    <n v="51"/>
    <x v="111"/>
  </r>
  <r>
    <d v="2014-08-13T00:00:00"/>
    <n v="813"/>
    <x v="28"/>
    <n v="6"/>
    <n v="0"/>
    <n v="3"/>
    <n v="3"/>
    <n v="54"/>
    <x v="112"/>
  </r>
  <r>
    <d v="2014-08-14T00:00:00"/>
    <n v="814"/>
    <x v="28"/>
    <n v="18"/>
    <n v="0"/>
    <n v="12"/>
    <n v="0"/>
    <n v="66"/>
    <x v="82"/>
  </r>
  <r>
    <d v="2014-08-15T00:00:00"/>
    <n v="815"/>
    <x v="28"/>
    <n v="42"/>
    <n v="3"/>
    <n v="15"/>
    <n v="0"/>
    <n v="81"/>
    <x v="83"/>
  </r>
  <r>
    <d v="2014-08-16T00:00:00"/>
    <n v="816"/>
    <x v="28"/>
    <n v="45"/>
    <n v="2"/>
    <n v="15"/>
    <n v="3"/>
    <n v="96"/>
    <x v="84"/>
  </r>
  <r>
    <d v="2014-08-17T00:00:00"/>
    <n v="817"/>
    <x v="28"/>
    <n v="43"/>
    <n v="7"/>
    <n v="11"/>
    <n v="3"/>
    <n v="107"/>
    <x v="85"/>
  </r>
  <r>
    <d v="2014-08-18T00:00:00"/>
    <n v="818"/>
    <x v="28"/>
    <n v="43"/>
    <n v="2"/>
    <n v="27"/>
    <n v="2"/>
    <n v="134"/>
    <x v="86"/>
  </r>
  <r>
    <d v="2014-08-19T00:00:00"/>
    <n v="819"/>
    <x v="28"/>
    <n v="34"/>
    <n v="0"/>
    <n v="16"/>
    <n v="16"/>
    <n v="150"/>
    <x v="87"/>
  </r>
  <r>
    <d v="2014-08-20T00:00:00"/>
    <n v="820"/>
    <x v="28"/>
    <n v="13"/>
    <n v="1"/>
    <n v="9"/>
    <n v="7"/>
    <n v="159"/>
    <x v="88"/>
  </r>
  <r>
    <d v="2014-08-21T00:00:00"/>
    <n v="821"/>
    <x v="28"/>
    <n v="32"/>
    <n v="5"/>
    <n v="15"/>
    <n v="4"/>
    <n v="174"/>
    <x v="89"/>
  </r>
  <r>
    <d v="2014-08-22T00:00:00"/>
    <n v="822"/>
    <x v="28"/>
    <n v="30"/>
    <n v="1"/>
    <n v="6"/>
    <n v="4"/>
    <n v="180"/>
    <x v="90"/>
  </r>
  <r>
    <d v="2014-08-23T00:00:00"/>
    <n v="823"/>
    <x v="28"/>
    <n v="65"/>
    <n v="3"/>
    <n v="7"/>
    <n v="7"/>
    <n v="187"/>
    <x v="91"/>
  </r>
  <r>
    <d v="2014-08-24T00:00:00"/>
    <n v="824"/>
    <x v="28"/>
    <n v="62"/>
    <n v="5"/>
    <n v="20"/>
    <n v="8"/>
    <n v="207"/>
    <x v="92"/>
  </r>
  <r>
    <d v="2014-08-25T00:00:00"/>
    <n v="825"/>
    <x v="28"/>
    <n v="56"/>
    <n v="1"/>
    <n v="16"/>
    <n v="2"/>
    <n v="223"/>
    <x v="93"/>
  </r>
  <r>
    <d v="2014-08-26T00:00:00"/>
    <n v="826"/>
    <x v="28"/>
    <n v="47"/>
    <n v="1"/>
    <n v="14"/>
    <n v="3"/>
    <n v="237"/>
    <x v="94"/>
  </r>
  <r>
    <d v="2014-08-27T00:00:00"/>
    <n v="827"/>
    <x v="28"/>
    <n v="90"/>
    <n v="7"/>
    <n v="26"/>
    <n v="14"/>
    <n v="263"/>
    <x v="95"/>
  </r>
  <r>
    <d v="2014-08-28T00:00:00"/>
    <n v="828"/>
    <x v="28"/>
    <n v="175"/>
    <n v="12"/>
    <n v="38"/>
    <n v="25"/>
    <n v="301"/>
    <x v="96"/>
  </r>
  <r>
    <d v="2014-08-29T00:00:00"/>
    <n v="829"/>
    <x v="28"/>
    <n v="261"/>
    <n v="17"/>
    <n v="51"/>
    <n v="36"/>
    <n v="352"/>
    <x v="97"/>
  </r>
  <r>
    <d v="2014-08-30T00:00:00"/>
    <n v="830"/>
    <x v="28"/>
    <n v="346"/>
    <n v="23"/>
    <n v="63"/>
    <n v="47"/>
    <n v="415"/>
    <x v="98"/>
  </r>
  <r>
    <d v="2014-08-31T00:00:00"/>
    <n v="831"/>
    <x v="28"/>
    <n v="432"/>
    <n v="28"/>
    <n v="75"/>
    <n v="59"/>
    <n v="490"/>
    <x v="81"/>
  </r>
  <r>
    <d v="2014-09-01T00:00:00"/>
    <n v="901"/>
    <x v="28"/>
    <n v="517"/>
    <n v="34"/>
    <n v="87"/>
    <n v="70"/>
    <n v="577"/>
    <x v="80"/>
  </r>
  <r>
    <d v="2014-09-02T00:00:00"/>
    <n v="902"/>
    <x v="28"/>
    <n v="602"/>
    <n v="39"/>
    <n v="99"/>
    <n v="81"/>
    <n v="676"/>
    <x v="75"/>
  </r>
  <r>
    <d v="2014-09-03T00:00:00"/>
    <n v="903"/>
    <x v="28"/>
    <n v="688"/>
    <n v="45"/>
    <n v="111"/>
    <n v="92"/>
    <n v="787"/>
    <x v="76"/>
  </r>
  <r>
    <d v="2014-09-04T00:00:00"/>
    <n v="904"/>
    <x v="28"/>
    <n v="773"/>
    <n v="50"/>
    <n v="124"/>
    <n v="104"/>
    <n v="911"/>
    <x v="77"/>
  </r>
  <r>
    <d v="2014-09-05T00:00:00"/>
    <n v="905"/>
    <x v="28"/>
    <n v="737"/>
    <n v="40"/>
    <n v="95"/>
    <n v="61"/>
    <n v="1006"/>
    <x v="78"/>
  </r>
  <r>
    <d v="2014-09-06T00:00:00"/>
    <n v="906"/>
    <x v="28"/>
    <n v="944"/>
    <n v="61"/>
    <n v="148"/>
    <n v="126"/>
    <n v="1154"/>
    <x v="79"/>
  </r>
  <r>
    <d v="2014-09-07T00:00:00"/>
    <n v="907"/>
    <x v="28"/>
    <n v="618"/>
    <n v="69"/>
    <n v="169"/>
    <n v="142"/>
    <n v="1323"/>
    <x v="71"/>
  </r>
  <r>
    <d v="2014-09-08T00:00:00"/>
    <n v="908"/>
    <x v="28"/>
    <n v="537"/>
    <n v="100"/>
    <n v="249"/>
    <n v="250"/>
    <n v="1572"/>
    <x v="72"/>
  </r>
  <r>
    <d v="2014-09-09T00:00:00"/>
    <n v="909"/>
    <x v="28"/>
    <n v="540"/>
    <n v="112"/>
    <n v="149"/>
    <n v="197"/>
    <n v="1721"/>
    <x v="73"/>
  </r>
  <r>
    <d v="2014-09-10T00:00:00"/>
    <n v="910"/>
    <x v="28"/>
    <n v="519"/>
    <n v="101"/>
    <n v="277"/>
    <n v="250"/>
    <n v="1998"/>
    <x v="74"/>
  </r>
  <r>
    <d v="2014-09-11T00:00:00"/>
    <n v="911"/>
    <x v="28"/>
    <n v="437"/>
    <n v="78"/>
    <n v="190"/>
    <n v="207"/>
    <n v="2188"/>
    <x v="68"/>
  </r>
  <r>
    <d v="2014-09-12T00:00:00"/>
    <n v="912"/>
    <x v="28"/>
    <n v="1731"/>
    <n v="73"/>
    <n v="222"/>
    <n v="108"/>
    <n v="2410"/>
    <x v="69"/>
  </r>
  <r>
    <d v="2014-09-13T00:00:00"/>
    <n v="913"/>
    <x v="28"/>
    <n v="1517"/>
    <n v="58"/>
    <n v="324"/>
    <n v="68"/>
    <n v="2734"/>
    <x v="70"/>
  </r>
  <r>
    <d v="2014-09-14T00:00:00"/>
    <n v="914"/>
    <x v="28"/>
    <n v="1276"/>
    <n v="79"/>
    <n v="255"/>
    <n v="70"/>
    <n v="2989"/>
    <x v="67"/>
  </r>
  <r>
    <d v="2014-09-15T00:00:00"/>
    <n v="915"/>
    <x v="28"/>
    <n v="1751"/>
    <n v="107"/>
    <n v="206"/>
    <n v="143"/>
    <n v="3195"/>
    <x v="63"/>
  </r>
  <r>
    <d v="2014-09-16T00:00:00"/>
    <n v="916"/>
    <x v="28"/>
    <n v="1287"/>
    <n v="114"/>
    <n v="302"/>
    <n v="181"/>
    <n v="3497"/>
    <x v="64"/>
  </r>
  <r>
    <d v="2014-09-17T00:00:00"/>
    <n v="917"/>
    <x v="28"/>
    <n v="1293"/>
    <n v="106"/>
    <n v="274"/>
    <n v="162"/>
    <n v="3771"/>
    <x v="65"/>
  </r>
  <r>
    <d v="2014-09-18T00:00:00"/>
    <n v="918"/>
    <x v="28"/>
    <n v="1032"/>
    <n v="63"/>
    <n v="293"/>
    <n v="158"/>
    <n v="4064"/>
    <x v="0"/>
  </r>
  <r>
    <d v="2014-09-19T00:00:00"/>
    <n v="919"/>
    <x v="28"/>
    <n v="713"/>
    <n v="57"/>
    <n v="185"/>
    <n v="141"/>
    <n v="4249"/>
    <x v="1"/>
  </r>
  <r>
    <d v="2014-09-20T00:00:00"/>
    <n v="920"/>
    <x v="28"/>
    <n v="525"/>
    <n v="43"/>
    <n v="187"/>
    <n v="132"/>
    <n v="4436"/>
    <x v="2"/>
  </r>
  <r>
    <d v="2014-09-21T00:00:00"/>
    <n v="921"/>
    <x v="28"/>
    <n v="348"/>
    <n v="41"/>
    <n v="242"/>
    <n v="126"/>
    <n v="4678"/>
    <x v="3"/>
  </r>
  <r>
    <d v="2014-09-22T00:00:00"/>
    <n v="922"/>
    <x v="28"/>
    <n v="824"/>
    <n v="103"/>
    <n v="341"/>
    <n v="196"/>
    <n v="5019"/>
    <x v="4"/>
  </r>
  <r>
    <d v="2014-09-23T00:00:00"/>
    <n v="923"/>
    <x v="28"/>
    <n v="601"/>
    <n v="80"/>
    <n v="258"/>
    <n v="96"/>
    <n v="5277"/>
    <x v="5"/>
  </r>
  <r>
    <d v="2014-09-24T00:00:00"/>
    <n v="924"/>
    <x v="28"/>
    <n v="1065"/>
    <n v="89"/>
    <n v="385"/>
    <n v="162"/>
    <n v="5662"/>
    <x v="6"/>
  </r>
  <r>
    <d v="2014-09-25T00:00:00"/>
    <n v="925"/>
    <x v="28"/>
    <n v="893"/>
    <n v="67"/>
    <n v="303"/>
    <n v="115"/>
    <n v="5965"/>
    <x v="7"/>
  </r>
  <r>
    <d v="2014-09-26T00:00:00"/>
    <n v="926"/>
    <x v="28"/>
    <n v="1043"/>
    <n v="85"/>
    <n v="313"/>
    <n v="147"/>
    <n v="6278"/>
    <x v="8"/>
  </r>
  <r>
    <d v="2014-09-27T00:00:00"/>
    <n v="927"/>
    <x v="28"/>
    <n v="665"/>
    <n v="24"/>
    <n v="330"/>
    <n v="112"/>
    <n v="6608"/>
    <x v="9"/>
  </r>
  <r>
    <d v="2014-09-28T00:00:00"/>
    <n v="928"/>
    <x v="28"/>
    <n v="400"/>
    <n v="48"/>
    <n v="256"/>
    <n v="82"/>
    <n v="6864"/>
    <x v="10"/>
  </r>
  <r>
    <d v="2014-09-29T00:00:00"/>
    <n v="929"/>
    <x v="28"/>
    <n v="704"/>
    <n v="108"/>
    <n v="456"/>
    <n v="132"/>
    <n v="7320"/>
    <x v="11"/>
  </r>
  <r>
    <d v="2014-09-30T00:00:00"/>
    <n v="930"/>
    <x v="28"/>
    <n v="733"/>
    <n v="62"/>
    <n v="404"/>
    <n v="83"/>
    <n v="7724"/>
    <x v="12"/>
  </r>
  <r>
    <d v="2014-10-01T00:00:00"/>
    <n v="1001"/>
    <x v="28"/>
    <n v="675"/>
    <n v="33"/>
    <n v="289"/>
    <n v="94"/>
    <n v="8013"/>
    <x v="13"/>
  </r>
  <r>
    <d v="2014-10-02T00:00:00"/>
    <n v="1002"/>
    <x v="28"/>
    <n v="165"/>
    <n v="25"/>
    <n v="58"/>
    <n v="13"/>
    <n v="8071"/>
    <x v="14"/>
  </r>
  <r>
    <d v="2014-10-03T00:00:00"/>
    <n v="1003"/>
    <x v="28"/>
    <n v="425"/>
    <n v="35"/>
    <n v="212"/>
    <n v="51"/>
    <n v="8283"/>
    <x v="15"/>
  </r>
  <r>
    <d v="2014-10-04T00:00:00"/>
    <n v="1004"/>
    <x v="28"/>
    <n v="627"/>
    <n v="31"/>
    <n v="460"/>
    <n v="130"/>
    <n v="8743"/>
    <x v="16"/>
  </r>
  <r>
    <d v="2014-10-05T00:00:00"/>
    <n v="1005"/>
    <x v="28"/>
    <n v="484"/>
    <n v="44"/>
    <n v="642"/>
    <n v="197"/>
    <n v="9385"/>
    <x v="17"/>
  </r>
  <r>
    <d v="2014-10-06T00:00:00"/>
    <n v="1006"/>
    <x v="28"/>
    <n v="402"/>
    <n v="45"/>
    <n v="920"/>
    <n v="180"/>
    <n v="10305"/>
    <x v="18"/>
  </r>
  <r>
    <d v="2014-10-07T00:00:00"/>
    <n v="1007"/>
    <x v="28"/>
    <n v="401"/>
    <n v="40"/>
    <n v="715"/>
    <n v="172"/>
    <n v="11020"/>
    <x v="19"/>
  </r>
  <r>
    <d v="2014-10-08T00:00:00"/>
    <n v="1008"/>
    <x v="28"/>
    <n v="385"/>
    <n v="25"/>
    <n v="936"/>
    <n v="227"/>
    <n v="11956"/>
    <x v="20"/>
  </r>
  <r>
    <d v="2014-10-09T00:00:00"/>
    <n v="1009"/>
    <x v="28"/>
    <n v="382"/>
    <n v="22"/>
    <n v="940"/>
    <n v="122"/>
    <n v="12896"/>
    <x v="21"/>
  </r>
  <r>
    <d v="2014-10-10T00:00:00"/>
    <n v="1010"/>
    <x v="28"/>
    <n v="337"/>
    <n v="21"/>
    <n v="686"/>
    <n v="175"/>
    <n v="13582"/>
    <x v="22"/>
  </r>
  <r>
    <d v="2014-10-11T00:00:00"/>
    <n v="1011"/>
    <x v="28"/>
    <n v="1488"/>
    <n v="42"/>
    <n v="672"/>
    <n v="166"/>
    <n v="14254"/>
    <x v="23"/>
  </r>
  <r>
    <d v="2014-10-12T00:00:00"/>
    <n v="1012"/>
    <x v="28"/>
    <n v="1217"/>
    <n v="24"/>
    <n v="356"/>
    <n v="82"/>
    <n v="14610"/>
    <x v="24"/>
  </r>
  <r>
    <d v="2014-10-13T00:00:00"/>
    <n v="1013"/>
    <x v="28"/>
    <n v="92"/>
    <n v="5"/>
    <n v="274"/>
    <n v="64"/>
    <n v="14884"/>
    <x v="25"/>
  </r>
  <r>
    <d v="2014-10-14T00:00:00"/>
    <n v="1014"/>
    <x v="28"/>
    <n v="284"/>
    <n v="34"/>
    <n v="226"/>
    <n v="49"/>
    <n v="15110"/>
    <x v="26"/>
  </r>
  <r>
    <d v="2014-10-15T00:00:00"/>
    <n v="1015"/>
    <x v="28"/>
    <n v="247"/>
    <n v="11"/>
    <n v="205"/>
    <n v="34"/>
    <n v="15315"/>
    <x v="27"/>
  </r>
  <r>
    <d v="2014-10-16T00:00:00"/>
    <n v="1016"/>
    <x v="28"/>
    <n v="109"/>
    <n v="7"/>
    <n v="195"/>
    <n v="32"/>
    <n v="15510"/>
    <x v="28"/>
  </r>
  <r>
    <d v="2014-10-17T00:00:00"/>
    <n v="1017"/>
    <x v="28"/>
    <n v="29"/>
    <n v="3"/>
    <n v="108"/>
    <n v="29"/>
    <n v="15618"/>
    <x v="29"/>
  </r>
  <r>
    <d v="2014-10-18T00:00:00"/>
    <n v="1018"/>
    <x v="28"/>
    <n v="24"/>
    <n v="4"/>
    <n v="37"/>
    <n v="8"/>
    <n v="15655"/>
    <x v="30"/>
  </r>
  <r>
    <d v="2014-10-19T00:00:00"/>
    <n v="1019"/>
    <x v="28"/>
    <n v="21"/>
    <n v="2"/>
    <n v="90"/>
    <n v="6"/>
    <n v="15745"/>
    <x v="31"/>
  </r>
  <r>
    <d v="2015-07-31T00:00:00"/>
    <n v="731"/>
    <x v="29"/>
    <n v="0"/>
    <n v="-3"/>
    <n v="0"/>
    <n v="0"/>
    <n v="0"/>
    <x v="99"/>
  </r>
  <r>
    <d v="2015-08-01T00:00:00"/>
    <n v="801"/>
    <x v="29"/>
    <n v="0"/>
    <n v="0"/>
    <n v="0"/>
    <n v="0"/>
    <n v="0"/>
    <x v="100"/>
  </r>
  <r>
    <d v="2015-08-02T00:00:00"/>
    <n v="802"/>
    <x v="29"/>
    <n v="0"/>
    <n v="0"/>
    <n v="0"/>
    <n v="0"/>
    <n v="0"/>
    <x v="101"/>
  </r>
  <r>
    <d v="2015-08-03T00:00:00"/>
    <n v="803"/>
    <x v="29"/>
    <n v="0"/>
    <n v="0"/>
    <n v="0"/>
    <n v="0"/>
    <n v="0"/>
    <x v="102"/>
  </r>
  <r>
    <d v="2015-08-04T00:00:00"/>
    <n v="804"/>
    <x v="29"/>
    <n v="0"/>
    <n v="0"/>
    <n v="0"/>
    <n v="0"/>
    <n v="0"/>
    <x v="103"/>
  </r>
  <r>
    <d v="2015-08-05T00:00:00"/>
    <n v="805"/>
    <x v="29"/>
    <n v="0"/>
    <n v="0"/>
    <n v="3"/>
    <n v="0"/>
    <n v="3"/>
    <x v="104"/>
  </r>
  <r>
    <d v="2015-08-06T00:00:00"/>
    <n v="806"/>
    <x v="29"/>
    <n v="0"/>
    <n v="0"/>
    <n v="0"/>
    <n v="0"/>
    <n v="3"/>
    <x v="105"/>
  </r>
  <r>
    <d v="2015-08-07T00:00:00"/>
    <n v="807"/>
    <x v="29"/>
    <n v="0"/>
    <n v="0"/>
    <n v="0"/>
    <n v="0"/>
    <n v="3"/>
    <x v="106"/>
  </r>
  <r>
    <d v="2015-08-08T00:00:00"/>
    <n v="808"/>
    <x v="29"/>
    <n v="0"/>
    <n v="0"/>
    <n v="6"/>
    <n v="1"/>
    <n v="9"/>
    <x v="107"/>
  </r>
  <r>
    <d v="2015-08-09T00:00:00"/>
    <n v="809"/>
    <x v="29"/>
    <n v="6"/>
    <n v="0"/>
    <n v="3"/>
    <n v="0"/>
    <n v="12"/>
    <x v="108"/>
  </r>
  <r>
    <d v="2015-08-10T00:00:00"/>
    <n v="810"/>
    <x v="29"/>
    <n v="3"/>
    <n v="0"/>
    <n v="3"/>
    <n v="0"/>
    <n v="15"/>
    <x v="109"/>
  </r>
  <r>
    <d v="2015-08-11T00:00:00"/>
    <n v="811"/>
    <x v="29"/>
    <n v="1"/>
    <n v="0"/>
    <n v="12"/>
    <n v="0"/>
    <n v="27"/>
    <x v="110"/>
  </r>
  <r>
    <d v="2015-08-12T00:00:00"/>
    <n v="812"/>
    <x v="29"/>
    <n v="1"/>
    <n v="-3"/>
    <n v="15"/>
    <n v="0"/>
    <n v="42"/>
    <x v="111"/>
  </r>
  <r>
    <d v="2015-08-13T00:00:00"/>
    <n v="813"/>
    <x v="29"/>
    <n v="0"/>
    <n v="0"/>
    <n v="8"/>
    <n v="1"/>
    <n v="50"/>
    <x v="112"/>
  </r>
  <r>
    <d v="2015-08-14T00:00:00"/>
    <n v="814"/>
    <x v="29"/>
    <n v="0"/>
    <n v="0"/>
    <n v="9"/>
    <n v="0"/>
    <n v="59"/>
    <x v="82"/>
  </r>
  <r>
    <d v="2015-08-15T00:00:00"/>
    <n v="815"/>
    <x v="29"/>
    <n v="7"/>
    <n v="0"/>
    <n v="16"/>
    <n v="1"/>
    <n v="75"/>
    <x v="83"/>
  </r>
  <r>
    <d v="2015-08-16T00:00:00"/>
    <n v="816"/>
    <x v="29"/>
    <n v="5"/>
    <n v="0"/>
    <n v="1"/>
    <n v="0"/>
    <n v="76"/>
    <x v="84"/>
  </r>
  <r>
    <d v="2015-08-17T00:00:00"/>
    <n v="817"/>
    <x v="29"/>
    <n v="4"/>
    <n v="0"/>
    <n v="20"/>
    <n v="2"/>
    <n v="96"/>
    <x v="85"/>
  </r>
  <r>
    <d v="2015-08-18T00:00:00"/>
    <n v="818"/>
    <x v="29"/>
    <n v="1"/>
    <n v="0"/>
    <n v="83"/>
    <n v="0"/>
    <n v="179"/>
    <x v="86"/>
  </r>
  <r>
    <d v="2015-08-19T00:00:00"/>
    <n v="819"/>
    <x v="29"/>
    <n v="0"/>
    <n v="0"/>
    <n v="63"/>
    <n v="0"/>
    <n v="242"/>
    <x v="87"/>
  </r>
  <r>
    <d v="2015-08-20T00:00:00"/>
    <n v="820"/>
    <x v="29"/>
    <n v="5"/>
    <n v="1"/>
    <n v="32"/>
    <n v="2"/>
    <n v="274"/>
    <x v="88"/>
  </r>
  <r>
    <d v="2015-08-21T00:00:00"/>
    <n v="821"/>
    <x v="29"/>
    <n v="3"/>
    <n v="0"/>
    <n v="13"/>
    <n v="1"/>
    <n v="287"/>
    <x v="89"/>
  </r>
  <r>
    <d v="2015-08-22T00:00:00"/>
    <n v="822"/>
    <x v="29"/>
    <n v="7"/>
    <n v="0"/>
    <n v="24"/>
    <n v="0"/>
    <n v="311"/>
    <x v="90"/>
  </r>
  <r>
    <d v="2015-08-23T00:00:00"/>
    <n v="823"/>
    <x v="29"/>
    <n v="9"/>
    <n v="2"/>
    <n v="50"/>
    <n v="2"/>
    <n v="361"/>
    <x v="91"/>
  </r>
  <r>
    <d v="2015-08-24T00:00:00"/>
    <n v="824"/>
    <x v="29"/>
    <n v="3"/>
    <n v="1"/>
    <n v="60"/>
    <n v="12"/>
    <n v="421"/>
    <x v="92"/>
  </r>
  <r>
    <d v="2015-08-25T00:00:00"/>
    <n v="825"/>
    <x v="29"/>
    <n v="43"/>
    <n v="6"/>
    <n v="142"/>
    <n v="1"/>
    <n v="563"/>
    <x v="93"/>
  </r>
  <r>
    <d v="2015-08-26T00:00:00"/>
    <n v="826"/>
    <x v="29"/>
    <n v="102"/>
    <n v="12"/>
    <n v="201"/>
    <n v="3"/>
    <n v="764"/>
    <x v="94"/>
  </r>
  <r>
    <d v="2015-08-27T00:00:00"/>
    <n v="827"/>
    <x v="29"/>
    <n v="40"/>
    <n v="10"/>
    <n v="77"/>
    <n v="8"/>
    <n v="841"/>
    <x v="95"/>
  </r>
  <r>
    <d v="2015-08-28T00:00:00"/>
    <n v="828"/>
    <x v="29"/>
    <n v="48"/>
    <n v="0"/>
    <n v="168"/>
    <n v="6"/>
    <n v="1009"/>
    <x v="96"/>
  </r>
  <r>
    <d v="2015-08-29T00:00:00"/>
    <n v="829"/>
    <x v="29"/>
    <n v="121"/>
    <n v="34"/>
    <n v="252"/>
    <n v="24"/>
    <n v="1261"/>
    <x v="97"/>
  </r>
  <r>
    <d v="2015-08-30T00:00:00"/>
    <n v="830"/>
    <x v="29"/>
    <n v="226"/>
    <n v="8"/>
    <n v="448"/>
    <n v="8"/>
    <n v="1709"/>
    <x v="98"/>
  </r>
  <r>
    <d v="2015-08-31T00:00:00"/>
    <n v="831"/>
    <x v="29"/>
    <n v="105"/>
    <n v="15"/>
    <n v="543"/>
    <n v="3"/>
    <n v="2252"/>
    <x v="81"/>
  </r>
  <r>
    <d v="2015-09-01T00:00:00"/>
    <n v="901"/>
    <x v="29"/>
    <n v="216"/>
    <n v="0"/>
    <n v="276"/>
    <n v="0"/>
    <n v="2528"/>
    <x v="80"/>
  </r>
  <r>
    <d v="2015-09-02T00:00:00"/>
    <n v="902"/>
    <x v="29"/>
    <n v="108"/>
    <n v="0"/>
    <n v="66"/>
    <n v="6"/>
    <n v="2594"/>
    <x v="75"/>
  </r>
  <r>
    <d v="2015-09-03T00:00:00"/>
    <n v="903"/>
    <x v="29"/>
    <n v="36"/>
    <n v="0"/>
    <n v="18"/>
    <n v="0"/>
    <n v="2612"/>
    <x v="76"/>
  </r>
  <r>
    <d v="2015-09-04T00:00:00"/>
    <n v="904"/>
    <x v="29"/>
    <n v="18"/>
    <n v="0"/>
    <n v="30"/>
    <n v="0"/>
    <n v="2642"/>
    <x v="77"/>
  </r>
  <r>
    <d v="2015-09-05T00:00:00"/>
    <n v="905"/>
    <x v="29"/>
    <n v="6"/>
    <n v="0"/>
    <n v="12"/>
    <n v="0"/>
    <n v="2654"/>
    <x v="78"/>
  </r>
  <r>
    <d v="2015-09-06T00:00:00"/>
    <n v="906"/>
    <x v="29"/>
    <n v="24"/>
    <n v="0"/>
    <n v="12"/>
    <n v="0"/>
    <n v="2666"/>
    <x v="79"/>
  </r>
  <r>
    <d v="2015-09-07T00:00:00"/>
    <n v="907"/>
    <x v="29"/>
    <n v="18"/>
    <n v="6"/>
    <n v="24"/>
    <n v="0"/>
    <n v="2690"/>
    <x v="71"/>
  </r>
  <r>
    <d v="2015-09-08T00:00:00"/>
    <n v="908"/>
    <x v="29"/>
    <n v="126"/>
    <n v="6"/>
    <n v="42"/>
    <n v="0"/>
    <n v="2732"/>
    <x v="72"/>
  </r>
  <r>
    <d v="2015-09-09T00:00:00"/>
    <n v="909"/>
    <x v="29"/>
    <n v="132"/>
    <n v="0"/>
    <n v="18"/>
    <n v="6"/>
    <n v="2750"/>
    <x v="73"/>
  </r>
  <r>
    <d v="2015-09-10T00:00:00"/>
    <n v="910"/>
    <x v="29"/>
    <n v="323"/>
    <n v="56"/>
    <n v="105"/>
    <n v="6"/>
    <n v="2855"/>
    <x v="74"/>
  </r>
  <r>
    <d v="2015-09-11T00:00:00"/>
    <n v="911"/>
    <x v="29"/>
    <n v="624"/>
    <n v="108"/>
    <n v="102"/>
    <n v="12"/>
    <n v="2957"/>
    <x v="68"/>
  </r>
  <r>
    <d v="2015-09-12T00:00:00"/>
    <n v="912"/>
    <x v="29"/>
    <n v="762"/>
    <n v="168"/>
    <n v="240"/>
    <n v="12"/>
    <n v="3197"/>
    <x v="69"/>
  </r>
  <r>
    <d v="2015-09-13T00:00:00"/>
    <n v="913"/>
    <x v="29"/>
    <n v="528"/>
    <n v="174"/>
    <n v="384"/>
    <n v="18"/>
    <n v="3581"/>
    <x v="70"/>
  </r>
  <r>
    <d v="2015-09-14T00:00:00"/>
    <n v="914"/>
    <x v="29"/>
    <n v="911"/>
    <n v="197"/>
    <n v="638"/>
    <n v="84"/>
    <n v="4219"/>
    <x v="67"/>
  </r>
  <r>
    <d v="2015-09-15T00:00:00"/>
    <n v="915"/>
    <x v="29"/>
    <n v="699"/>
    <n v="203"/>
    <n v="534"/>
    <n v="50"/>
    <n v="4753"/>
    <x v="63"/>
  </r>
  <r>
    <d v="2015-09-16T00:00:00"/>
    <n v="916"/>
    <x v="29"/>
    <n v="565"/>
    <n v="157"/>
    <n v="686"/>
    <n v="51"/>
    <n v="5439"/>
    <x v="64"/>
  </r>
  <r>
    <d v="2015-09-17T00:00:00"/>
    <n v="917"/>
    <x v="29"/>
    <n v="599"/>
    <n v="205"/>
    <n v="993"/>
    <n v="40"/>
    <n v="6432"/>
    <x v="65"/>
  </r>
  <r>
    <d v="2015-09-18T00:00:00"/>
    <n v="918"/>
    <x v="29"/>
    <n v="398"/>
    <n v="120"/>
    <n v="494"/>
    <n v="14"/>
    <n v="6926"/>
    <x v="0"/>
  </r>
  <r>
    <d v="2015-09-19T00:00:00"/>
    <n v="919"/>
    <x v="29"/>
    <n v="326"/>
    <n v="88"/>
    <n v="764"/>
    <n v="46"/>
    <n v="7690"/>
    <x v="1"/>
  </r>
  <r>
    <d v="2015-09-20T00:00:00"/>
    <n v="920"/>
    <x v="29"/>
    <n v="740"/>
    <n v="97"/>
    <n v="4657"/>
    <n v="141"/>
    <n v="12347"/>
    <x v="2"/>
  </r>
  <r>
    <d v="2015-09-21T00:00:00"/>
    <n v="921"/>
    <x v="29"/>
    <n v="948"/>
    <n v="183"/>
    <n v="11322"/>
    <n v="189"/>
    <n v="23669"/>
    <x v="3"/>
  </r>
  <r>
    <d v="2015-09-22T00:00:00"/>
    <n v="922"/>
    <x v="29"/>
    <n v="579"/>
    <n v="156"/>
    <n v="6351"/>
    <n v="255"/>
    <n v="30020"/>
    <x v="4"/>
  </r>
  <r>
    <d v="2015-09-23T00:00:00"/>
    <n v="923"/>
    <x v="29"/>
    <n v="297"/>
    <n v="117"/>
    <n v="3627"/>
    <n v="96"/>
    <n v="33647"/>
    <x v="5"/>
  </r>
  <r>
    <d v="2015-09-24T00:00:00"/>
    <n v="924"/>
    <x v="29"/>
    <n v="228"/>
    <n v="42"/>
    <n v="1308"/>
    <n v="18"/>
    <n v="34955"/>
    <x v="6"/>
  </r>
  <r>
    <d v="2015-09-25T00:00:00"/>
    <n v="925"/>
    <x v="29"/>
    <n v="378"/>
    <n v="42"/>
    <n v="1632"/>
    <n v="60"/>
    <n v="36587"/>
    <x v="7"/>
  </r>
  <r>
    <d v="2015-09-26T00:00:00"/>
    <n v="926"/>
    <x v="29"/>
    <n v="348"/>
    <n v="48"/>
    <n v="2328"/>
    <n v="54"/>
    <n v="38915"/>
    <x v="8"/>
  </r>
  <r>
    <d v="2015-09-27T00:00:00"/>
    <n v="927"/>
    <x v="29"/>
    <n v="279"/>
    <n v="87"/>
    <n v="1766"/>
    <n v="69"/>
    <n v="40681"/>
    <x v="9"/>
  </r>
  <r>
    <d v="2015-09-28T00:00:00"/>
    <n v="928"/>
    <x v="29"/>
    <n v="114"/>
    <n v="36"/>
    <n v="747"/>
    <n v="9"/>
    <n v="41428"/>
    <x v="10"/>
  </r>
  <r>
    <d v="2015-09-29T00:00:00"/>
    <n v="929"/>
    <x v="29"/>
    <n v="82"/>
    <n v="14"/>
    <n v="1082"/>
    <n v="17"/>
    <n v="42510"/>
    <x v="11"/>
  </r>
  <r>
    <d v="2015-09-30T00:00:00"/>
    <n v="930"/>
    <x v="29"/>
    <n v="51"/>
    <n v="12"/>
    <n v="779"/>
    <n v="3"/>
    <n v="43289"/>
    <x v="12"/>
  </r>
  <r>
    <d v="2015-10-01T00:00:00"/>
    <n v="1001"/>
    <x v="29"/>
    <n v="57"/>
    <n v="33"/>
    <n v="80"/>
    <n v="2"/>
    <n v="43369"/>
    <x v="13"/>
  </r>
  <r>
    <d v="2015-10-02T00:00:00"/>
    <n v="1002"/>
    <x v="29"/>
    <n v="164"/>
    <n v="46"/>
    <n v="682"/>
    <n v="17"/>
    <n v="44051"/>
    <x v="14"/>
  </r>
  <r>
    <d v="2015-10-03T00:00:00"/>
    <n v="1003"/>
    <x v="29"/>
    <n v="166"/>
    <n v="12"/>
    <n v="743"/>
    <n v="22"/>
    <n v="44794"/>
    <x v="15"/>
  </r>
  <r>
    <d v="2015-10-04T00:00:00"/>
    <n v="1004"/>
    <x v="29"/>
    <n v="78"/>
    <n v="10"/>
    <n v="739"/>
    <n v="24"/>
    <n v="45533"/>
    <x v="16"/>
  </r>
  <r>
    <d v="2015-10-05T00:00:00"/>
    <n v="1005"/>
    <x v="29"/>
    <n v="99"/>
    <n v="32"/>
    <n v="858"/>
    <n v="29"/>
    <n v="46391"/>
    <x v="17"/>
  </r>
  <r>
    <d v="2015-10-06T00:00:00"/>
    <n v="1006"/>
    <x v="29"/>
    <n v="175"/>
    <n v="28"/>
    <n v="1534"/>
    <n v="59"/>
    <n v="47925"/>
    <x v="18"/>
  </r>
  <r>
    <d v="2015-10-07T00:00:00"/>
    <n v="1007"/>
    <x v="29"/>
    <n v="88"/>
    <n v="11"/>
    <n v="945"/>
    <n v="31"/>
    <n v="48870"/>
    <x v="19"/>
  </r>
  <r>
    <d v="2015-10-08T00:00:00"/>
    <n v="1008"/>
    <x v="29"/>
    <n v="82"/>
    <n v="23"/>
    <n v="661"/>
    <n v="19"/>
    <n v="49531"/>
    <x v="20"/>
  </r>
  <r>
    <d v="2015-10-09T00:00:00"/>
    <n v="1009"/>
    <x v="29"/>
    <n v="175"/>
    <n v="47"/>
    <n v="1193"/>
    <n v="84"/>
    <n v="50724"/>
    <x v="21"/>
  </r>
  <r>
    <d v="2015-10-10T00:00:00"/>
    <n v="1010"/>
    <x v="29"/>
    <n v="60"/>
    <n v="0"/>
    <n v="318"/>
    <n v="9"/>
    <n v="51042"/>
    <x v="22"/>
  </r>
  <r>
    <d v="2015-10-11T00:00:00"/>
    <n v="1011"/>
    <x v="29"/>
    <n v="133"/>
    <n v="8"/>
    <n v="283"/>
    <n v="8"/>
    <n v="51325"/>
    <x v="23"/>
  </r>
  <r>
    <d v="2015-10-12T00:00:00"/>
    <n v="1012"/>
    <x v="29"/>
    <n v="213"/>
    <n v="14"/>
    <n v="860"/>
    <n v="28"/>
    <n v="52185"/>
    <x v="24"/>
  </r>
  <r>
    <d v="2015-10-13T00:00:00"/>
    <n v="1013"/>
    <x v="29"/>
    <n v="79"/>
    <n v="3"/>
    <n v="186"/>
    <n v="4"/>
    <n v="52371"/>
    <x v="25"/>
  </r>
  <r>
    <d v="2015-10-14T00:00:00"/>
    <n v="1014"/>
    <x v="29"/>
    <n v="26"/>
    <n v="2"/>
    <n v="224"/>
    <n v="5"/>
    <n v="52595"/>
    <x v="26"/>
  </r>
  <r>
    <d v="2015-10-15T00:00:00"/>
    <n v="1015"/>
    <x v="29"/>
    <n v="3"/>
    <n v="0"/>
    <n v="12"/>
    <n v="1"/>
    <n v="52607"/>
    <x v="27"/>
  </r>
  <r>
    <d v="2015-10-16T00:00:00"/>
    <n v="1016"/>
    <x v="29"/>
    <n v="31"/>
    <n v="6"/>
    <n v="281"/>
    <n v="6"/>
    <n v="52888"/>
    <x v="28"/>
  </r>
  <r>
    <d v="2015-10-17T00:00:00"/>
    <n v="1017"/>
    <x v="29"/>
    <n v="31"/>
    <n v="5"/>
    <n v="163"/>
    <n v="13"/>
    <n v="53051"/>
    <x v="29"/>
  </r>
  <r>
    <d v="2015-10-18T00:00:00"/>
    <n v="1018"/>
    <x v="29"/>
    <n v="11"/>
    <n v="4"/>
    <n v="40"/>
    <n v="4"/>
    <n v="53091"/>
    <x v="30"/>
  </r>
  <r>
    <d v="2015-10-19T00:00:00"/>
    <n v="1019"/>
    <x v="29"/>
    <n v="26"/>
    <n v="1"/>
    <n v="78"/>
    <n v="0"/>
    <n v="53169"/>
    <x v="31"/>
  </r>
  <r>
    <d v="2015-10-20T00:00:00"/>
    <n v="1020"/>
    <x v="29"/>
    <n v="54"/>
    <n v="3"/>
    <n v="358"/>
    <n v="20"/>
    <n v="53527"/>
    <x v="32"/>
  </r>
  <r>
    <d v="2015-10-21T00:00:00"/>
    <n v="1021"/>
    <x v="29"/>
    <n v="50"/>
    <n v="1"/>
    <n v="333"/>
    <n v="24"/>
    <n v="53860"/>
    <x v="33"/>
  </r>
  <r>
    <d v="2015-10-22T00:00:00"/>
    <n v="1022"/>
    <x v="29"/>
    <n v="36"/>
    <n v="1"/>
    <n v="178"/>
    <n v="4"/>
    <n v="54038"/>
    <x v="34"/>
  </r>
  <r>
    <d v="2015-10-23T00:00:00"/>
    <n v="1023"/>
    <x v="29"/>
    <n v="39"/>
    <n v="8"/>
    <n v="183"/>
    <n v="11"/>
    <n v="54221"/>
    <x v="35"/>
  </r>
  <r>
    <d v="2015-10-24T00:00:00"/>
    <n v="1024"/>
    <x v="29"/>
    <n v="28"/>
    <n v="3"/>
    <n v="95"/>
    <n v="7"/>
    <n v="54316"/>
    <x v="36"/>
  </r>
  <r>
    <d v="2015-10-25T00:00:00"/>
    <n v="1025"/>
    <x v="29"/>
    <n v="31"/>
    <n v="6"/>
    <n v="102"/>
    <n v="8"/>
    <n v="54418"/>
    <x v="37"/>
  </r>
  <r>
    <d v="2015-10-26T00:00:00"/>
    <n v="1026"/>
    <x v="29"/>
    <n v="28"/>
    <n v="4"/>
    <n v="105"/>
    <n v="7"/>
    <n v="54523"/>
    <x v="38"/>
  </r>
  <r>
    <d v="2015-10-27T00:00:00"/>
    <n v="1027"/>
    <x v="29"/>
    <n v="23"/>
    <n v="0"/>
    <n v="59"/>
    <n v="0"/>
    <n v="54582"/>
    <x v="39"/>
  </r>
  <r>
    <d v="2015-10-28T00:00:00"/>
    <n v="1028"/>
    <x v="29"/>
    <n v="36"/>
    <n v="1"/>
    <n v="35"/>
    <n v="5"/>
    <n v="54617"/>
    <x v="40"/>
  </r>
  <r>
    <d v="2015-10-29T00:00:00"/>
    <n v="1029"/>
    <x v="29"/>
    <n v="31"/>
    <n v="2"/>
    <n v="48"/>
    <n v="7"/>
    <n v="54665"/>
    <x v="41"/>
  </r>
  <r>
    <d v="2015-10-30T00:00:00"/>
    <n v="1030"/>
    <x v="29"/>
    <n v="48"/>
    <n v="7"/>
    <n v="46"/>
    <n v="4"/>
    <n v="54711"/>
    <x v="42"/>
  </r>
  <r>
    <d v="2015-10-31T00:00:00"/>
    <n v="1031"/>
    <x v="29"/>
    <n v="44"/>
    <n v="9"/>
    <n v="43"/>
    <n v="2"/>
    <n v="54754"/>
    <x v="43"/>
  </r>
  <r>
    <d v="2015-11-01T00:00:00"/>
    <n v="1101"/>
    <x v="29"/>
    <n v="44"/>
    <n v="5"/>
    <n v="17"/>
    <n v="5"/>
    <n v="54771"/>
    <x v="44"/>
  </r>
  <r>
    <d v="2015-11-02T00:00:00"/>
    <n v="1102"/>
    <x v="29"/>
    <n v="9"/>
    <n v="3"/>
    <n v="7"/>
    <n v="2"/>
    <n v="54778"/>
    <x v="45"/>
  </r>
  <r>
    <d v="2015-11-03T00:00:00"/>
    <n v="1103"/>
    <x v="29"/>
    <n v="10"/>
    <n v="1"/>
    <n v="4"/>
    <n v="1"/>
    <n v="54782"/>
    <x v="46"/>
  </r>
  <r>
    <d v="2015-11-04T00:00:00"/>
    <n v="1104"/>
    <x v="29"/>
    <n v="15"/>
    <n v="2"/>
    <n v="3"/>
    <n v="1"/>
    <n v="54785"/>
    <x v="47"/>
  </r>
  <r>
    <d v="2015-11-05T00:00:00"/>
    <n v="1105"/>
    <x v="29"/>
    <n v="9"/>
    <n v="2"/>
    <n v="5"/>
    <n v="1"/>
    <n v="54790"/>
    <x v="48"/>
  </r>
  <r>
    <d v="2015-11-06T00:00:00"/>
    <n v="1106"/>
    <x v="29"/>
    <n v="4"/>
    <n v="0"/>
    <n v="0"/>
    <n v="0"/>
    <n v="54790"/>
    <x v="49"/>
  </r>
  <r>
    <d v="2016-07-31T00:00:00"/>
    <n v="731"/>
    <x v="30"/>
    <n v="22"/>
    <n v="0"/>
    <n v="6"/>
    <n v="0"/>
    <n v="6"/>
    <x v="99"/>
  </r>
  <r>
    <d v="2016-08-01T00:00:00"/>
    <n v="801"/>
    <x v="30"/>
    <n v="1"/>
    <n v="0"/>
    <n v="0"/>
    <n v="0"/>
    <n v="6"/>
    <x v="100"/>
  </r>
  <r>
    <d v="2016-08-02T00:00:00"/>
    <n v="802"/>
    <x v="30"/>
    <n v="9"/>
    <n v="1"/>
    <n v="7"/>
    <n v="0"/>
    <n v="13"/>
    <x v="101"/>
  </r>
  <r>
    <d v="2016-08-03T00:00:00"/>
    <n v="803"/>
    <x v="30"/>
    <n v="13"/>
    <n v="0"/>
    <n v="3"/>
    <n v="0"/>
    <n v="16"/>
    <x v="102"/>
  </r>
  <r>
    <d v="2016-08-04T00:00:00"/>
    <n v="804"/>
    <x v="30"/>
    <n v="10"/>
    <n v="0"/>
    <n v="12"/>
    <n v="0"/>
    <n v="28"/>
    <x v="103"/>
  </r>
  <r>
    <d v="2016-08-05T00:00:00"/>
    <n v="805"/>
    <x v="30"/>
    <n v="36"/>
    <n v="0"/>
    <n v="4"/>
    <n v="0"/>
    <n v="32"/>
    <x v="104"/>
  </r>
  <r>
    <d v="2016-08-06T00:00:00"/>
    <n v="806"/>
    <x v="30"/>
    <n v="64"/>
    <n v="0"/>
    <n v="12"/>
    <n v="0"/>
    <n v="44"/>
    <x v="105"/>
  </r>
  <r>
    <d v="2016-08-07T00:00:00"/>
    <n v="807"/>
    <x v="30"/>
    <n v="44"/>
    <n v="1"/>
    <n v="13"/>
    <n v="0"/>
    <n v="57"/>
    <x v="106"/>
  </r>
  <r>
    <d v="2016-08-08T00:00:00"/>
    <n v="808"/>
    <x v="30"/>
    <n v="59"/>
    <n v="2"/>
    <n v="11"/>
    <n v="0"/>
    <n v="68"/>
    <x v="107"/>
  </r>
  <r>
    <d v="2016-08-09T00:00:00"/>
    <n v="809"/>
    <x v="30"/>
    <n v="48"/>
    <n v="0"/>
    <n v="8"/>
    <n v="1"/>
    <n v="76"/>
    <x v="108"/>
  </r>
  <r>
    <d v="2016-08-10T00:00:00"/>
    <n v="810"/>
    <x v="30"/>
    <n v="83"/>
    <n v="0"/>
    <n v="8"/>
    <n v="1"/>
    <n v="84"/>
    <x v="109"/>
  </r>
  <r>
    <d v="2016-08-11T00:00:00"/>
    <n v="811"/>
    <x v="30"/>
    <n v="92"/>
    <n v="0"/>
    <n v="16"/>
    <n v="0"/>
    <n v="100"/>
    <x v="110"/>
  </r>
  <r>
    <d v="2016-08-12T00:00:00"/>
    <n v="812"/>
    <x v="30"/>
    <n v="98"/>
    <n v="1"/>
    <n v="36"/>
    <n v="0"/>
    <n v="136"/>
    <x v="111"/>
  </r>
  <r>
    <d v="2016-08-13T00:00:00"/>
    <n v="813"/>
    <x v="30"/>
    <n v="55"/>
    <n v="0"/>
    <n v="34"/>
    <n v="2"/>
    <n v="170"/>
    <x v="112"/>
  </r>
  <r>
    <d v="2016-08-14T00:00:00"/>
    <n v="814"/>
    <x v="30"/>
    <n v="6"/>
    <n v="1"/>
    <n v="6"/>
    <n v="0"/>
    <n v="176"/>
    <x v="82"/>
  </r>
  <r>
    <d v="2016-08-15T00:00:00"/>
    <n v="815"/>
    <x v="30"/>
    <n v="3"/>
    <n v="3"/>
    <n v="9"/>
    <n v="1"/>
    <n v="185"/>
    <x v="83"/>
  </r>
  <r>
    <d v="2016-08-16T00:00:00"/>
    <n v="816"/>
    <x v="30"/>
    <n v="13"/>
    <n v="5"/>
    <n v="18"/>
    <n v="0"/>
    <n v="203"/>
    <x v="84"/>
  </r>
  <r>
    <d v="2016-08-17T00:00:00"/>
    <n v="817"/>
    <x v="30"/>
    <n v="25"/>
    <n v="2"/>
    <n v="9"/>
    <n v="0"/>
    <n v="212"/>
    <x v="85"/>
  </r>
  <r>
    <d v="2016-08-18T00:00:00"/>
    <n v="818"/>
    <x v="30"/>
    <n v="15"/>
    <n v="2"/>
    <n v="21"/>
    <n v="2"/>
    <n v="233"/>
    <x v="86"/>
  </r>
  <r>
    <d v="2016-08-19T00:00:00"/>
    <n v="819"/>
    <x v="30"/>
    <n v="12"/>
    <n v="0"/>
    <n v="13"/>
    <n v="1"/>
    <n v="246"/>
    <x v="87"/>
  </r>
  <r>
    <d v="2016-08-20T00:00:00"/>
    <n v="820"/>
    <x v="30"/>
    <n v="8"/>
    <n v="2"/>
    <n v="19"/>
    <n v="1"/>
    <n v="265"/>
    <x v="88"/>
  </r>
  <r>
    <d v="2016-08-21T00:00:00"/>
    <n v="821"/>
    <x v="30"/>
    <n v="9"/>
    <n v="4"/>
    <n v="11"/>
    <n v="2"/>
    <n v="276"/>
    <x v="89"/>
  </r>
  <r>
    <d v="2016-08-22T00:00:00"/>
    <n v="822"/>
    <x v="30"/>
    <n v="18"/>
    <n v="7"/>
    <n v="36"/>
    <n v="7"/>
    <n v="312"/>
    <x v="90"/>
  </r>
  <r>
    <d v="2016-08-23T00:00:00"/>
    <n v="823"/>
    <x v="30"/>
    <n v="67"/>
    <n v="7"/>
    <n v="111"/>
    <n v="1"/>
    <n v="423"/>
    <x v="91"/>
  </r>
  <r>
    <d v="2016-08-24T00:00:00"/>
    <n v="824"/>
    <x v="30"/>
    <n v="52"/>
    <n v="1"/>
    <n v="217"/>
    <n v="5"/>
    <n v="640"/>
    <x v="92"/>
  </r>
  <r>
    <d v="2016-08-25T00:00:00"/>
    <n v="825"/>
    <x v="30"/>
    <n v="54"/>
    <n v="13"/>
    <n v="200"/>
    <n v="13"/>
    <n v="840"/>
    <x v="93"/>
  </r>
  <r>
    <d v="2016-08-26T00:00:00"/>
    <n v="826"/>
    <x v="30"/>
    <n v="44"/>
    <n v="11"/>
    <n v="118"/>
    <n v="13"/>
    <n v="958"/>
    <x v="94"/>
  </r>
  <r>
    <d v="2016-08-27T00:00:00"/>
    <n v="827"/>
    <x v="30"/>
    <n v="60"/>
    <n v="16"/>
    <n v="126"/>
    <n v="14"/>
    <n v="1084"/>
    <x v="95"/>
  </r>
  <r>
    <d v="2016-08-28T00:00:00"/>
    <n v="828"/>
    <x v="30"/>
    <n v="185"/>
    <n v="56"/>
    <n v="232"/>
    <n v="29"/>
    <n v="1316"/>
    <x v="96"/>
  </r>
  <r>
    <d v="2016-08-29T00:00:00"/>
    <n v="829"/>
    <x v="30"/>
    <n v="756"/>
    <n v="74"/>
    <n v="178"/>
    <n v="17"/>
    <n v="1494"/>
    <x v="97"/>
  </r>
  <r>
    <d v="2016-08-30T00:00:00"/>
    <n v="830"/>
    <x v="30"/>
    <n v="765"/>
    <n v="70"/>
    <n v="344"/>
    <n v="27"/>
    <n v="1838"/>
    <x v="98"/>
  </r>
  <r>
    <d v="2016-08-31T00:00:00"/>
    <n v="831"/>
    <x v="30"/>
    <n v="846"/>
    <n v="54"/>
    <n v="279"/>
    <n v="39"/>
    <n v="2117"/>
    <x v="81"/>
  </r>
  <r>
    <d v="2016-09-01T00:00:00"/>
    <n v="901"/>
    <x v="30"/>
    <n v="695"/>
    <n v="49"/>
    <n v="440"/>
    <n v="16"/>
    <n v="2557"/>
    <x v="80"/>
  </r>
  <r>
    <d v="2016-09-02T00:00:00"/>
    <n v="902"/>
    <x v="30"/>
    <n v="762"/>
    <n v="105"/>
    <n v="465"/>
    <n v="21"/>
    <n v="3022"/>
    <x v="75"/>
  </r>
  <r>
    <d v="2016-09-03T00:00:00"/>
    <n v="903"/>
    <x v="30"/>
    <n v="934"/>
    <n v="100"/>
    <n v="302"/>
    <n v="56"/>
    <n v="3324"/>
    <x v="76"/>
  </r>
  <r>
    <d v="2016-09-04T00:00:00"/>
    <n v="904"/>
    <x v="30"/>
    <n v="1113"/>
    <n v="168"/>
    <n v="231"/>
    <n v="26"/>
    <n v="3555"/>
    <x v="77"/>
  </r>
  <r>
    <d v="2016-09-05T00:00:00"/>
    <n v="905"/>
    <x v="30"/>
    <n v="642"/>
    <n v="100"/>
    <n v="298"/>
    <n v="56"/>
    <n v="3853"/>
    <x v="78"/>
  </r>
  <r>
    <d v="2016-09-06T00:00:00"/>
    <n v="906"/>
    <x v="30"/>
    <n v="868"/>
    <n v="157"/>
    <n v="335"/>
    <n v="49"/>
    <n v="4188"/>
    <x v="79"/>
  </r>
  <r>
    <d v="2016-09-07T00:00:00"/>
    <n v="907"/>
    <x v="30"/>
    <n v="928"/>
    <n v="119"/>
    <n v="233"/>
    <n v="53"/>
    <n v="4421"/>
    <x v="71"/>
  </r>
  <r>
    <d v="2016-09-08T00:00:00"/>
    <n v="908"/>
    <x v="30"/>
    <n v="1165"/>
    <n v="168"/>
    <n v="208"/>
    <n v="36"/>
    <n v="4629"/>
    <x v="72"/>
  </r>
  <r>
    <d v="2016-09-09T00:00:00"/>
    <n v="909"/>
    <x v="30"/>
    <n v="1185"/>
    <n v="156"/>
    <n v="168"/>
    <n v="30"/>
    <n v="4797"/>
    <x v="73"/>
  </r>
  <r>
    <d v="2016-09-10T00:00:00"/>
    <n v="910"/>
    <x v="30"/>
    <n v="783"/>
    <n v="125"/>
    <n v="216"/>
    <n v="65"/>
    <n v="5013"/>
    <x v="74"/>
  </r>
  <r>
    <d v="2016-09-11T00:00:00"/>
    <n v="911"/>
    <x v="30"/>
    <n v="816"/>
    <n v="177"/>
    <n v="267"/>
    <n v="84"/>
    <n v="5280"/>
    <x v="68"/>
  </r>
  <r>
    <d v="2016-09-12T00:00:00"/>
    <n v="912"/>
    <x v="30"/>
    <n v="628"/>
    <n v="79"/>
    <n v="230"/>
    <n v="59"/>
    <n v="5510"/>
    <x v="69"/>
  </r>
  <r>
    <d v="2016-09-13T00:00:00"/>
    <n v="913"/>
    <x v="30"/>
    <n v="605"/>
    <n v="183"/>
    <n v="368"/>
    <n v="88"/>
    <n v="5878"/>
    <x v="70"/>
  </r>
  <r>
    <d v="2016-09-14T00:00:00"/>
    <n v="914"/>
    <x v="30"/>
    <n v="524"/>
    <n v="118"/>
    <n v="229"/>
    <n v="75"/>
    <n v="6107"/>
    <x v="67"/>
  </r>
  <r>
    <d v="2016-09-15T00:00:00"/>
    <n v="915"/>
    <x v="30"/>
    <n v="333"/>
    <n v="67"/>
    <n v="559"/>
    <n v="159"/>
    <n v="6666"/>
    <x v="63"/>
  </r>
  <r>
    <d v="2016-09-16T00:00:00"/>
    <n v="916"/>
    <x v="30"/>
    <n v="288"/>
    <n v="86"/>
    <n v="704"/>
    <n v="126"/>
    <n v="7370"/>
    <x v="64"/>
  </r>
  <r>
    <d v="2016-09-17T00:00:00"/>
    <n v="917"/>
    <x v="30"/>
    <n v="190"/>
    <n v="70"/>
    <n v="748"/>
    <n v="152"/>
    <n v="8118"/>
    <x v="65"/>
  </r>
  <r>
    <d v="2016-09-18T00:00:00"/>
    <n v="918"/>
    <x v="30"/>
    <n v="307"/>
    <n v="70"/>
    <n v="847"/>
    <n v="170"/>
    <n v="8965"/>
    <x v="0"/>
  </r>
  <r>
    <d v="2016-09-19T00:00:00"/>
    <n v="919"/>
    <x v="30"/>
    <n v="395"/>
    <n v="88"/>
    <n v="792"/>
    <n v="156"/>
    <n v="9757"/>
    <x v="1"/>
  </r>
  <r>
    <d v="2016-09-20T00:00:00"/>
    <n v="920"/>
    <x v="30"/>
    <n v="483"/>
    <n v="106"/>
    <n v="737"/>
    <n v="143"/>
    <n v="10494"/>
    <x v="2"/>
  </r>
  <r>
    <d v="2016-09-21T00:00:00"/>
    <n v="921"/>
    <x v="30"/>
    <n v="513"/>
    <n v="102"/>
    <n v="672"/>
    <n v="123"/>
    <n v="11166"/>
    <x v="3"/>
  </r>
  <r>
    <d v="2016-09-22T00:00:00"/>
    <n v="922"/>
    <x v="30"/>
    <n v="507"/>
    <n v="110"/>
    <n v="762"/>
    <n v="145"/>
    <n v="11928"/>
    <x v="4"/>
  </r>
  <r>
    <d v="2016-09-23T00:00:00"/>
    <n v="923"/>
    <x v="30"/>
    <n v="465"/>
    <n v="84"/>
    <n v="840"/>
    <n v="192"/>
    <n v="12768"/>
    <x v="5"/>
  </r>
  <r>
    <d v="2016-09-24T00:00:00"/>
    <n v="924"/>
    <x v="30"/>
    <n v="543"/>
    <n v="123"/>
    <n v="942"/>
    <n v="147"/>
    <n v="13710"/>
    <x v="6"/>
  </r>
  <r>
    <d v="2016-09-25T00:00:00"/>
    <n v="925"/>
    <x v="30"/>
    <n v="381"/>
    <n v="81"/>
    <n v="919"/>
    <n v="126"/>
    <n v="14629"/>
    <x v="7"/>
  </r>
  <r>
    <d v="2016-09-26T00:00:00"/>
    <n v="926"/>
    <x v="30"/>
    <n v="532"/>
    <n v="100"/>
    <n v="911"/>
    <n v="150"/>
    <n v="15540"/>
    <x v="8"/>
  </r>
  <r>
    <d v="2016-09-27T00:00:00"/>
    <n v="927"/>
    <x v="30"/>
    <n v="530"/>
    <n v="87"/>
    <n v="935"/>
    <n v="182"/>
    <n v="16475"/>
    <x v="9"/>
  </r>
  <r>
    <d v="2016-09-28T00:00:00"/>
    <n v="928"/>
    <x v="30"/>
    <n v="361"/>
    <n v="61"/>
    <n v="841"/>
    <n v="99"/>
    <n v="17316"/>
    <x v="10"/>
  </r>
  <r>
    <d v="2016-09-29T00:00:00"/>
    <n v="929"/>
    <x v="30"/>
    <n v="274"/>
    <n v="55"/>
    <n v="735"/>
    <n v="91"/>
    <n v="18051"/>
    <x v="11"/>
  </r>
  <r>
    <d v="2016-09-30T00:00:00"/>
    <n v="930"/>
    <x v="30"/>
    <n v="202"/>
    <n v="55"/>
    <n v="676"/>
    <n v="87"/>
    <n v="18727"/>
    <x v="12"/>
  </r>
  <r>
    <d v="2016-10-01T00:00:00"/>
    <n v="1001"/>
    <x v="30"/>
    <n v="110"/>
    <n v="29"/>
    <n v="890"/>
    <n v="113"/>
    <n v="19617"/>
    <x v="13"/>
  </r>
  <r>
    <d v="2016-10-02T00:00:00"/>
    <n v="1002"/>
    <x v="30"/>
    <n v="197"/>
    <n v="44"/>
    <n v="828"/>
    <n v="131"/>
    <n v="20445"/>
    <x v="14"/>
  </r>
  <r>
    <d v="2016-10-03T00:00:00"/>
    <n v="1003"/>
    <x v="30"/>
    <n v="179"/>
    <n v="27"/>
    <n v="711"/>
    <n v="190"/>
    <n v="21156"/>
    <x v="15"/>
  </r>
  <r>
    <d v="2016-10-04T00:00:00"/>
    <n v="1004"/>
    <x v="30"/>
    <n v="108"/>
    <n v="16"/>
    <n v="1076"/>
    <n v="126"/>
    <n v="22232"/>
    <x v="16"/>
  </r>
  <r>
    <d v="2016-10-05T00:00:00"/>
    <n v="1005"/>
    <x v="30"/>
    <n v="133"/>
    <n v="9"/>
    <n v="1011"/>
    <n v="155"/>
    <n v="23243"/>
    <x v="17"/>
  </r>
  <r>
    <d v="2016-10-06T00:00:00"/>
    <n v="1006"/>
    <x v="30"/>
    <n v="126"/>
    <n v="18"/>
    <n v="904"/>
    <n v="46"/>
    <n v="24147"/>
    <x v="18"/>
  </r>
  <r>
    <d v="2016-10-07T00:00:00"/>
    <n v="1007"/>
    <x v="30"/>
    <n v="459"/>
    <n v="36"/>
    <n v="5299"/>
    <n v="319"/>
    <n v="29446"/>
    <x v="19"/>
  </r>
  <r>
    <d v="2016-10-08T00:00:00"/>
    <n v="1008"/>
    <x v="30"/>
    <n v="102"/>
    <n v="6"/>
    <n v="2157"/>
    <n v="153"/>
    <n v="31603"/>
    <x v="20"/>
  </r>
  <r>
    <d v="2016-10-09T00:00:00"/>
    <n v="1009"/>
    <x v="30"/>
    <n v="139"/>
    <n v="16"/>
    <n v="1995"/>
    <n v="173"/>
    <n v="33598"/>
    <x v="21"/>
  </r>
  <r>
    <d v="2016-10-10T00:00:00"/>
    <n v="1010"/>
    <x v="30"/>
    <n v="48"/>
    <n v="6"/>
    <n v="1444"/>
    <n v="140"/>
    <n v="35042"/>
    <x v="22"/>
  </r>
  <r>
    <d v="2016-10-11T00:00:00"/>
    <n v="1011"/>
    <x v="30"/>
    <n v="34"/>
    <n v="4"/>
    <n v="1422"/>
    <n v="128"/>
    <n v="36464"/>
    <x v="23"/>
  </r>
  <r>
    <d v="2016-10-12T00:00:00"/>
    <n v="1012"/>
    <x v="30"/>
    <n v="64"/>
    <n v="3"/>
    <n v="1385"/>
    <n v="60"/>
    <n v="37849"/>
    <x v="24"/>
  </r>
  <r>
    <d v="2016-10-13T00:00:00"/>
    <n v="1013"/>
    <x v="30"/>
    <n v="72"/>
    <n v="3"/>
    <n v="1322"/>
    <n v="51"/>
    <n v="39171"/>
    <x v="25"/>
  </r>
  <r>
    <d v="2016-10-14T00:00:00"/>
    <n v="1014"/>
    <x v="30"/>
    <n v="64"/>
    <n v="3"/>
    <n v="1220"/>
    <n v="46"/>
    <n v="40391"/>
    <x v="26"/>
  </r>
  <r>
    <d v="2016-10-15T00:00:00"/>
    <n v="1015"/>
    <x v="30"/>
    <n v="56"/>
    <n v="2"/>
    <n v="1118"/>
    <n v="40"/>
    <n v="41509"/>
    <x v="27"/>
  </r>
  <r>
    <d v="2016-10-16T00:00:00"/>
    <n v="1016"/>
    <x v="30"/>
    <n v="48"/>
    <n v="2"/>
    <n v="1016"/>
    <n v="35"/>
    <n v="42525"/>
    <x v="28"/>
  </r>
  <r>
    <d v="2016-10-17T00:00:00"/>
    <n v="1017"/>
    <x v="30"/>
    <n v="40"/>
    <n v="2"/>
    <n v="914"/>
    <n v="30"/>
    <n v="43439"/>
    <x v="29"/>
  </r>
  <r>
    <d v="2016-10-18T00:00:00"/>
    <n v="1018"/>
    <x v="30"/>
    <n v="32"/>
    <n v="1"/>
    <n v="812"/>
    <n v="25"/>
    <n v="44251"/>
    <x v="30"/>
  </r>
  <r>
    <d v="2016-10-19T00:00:00"/>
    <n v="1019"/>
    <x v="30"/>
    <n v="24"/>
    <n v="1"/>
    <n v="711"/>
    <n v="19"/>
    <n v="44962"/>
    <x v="31"/>
  </r>
  <r>
    <d v="2016-10-20T00:00:00"/>
    <n v="1020"/>
    <x v="30"/>
    <n v="17"/>
    <n v="0"/>
    <n v="609"/>
    <n v="14"/>
    <n v="45571"/>
    <x v="32"/>
  </r>
  <r>
    <d v="2016-10-21T00:00:00"/>
    <n v="1021"/>
    <x v="30"/>
    <n v="9"/>
    <n v="0"/>
    <n v="507"/>
    <n v="9"/>
    <n v="46078"/>
    <x v="33"/>
  </r>
  <r>
    <d v="2016-10-22T00:00:00"/>
    <n v="1022"/>
    <x v="30"/>
    <n v="12"/>
    <n v="0"/>
    <n v="515"/>
    <n v="14"/>
    <n v="46593"/>
    <x v="34"/>
  </r>
  <r>
    <d v="2016-10-23T00:00:00"/>
    <n v="1023"/>
    <x v="30"/>
    <n v="55"/>
    <n v="5"/>
    <n v="288"/>
    <n v="20"/>
    <n v="46881"/>
    <x v="35"/>
  </r>
  <r>
    <d v="2016-10-24T00:00:00"/>
    <n v="1024"/>
    <x v="30"/>
    <n v="46"/>
    <n v="4"/>
    <n v="312"/>
    <n v="14"/>
    <n v="47193"/>
    <x v="36"/>
  </r>
  <r>
    <d v="2016-10-25T00:00:00"/>
    <n v="1025"/>
    <x v="30"/>
    <n v="13"/>
    <n v="0"/>
    <n v="24"/>
    <n v="11"/>
    <n v="47217"/>
    <x v="37"/>
  </r>
  <r>
    <d v="2016-10-26T00:00:00"/>
    <n v="1026"/>
    <x v="30"/>
    <n v="4"/>
    <n v="0"/>
    <n v="7"/>
    <n v="3"/>
    <n v="47224"/>
    <x v="38"/>
  </r>
  <r>
    <d v="2016-10-27T00:00:00"/>
    <n v="1027"/>
    <x v="30"/>
    <n v="2"/>
    <n v="0"/>
    <n v="8"/>
    <n v="0"/>
    <n v="47232"/>
    <x v="39"/>
  </r>
  <r>
    <d v="2017-07-31T00:00:00"/>
    <n v="731"/>
    <x v="31"/>
    <n v="35"/>
    <n v="0"/>
    <n v="29"/>
    <n v="2"/>
    <n v="29"/>
    <x v="99"/>
  </r>
  <r>
    <d v="2017-08-01T00:00:00"/>
    <n v="801"/>
    <x v="31"/>
    <n v="2"/>
    <n v="0"/>
    <n v="6"/>
    <n v="0"/>
    <n v="35"/>
    <x v="100"/>
  </r>
  <r>
    <d v="2017-08-02T00:00:00"/>
    <n v="802"/>
    <x v="31"/>
    <n v="0"/>
    <n v="0"/>
    <n v="3"/>
    <n v="0"/>
    <n v="38"/>
    <x v="101"/>
  </r>
  <r>
    <d v="2017-08-03T00:00:00"/>
    <n v="803"/>
    <x v="31"/>
    <n v="1"/>
    <n v="0"/>
    <n v="1"/>
    <n v="0"/>
    <n v="39"/>
    <x v="102"/>
  </r>
  <r>
    <d v="2017-08-04T00:00:00"/>
    <n v="804"/>
    <x v="31"/>
    <n v="0"/>
    <n v="0"/>
    <n v="2"/>
    <n v="0"/>
    <n v="41"/>
    <x v="103"/>
  </r>
  <r>
    <d v="2017-08-05T00:00:00"/>
    <n v="805"/>
    <x v="31"/>
    <n v="0"/>
    <n v="0"/>
    <n v="0"/>
    <n v="0"/>
    <n v="41"/>
    <x v="104"/>
  </r>
  <r>
    <d v="2017-08-06T00:00:00"/>
    <n v="806"/>
    <x v="31"/>
    <n v="2"/>
    <n v="0"/>
    <n v="6"/>
    <n v="0"/>
    <n v="47"/>
    <x v="105"/>
  </r>
  <r>
    <d v="2017-08-07T00:00:00"/>
    <n v="807"/>
    <x v="31"/>
    <n v="3"/>
    <n v="0"/>
    <n v="7"/>
    <n v="1"/>
    <n v="54"/>
    <x v="106"/>
  </r>
  <r>
    <d v="2017-08-08T00:00:00"/>
    <n v="808"/>
    <x v="31"/>
    <n v="4"/>
    <n v="0"/>
    <n v="7"/>
    <n v="0"/>
    <n v="61"/>
    <x v="107"/>
  </r>
  <r>
    <d v="2017-08-09T00:00:00"/>
    <n v="809"/>
    <x v="31"/>
    <n v="4"/>
    <n v="0"/>
    <n v="3"/>
    <n v="0"/>
    <n v="64"/>
    <x v="108"/>
  </r>
  <r>
    <d v="2017-08-10T00:00:00"/>
    <n v="810"/>
    <x v="31"/>
    <n v="9"/>
    <n v="1"/>
    <n v="3"/>
    <n v="0"/>
    <n v="67"/>
    <x v="109"/>
  </r>
  <r>
    <d v="2017-08-11T00:00:00"/>
    <n v="811"/>
    <x v="31"/>
    <n v="24"/>
    <n v="0"/>
    <n v="2"/>
    <n v="0"/>
    <n v="69"/>
    <x v="110"/>
  </r>
  <r>
    <d v="2017-08-12T00:00:00"/>
    <n v="812"/>
    <x v="31"/>
    <n v="20"/>
    <n v="2"/>
    <n v="9"/>
    <n v="0"/>
    <n v="78"/>
    <x v="111"/>
  </r>
  <r>
    <d v="2017-08-13T00:00:00"/>
    <n v="813"/>
    <x v="31"/>
    <n v="23"/>
    <n v="2"/>
    <n v="29"/>
    <n v="0"/>
    <n v="107"/>
    <x v="112"/>
  </r>
  <r>
    <d v="2017-08-14T00:00:00"/>
    <n v="814"/>
    <x v="31"/>
    <n v="28"/>
    <n v="1"/>
    <n v="56"/>
    <n v="0"/>
    <n v="163"/>
    <x v="82"/>
  </r>
  <r>
    <d v="2017-08-15T00:00:00"/>
    <n v="815"/>
    <x v="31"/>
    <n v="14"/>
    <n v="7"/>
    <n v="23"/>
    <n v="6"/>
    <n v="186"/>
    <x v="83"/>
  </r>
  <r>
    <d v="2017-08-16T00:00:00"/>
    <n v="816"/>
    <x v="31"/>
    <n v="52"/>
    <n v="2"/>
    <n v="35"/>
    <n v="2"/>
    <n v="221"/>
    <x v="84"/>
  </r>
  <r>
    <d v="2017-08-17T00:00:00"/>
    <n v="817"/>
    <x v="31"/>
    <n v="25"/>
    <n v="6"/>
    <n v="106"/>
    <n v="4"/>
    <n v="327"/>
    <x v="85"/>
  </r>
  <r>
    <d v="2017-08-18T00:00:00"/>
    <n v="818"/>
    <x v="31"/>
    <n v="33"/>
    <n v="16"/>
    <n v="77"/>
    <n v="6"/>
    <n v="404"/>
    <x v="86"/>
  </r>
  <r>
    <d v="2017-08-19T00:00:00"/>
    <n v="819"/>
    <x v="31"/>
    <n v="26"/>
    <n v="18"/>
    <n v="51"/>
    <n v="9"/>
    <n v="455"/>
    <x v="87"/>
  </r>
  <r>
    <d v="2017-08-20T00:00:00"/>
    <n v="820"/>
    <x v="31"/>
    <n v="58"/>
    <n v="25"/>
    <n v="84"/>
    <n v="10"/>
    <n v="539"/>
    <x v="88"/>
  </r>
  <r>
    <d v="2017-08-21T00:00:00"/>
    <n v="821"/>
    <x v="31"/>
    <n v="42"/>
    <n v="23"/>
    <n v="75"/>
    <n v="7"/>
    <n v="614"/>
    <x v="89"/>
  </r>
  <r>
    <d v="2017-08-22T00:00:00"/>
    <n v="822"/>
    <x v="31"/>
    <n v="41"/>
    <n v="16"/>
    <n v="63"/>
    <n v="12"/>
    <n v="677"/>
    <x v="90"/>
  </r>
  <r>
    <d v="2017-08-23T00:00:00"/>
    <n v="823"/>
    <x v="31"/>
    <n v="33"/>
    <n v="24"/>
    <n v="71"/>
    <n v="20"/>
    <n v="748"/>
    <x v="91"/>
  </r>
  <r>
    <d v="2017-08-24T00:00:00"/>
    <n v="824"/>
    <x v="31"/>
    <n v="46"/>
    <n v="47"/>
    <n v="72"/>
    <n v="33"/>
    <n v="820"/>
    <x v="92"/>
  </r>
  <r>
    <d v="2017-08-25T00:00:00"/>
    <n v="825"/>
    <x v="31"/>
    <n v="50"/>
    <n v="40"/>
    <n v="46"/>
    <n v="24"/>
    <n v="866"/>
    <x v="93"/>
  </r>
  <r>
    <d v="2017-08-26T00:00:00"/>
    <n v="826"/>
    <x v="31"/>
    <n v="107"/>
    <n v="54"/>
    <n v="80"/>
    <n v="7"/>
    <n v="946"/>
    <x v="94"/>
  </r>
  <r>
    <d v="2017-08-27T00:00:00"/>
    <n v="827"/>
    <x v="31"/>
    <n v="137"/>
    <n v="70"/>
    <n v="205"/>
    <n v="55"/>
    <n v="1151"/>
    <x v="95"/>
  </r>
  <r>
    <d v="2017-08-28T00:00:00"/>
    <n v="828"/>
    <x v="31"/>
    <n v="89"/>
    <n v="47"/>
    <n v="174"/>
    <n v="67"/>
    <n v="1325"/>
    <x v="96"/>
  </r>
  <r>
    <d v="2017-08-29T00:00:00"/>
    <n v="829"/>
    <x v="31"/>
    <n v="61"/>
    <n v="62"/>
    <n v="103"/>
    <n v="56"/>
    <n v="1428"/>
    <x v="97"/>
  </r>
  <r>
    <d v="2017-08-30T00:00:00"/>
    <n v="830"/>
    <x v="31"/>
    <n v="66"/>
    <n v="72"/>
    <n v="113"/>
    <n v="90"/>
    <n v="1541"/>
    <x v="98"/>
  </r>
  <r>
    <d v="2017-08-31T00:00:00"/>
    <n v="831"/>
    <x v="31"/>
    <n v="259"/>
    <n v="144"/>
    <n v="196"/>
    <n v="82"/>
    <n v="1737"/>
    <x v="81"/>
  </r>
  <r>
    <d v="2017-09-01T00:00:00"/>
    <n v="901"/>
    <x v="31"/>
    <n v="349"/>
    <n v="76"/>
    <n v="398"/>
    <n v="115"/>
    <n v="2135"/>
    <x v="80"/>
  </r>
  <r>
    <d v="2017-09-02T00:00:00"/>
    <n v="902"/>
    <x v="31"/>
    <n v="185"/>
    <n v="59"/>
    <n v="299"/>
    <n v="72"/>
    <n v="2434"/>
    <x v="75"/>
  </r>
  <r>
    <d v="2017-09-03T00:00:00"/>
    <n v="903"/>
    <x v="31"/>
    <n v="173"/>
    <n v="51"/>
    <n v="379"/>
    <n v="132"/>
    <n v="2813"/>
    <x v="76"/>
  </r>
  <r>
    <d v="2017-09-04T00:00:00"/>
    <n v="904"/>
    <x v="31"/>
    <n v="46"/>
    <n v="32"/>
    <n v="285"/>
    <n v="92"/>
    <n v="3098"/>
    <x v="77"/>
  </r>
  <r>
    <d v="2017-09-05T00:00:00"/>
    <n v="905"/>
    <x v="31"/>
    <n v="59"/>
    <n v="21"/>
    <n v="302"/>
    <n v="167"/>
    <n v="3400"/>
    <x v="78"/>
  </r>
  <r>
    <d v="2017-09-06T00:00:00"/>
    <n v="906"/>
    <x v="31"/>
    <n v="15"/>
    <n v="24"/>
    <n v="137"/>
    <n v="77"/>
    <n v="3537"/>
    <x v="79"/>
  </r>
  <r>
    <d v="2017-09-07T00:00:00"/>
    <n v="907"/>
    <x v="31"/>
    <n v="56"/>
    <n v="47"/>
    <n v="114"/>
    <n v="125"/>
    <n v="3651"/>
    <x v="71"/>
  </r>
  <r>
    <d v="2017-09-08T00:00:00"/>
    <n v="908"/>
    <x v="31"/>
    <n v="109"/>
    <n v="223"/>
    <n v="102"/>
    <n v="106"/>
    <n v="3753"/>
    <x v="72"/>
  </r>
  <r>
    <d v="2017-09-09T00:00:00"/>
    <n v="909"/>
    <x v="31"/>
    <n v="237"/>
    <n v="204"/>
    <n v="299"/>
    <n v="169"/>
    <n v="4052"/>
    <x v="73"/>
  </r>
  <r>
    <d v="2017-09-10T00:00:00"/>
    <n v="910"/>
    <x v="31"/>
    <n v="295"/>
    <n v="137"/>
    <n v="821"/>
    <n v="135"/>
    <n v="4873"/>
    <x v="74"/>
  </r>
  <r>
    <d v="2017-09-11T00:00:00"/>
    <n v="911"/>
    <x v="31"/>
    <n v="455"/>
    <n v="224"/>
    <n v="954"/>
    <n v="285"/>
    <n v="5827"/>
    <x v="68"/>
  </r>
  <r>
    <d v="2017-09-12T00:00:00"/>
    <n v="912"/>
    <x v="31"/>
    <n v="603"/>
    <n v="281"/>
    <n v="803"/>
    <n v="260"/>
    <n v="6630"/>
    <x v="69"/>
  </r>
  <r>
    <d v="2017-09-13T00:00:00"/>
    <n v="913"/>
    <x v="31"/>
    <n v="837"/>
    <n v="444"/>
    <n v="447"/>
    <n v="162"/>
    <n v="7077"/>
    <x v="70"/>
  </r>
  <r>
    <d v="2017-09-14T00:00:00"/>
    <n v="914"/>
    <x v="31"/>
    <n v="892"/>
    <n v="272"/>
    <n v="714"/>
    <n v="250"/>
    <n v="7791"/>
    <x v="67"/>
  </r>
  <r>
    <d v="2017-09-15T00:00:00"/>
    <n v="915"/>
    <x v="31"/>
    <n v="872"/>
    <n v="357"/>
    <n v="691"/>
    <n v="205"/>
    <n v="8482"/>
    <x v="63"/>
  </r>
  <r>
    <d v="2017-09-16T00:00:00"/>
    <n v="916"/>
    <x v="31"/>
    <n v="810"/>
    <n v="286"/>
    <n v="497"/>
    <n v="207"/>
    <n v="8979"/>
    <x v="64"/>
  </r>
  <r>
    <d v="2017-09-17T00:00:00"/>
    <n v="917"/>
    <x v="31"/>
    <n v="641"/>
    <n v="208"/>
    <n v="563"/>
    <n v="251"/>
    <n v="9542"/>
    <x v="65"/>
  </r>
  <r>
    <d v="2017-09-18T00:00:00"/>
    <n v="918"/>
    <x v="31"/>
    <n v="931"/>
    <n v="267"/>
    <n v="620"/>
    <n v="192"/>
    <n v="10162"/>
    <x v="0"/>
  </r>
  <r>
    <d v="2017-09-19T00:00:00"/>
    <n v="919"/>
    <x v="31"/>
    <n v="832"/>
    <n v="241"/>
    <n v="708"/>
    <n v="235"/>
    <n v="10870"/>
    <x v="1"/>
  </r>
  <r>
    <d v="2017-09-20T00:00:00"/>
    <n v="920"/>
    <x v="31"/>
    <n v="906"/>
    <n v="219"/>
    <n v="743"/>
    <n v="344"/>
    <n v="11613"/>
    <x v="2"/>
  </r>
  <r>
    <d v="2017-09-21T00:00:00"/>
    <n v="921"/>
    <x v="31"/>
    <n v="919"/>
    <n v="200"/>
    <n v="776"/>
    <n v="338"/>
    <n v="12389"/>
    <x v="3"/>
  </r>
  <r>
    <d v="2017-09-22T00:00:00"/>
    <n v="922"/>
    <x v="31"/>
    <n v="875"/>
    <n v="160"/>
    <n v="473"/>
    <n v="212"/>
    <n v="12862"/>
    <x v="4"/>
  </r>
  <r>
    <d v="2017-09-23T00:00:00"/>
    <n v="923"/>
    <x v="31"/>
    <n v="889"/>
    <n v="182"/>
    <n v="574"/>
    <n v="211"/>
    <n v="13436"/>
    <x v="5"/>
  </r>
  <r>
    <d v="2017-09-24T00:00:00"/>
    <n v="924"/>
    <x v="31"/>
    <n v="784"/>
    <n v="174"/>
    <n v="574"/>
    <n v="239"/>
    <n v="14010"/>
    <x v="6"/>
  </r>
  <r>
    <d v="2017-09-25T00:00:00"/>
    <n v="925"/>
    <x v="31"/>
    <n v="696"/>
    <n v="129"/>
    <n v="543"/>
    <n v="199"/>
    <n v="14553"/>
    <x v="7"/>
  </r>
  <r>
    <d v="2017-09-26T00:00:00"/>
    <n v="926"/>
    <x v="31"/>
    <n v="565"/>
    <n v="93"/>
    <n v="521"/>
    <n v="208"/>
    <n v="15074"/>
    <x v="8"/>
  </r>
  <r>
    <d v="2017-09-27T00:00:00"/>
    <n v="927"/>
    <x v="31"/>
    <n v="499"/>
    <n v="73"/>
    <n v="634"/>
    <n v="197"/>
    <n v="15708"/>
    <x v="9"/>
  </r>
  <r>
    <d v="2017-09-28T00:00:00"/>
    <n v="928"/>
    <x v="31"/>
    <n v="295"/>
    <n v="65"/>
    <n v="428"/>
    <n v="179"/>
    <n v="16136"/>
    <x v="10"/>
  </r>
  <r>
    <d v="2017-09-29T00:00:00"/>
    <n v="929"/>
    <x v="31"/>
    <n v="293"/>
    <n v="62"/>
    <n v="462"/>
    <n v="135"/>
    <n v="16598"/>
    <x v="11"/>
  </r>
  <r>
    <d v="2017-09-30T00:00:00"/>
    <n v="930"/>
    <x v="31"/>
    <n v="404"/>
    <n v="36"/>
    <n v="597"/>
    <n v="89"/>
    <n v="17195"/>
    <x v="12"/>
  </r>
  <r>
    <d v="2017-10-01T00:00:00"/>
    <n v="1001"/>
    <x v="31"/>
    <n v="194"/>
    <n v="46"/>
    <n v="843"/>
    <n v="133"/>
    <n v="18038"/>
    <x v="13"/>
  </r>
  <r>
    <d v="2017-10-02T00:00:00"/>
    <n v="1002"/>
    <x v="31"/>
    <n v="195"/>
    <n v="30"/>
    <n v="831"/>
    <n v="147"/>
    <n v="18869"/>
    <x v="14"/>
  </r>
  <r>
    <d v="2017-10-03T00:00:00"/>
    <n v="1003"/>
    <x v="31"/>
    <n v="148"/>
    <n v="24"/>
    <n v="886"/>
    <n v="158"/>
    <n v="19755"/>
    <x v="15"/>
  </r>
  <r>
    <d v="2017-10-04T00:00:00"/>
    <n v="1004"/>
    <x v="31"/>
    <n v="149"/>
    <n v="31"/>
    <n v="678"/>
    <n v="131"/>
    <n v="20433"/>
    <x v="16"/>
  </r>
  <r>
    <d v="2017-10-05T00:00:00"/>
    <n v="1005"/>
    <x v="31"/>
    <n v="299"/>
    <n v="35"/>
    <n v="601"/>
    <n v="123"/>
    <n v="21034"/>
    <x v="17"/>
  </r>
  <r>
    <d v="2017-10-06T00:00:00"/>
    <n v="1006"/>
    <x v="31"/>
    <n v="181"/>
    <n v="26"/>
    <n v="745"/>
    <n v="141"/>
    <n v="21779"/>
    <x v="18"/>
  </r>
  <r>
    <d v="2017-10-07T00:00:00"/>
    <n v="1007"/>
    <x v="31"/>
    <n v="185"/>
    <n v="20"/>
    <n v="806"/>
    <n v="77"/>
    <n v="22585"/>
    <x v="19"/>
  </r>
  <r>
    <d v="2017-10-08T00:00:00"/>
    <n v="1008"/>
    <x v="31"/>
    <n v="130"/>
    <n v="5"/>
    <n v="761"/>
    <n v="47"/>
    <n v="23346"/>
    <x v="20"/>
  </r>
  <r>
    <d v="2017-10-09T00:00:00"/>
    <n v="1009"/>
    <x v="31"/>
    <n v="196"/>
    <n v="38"/>
    <n v="868"/>
    <n v="121"/>
    <n v="24214"/>
    <x v="21"/>
  </r>
  <r>
    <d v="2017-10-10T00:00:00"/>
    <n v="1010"/>
    <x v="31"/>
    <n v="68"/>
    <n v="22"/>
    <n v="941"/>
    <n v="162"/>
    <n v="25155"/>
    <x v="22"/>
  </r>
  <r>
    <d v="2017-10-11T00:00:00"/>
    <n v="1011"/>
    <x v="31"/>
    <n v="157"/>
    <n v="41"/>
    <n v="947"/>
    <n v="136"/>
    <n v="26102"/>
    <x v="23"/>
  </r>
  <r>
    <d v="2017-10-12T00:00:00"/>
    <n v="1012"/>
    <x v="31"/>
    <n v="119"/>
    <n v="22"/>
    <n v="1071"/>
    <n v="151"/>
    <n v="27173"/>
    <x v="24"/>
  </r>
  <r>
    <d v="2017-10-13T00:00:00"/>
    <n v="1013"/>
    <x v="31"/>
    <n v="113"/>
    <n v="22"/>
    <n v="1040"/>
    <n v="150"/>
    <n v="28213"/>
    <x v="25"/>
  </r>
  <r>
    <d v="2017-10-14T00:00:00"/>
    <n v="1014"/>
    <x v="31"/>
    <n v="107"/>
    <n v="22"/>
    <n v="1010"/>
    <n v="150"/>
    <n v="29223"/>
    <x v="26"/>
  </r>
  <r>
    <d v="2017-10-15T00:00:00"/>
    <n v="1015"/>
    <x v="31"/>
    <n v="100"/>
    <n v="22"/>
    <n v="979"/>
    <n v="149"/>
    <n v="30202"/>
    <x v="27"/>
  </r>
  <r>
    <d v="2017-10-16T00:00:00"/>
    <n v="1016"/>
    <x v="31"/>
    <n v="36"/>
    <n v="6"/>
    <n v="1088"/>
    <n v="136"/>
    <n v="31290"/>
    <x v="28"/>
  </r>
  <r>
    <d v="2017-10-17T00:00:00"/>
    <n v="1017"/>
    <x v="31"/>
    <n v="383"/>
    <n v="48"/>
    <n v="1473"/>
    <n v="306"/>
    <n v="32763"/>
    <x v="29"/>
  </r>
  <r>
    <d v="2017-10-18T00:00:00"/>
    <n v="1018"/>
    <x v="31"/>
    <n v="304"/>
    <n v="27"/>
    <n v="765"/>
    <n v="109"/>
    <n v="33528"/>
    <x v="30"/>
  </r>
  <r>
    <d v="2017-10-19T00:00:00"/>
    <n v="1019"/>
    <x v="31"/>
    <n v="184"/>
    <n v="12"/>
    <n v="813"/>
    <n v="44"/>
    <n v="34341"/>
    <x v="31"/>
  </r>
  <r>
    <d v="2017-10-20T00:00:00"/>
    <n v="1020"/>
    <x v="31"/>
    <n v="195"/>
    <n v="17"/>
    <n v="725"/>
    <n v="70"/>
    <n v="35066"/>
    <x v="32"/>
  </r>
  <r>
    <d v="2017-10-21T00:00:00"/>
    <n v="1021"/>
    <x v="31"/>
    <n v="99"/>
    <n v="3"/>
    <n v="1677"/>
    <n v="161"/>
    <n v="36743"/>
    <x v="33"/>
  </r>
  <r>
    <d v="2017-10-22T00:00:00"/>
    <n v="1022"/>
    <x v="31"/>
    <n v="113"/>
    <n v="9"/>
    <n v="857"/>
    <n v="82"/>
    <n v="37600"/>
    <x v="34"/>
  </r>
  <r>
    <d v="2017-10-23T00:00:00"/>
    <n v="1023"/>
    <x v="31"/>
    <n v="84"/>
    <n v="6"/>
    <n v="468"/>
    <n v="26"/>
    <n v="38068"/>
    <x v="35"/>
  </r>
  <r>
    <d v="2017-10-24T00:00:00"/>
    <n v="1024"/>
    <x v="31"/>
    <n v="103"/>
    <n v="11"/>
    <n v="629"/>
    <n v="57"/>
    <n v="38697"/>
    <x v="36"/>
  </r>
  <r>
    <d v="2017-10-25T00:00:00"/>
    <n v="1025"/>
    <x v="31"/>
    <n v="34"/>
    <n v="2"/>
    <n v="369"/>
    <n v="48"/>
    <n v="39066"/>
    <x v="37"/>
  </r>
  <r>
    <d v="2017-10-26T00:00:00"/>
    <n v="1026"/>
    <x v="31"/>
    <n v="41"/>
    <n v="10"/>
    <n v="339"/>
    <n v="31"/>
    <n v="39405"/>
    <x v="38"/>
  </r>
  <r>
    <d v="2017-10-27T00:00:00"/>
    <n v="1027"/>
    <x v="31"/>
    <n v="31"/>
    <n v="4"/>
    <n v="286"/>
    <n v="27"/>
    <n v="39691"/>
    <x v="39"/>
  </r>
  <r>
    <d v="2017-10-28T00:00:00"/>
    <n v="1028"/>
    <x v="31"/>
    <n v="23"/>
    <n v="6"/>
    <n v="282"/>
    <n v="38"/>
    <n v="39973"/>
    <x v="40"/>
  </r>
  <r>
    <d v="2017-10-29T00:00:00"/>
    <n v="1029"/>
    <x v="31"/>
    <n v="30"/>
    <n v="1"/>
    <n v="268"/>
    <n v="34"/>
    <n v="40241"/>
    <x v="41"/>
  </r>
  <r>
    <d v="2017-10-30T00:00:00"/>
    <n v="1030"/>
    <x v="31"/>
    <n v="14"/>
    <n v="0"/>
    <n v="95"/>
    <n v="27"/>
    <n v="40336"/>
    <x v="42"/>
  </r>
  <r>
    <d v="2017-10-31T00:00:00"/>
    <n v="1031"/>
    <x v="31"/>
    <n v="8"/>
    <n v="0"/>
    <n v="35"/>
    <n v="10"/>
    <n v="40371"/>
    <x v="43"/>
  </r>
  <r>
    <d v="2017-11-01T00:00:00"/>
    <n v="1101"/>
    <x v="31"/>
    <n v="125"/>
    <n v="4"/>
    <n v="575"/>
    <n v="98"/>
    <n v="40946"/>
    <x v="44"/>
  </r>
  <r>
    <d v="2017-11-02T00:00:00"/>
    <n v="1102"/>
    <x v="31"/>
    <n v="5"/>
    <n v="0"/>
    <n v="35"/>
    <n v="13"/>
    <n v="40981"/>
    <x v="45"/>
  </r>
  <r>
    <d v="2017-11-03T00:00:00"/>
    <n v="1103"/>
    <x v="31"/>
    <n v="9"/>
    <n v="0"/>
    <n v="8"/>
    <n v="0"/>
    <n v="40989"/>
    <x v="46"/>
  </r>
  <r>
    <d v="2017-11-04T00:00:00"/>
    <n v="1104"/>
    <x v="31"/>
    <n v="10"/>
    <n v="2"/>
    <n v="39"/>
    <n v="7"/>
    <n v="41028"/>
    <x v="47"/>
  </r>
  <r>
    <d v="2017-11-05T00:00:00"/>
    <n v="1105"/>
    <x v="31"/>
    <n v="10"/>
    <n v="3"/>
    <n v="69"/>
    <n v="13"/>
    <n v="41097"/>
    <x v="48"/>
  </r>
  <r>
    <d v="2017-11-06T00:00:00"/>
    <n v="1106"/>
    <x v="31"/>
    <n v="11"/>
    <n v="5"/>
    <n v="100"/>
    <n v="20"/>
    <n v="41197"/>
    <x v="49"/>
  </r>
  <r>
    <d v="2017-11-07T00:00:00"/>
    <n v="1107"/>
    <x v="31"/>
    <n v="12"/>
    <n v="8"/>
    <n v="84"/>
    <n v="16"/>
    <n v="41281"/>
    <x v="50"/>
  </r>
  <r>
    <d v="2017-11-08T00:00:00"/>
    <n v="1108"/>
    <x v="31"/>
    <n v="14"/>
    <n v="11"/>
    <n v="69"/>
    <n v="12"/>
    <n v="41350"/>
    <x v="51"/>
  </r>
  <r>
    <d v="2017-11-09T00:00:00"/>
    <n v="1109"/>
    <x v="31"/>
    <n v="16"/>
    <n v="15"/>
    <n v="53"/>
    <n v="8"/>
    <n v="41403"/>
    <x v="52"/>
  </r>
  <r>
    <d v="2017-11-10T00:00:00"/>
    <n v="1110"/>
    <x v="31"/>
    <n v="18"/>
    <n v="18"/>
    <n v="37"/>
    <n v="4"/>
    <n v="41440"/>
    <x v="53"/>
  </r>
  <r>
    <d v="2017-11-11T00:00:00"/>
    <n v="1111"/>
    <x v="31"/>
    <n v="16"/>
    <n v="10"/>
    <n v="20"/>
    <n v="0"/>
    <n v="41460"/>
    <x v="54"/>
  </r>
  <r>
    <d v="2017-11-12T00:00:00"/>
    <n v="1112"/>
    <x v="31"/>
    <n v="86"/>
    <n v="5"/>
    <n v="11"/>
    <n v="6"/>
    <n v="41471"/>
    <x v="55"/>
  </r>
  <r>
    <d v="2017-11-13T00:00:00"/>
    <n v="1113"/>
    <x v="31"/>
    <n v="4"/>
    <n v="0"/>
    <n v="1"/>
    <n v="0"/>
    <n v="41472"/>
    <x v="56"/>
  </r>
  <r>
    <d v="2018-07-31T00:00:00"/>
    <n v="731"/>
    <x v="32"/>
    <n v="22"/>
    <n v="2"/>
    <n v="12"/>
    <n v="0"/>
    <n v="12"/>
    <x v="99"/>
  </r>
  <r>
    <d v="2018-08-01T00:00:00"/>
    <n v="801"/>
    <x v="32"/>
    <n v="1"/>
    <n v="0"/>
    <n v="0"/>
    <n v="0"/>
    <n v="12"/>
    <x v="100"/>
  </r>
  <r>
    <d v="2018-08-02T00:00:00"/>
    <n v="802"/>
    <x v="32"/>
    <n v="9"/>
    <n v="4"/>
    <n v="2"/>
    <n v="0"/>
    <n v="14"/>
    <x v="101"/>
  </r>
  <r>
    <d v="2018-08-03T00:00:00"/>
    <n v="803"/>
    <x v="32"/>
    <n v="3"/>
    <n v="1"/>
    <n v="3"/>
    <n v="0"/>
    <n v="17"/>
    <x v="102"/>
  </r>
  <r>
    <d v="2018-08-04T00:00:00"/>
    <n v="804"/>
    <x v="32"/>
    <n v="4"/>
    <n v="1"/>
    <n v="8"/>
    <n v="0"/>
    <n v="25"/>
    <x v="103"/>
  </r>
  <r>
    <d v="2018-08-05T00:00:00"/>
    <n v="805"/>
    <x v="32"/>
    <n v="15"/>
    <n v="0"/>
    <n v="10"/>
    <n v="0"/>
    <n v="35"/>
    <x v="104"/>
  </r>
  <r>
    <d v="2018-08-06T00:00:00"/>
    <n v="806"/>
    <x v="32"/>
    <n v="11"/>
    <n v="0"/>
    <n v="1"/>
    <n v="0"/>
    <n v="36"/>
    <x v="105"/>
  </r>
  <r>
    <d v="2018-08-07T00:00:00"/>
    <n v="807"/>
    <x v="32"/>
    <n v="5"/>
    <n v="0"/>
    <n v="1"/>
    <n v="0"/>
    <n v="37"/>
    <x v="106"/>
  </r>
  <r>
    <d v="2018-08-08T00:00:00"/>
    <n v="808"/>
    <x v="32"/>
    <n v="1"/>
    <n v="0"/>
    <n v="0"/>
    <n v="0"/>
    <n v="37"/>
    <x v="107"/>
  </r>
  <r>
    <d v="2018-08-09T00:00:00"/>
    <n v="809"/>
    <x v="32"/>
    <n v="4"/>
    <n v="0"/>
    <n v="0"/>
    <n v="0"/>
    <n v="37"/>
    <x v="108"/>
  </r>
  <r>
    <d v="2018-08-10T00:00:00"/>
    <n v="810"/>
    <x v="32"/>
    <n v="1"/>
    <n v="0"/>
    <n v="2"/>
    <n v="0"/>
    <n v="39"/>
    <x v="109"/>
  </r>
  <r>
    <d v="2018-08-11T00:00:00"/>
    <n v="811"/>
    <x v="32"/>
    <n v="1"/>
    <n v="0"/>
    <n v="0"/>
    <n v="0"/>
    <n v="39"/>
    <x v="110"/>
  </r>
  <r>
    <d v="2018-08-12T00:00:00"/>
    <n v="812"/>
    <x v="32"/>
    <n v="13"/>
    <n v="1"/>
    <n v="5"/>
    <n v="0"/>
    <n v="44"/>
    <x v="111"/>
  </r>
  <r>
    <d v="2018-08-13T00:00:00"/>
    <n v="813"/>
    <x v="32"/>
    <n v="18"/>
    <n v="1"/>
    <n v="8"/>
    <n v="0"/>
    <n v="52"/>
    <x v="112"/>
  </r>
  <r>
    <d v="2018-08-14T00:00:00"/>
    <n v="814"/>
    <x v="32"/>
    <n v="13"/>
    <n v="1"/>
    <n v="20"/>
    <n v="0"/>
    <n v="72"/>
    <x v="82"/>
  </r>
  <r>
    <d v="2018-08-15T00:00:00"/>
    <n v="815"/>
    <x v="32"/>
    <n v="27"/>
    <n v="0"/>
    <n v="16"/>
    <n v="0"/>
    <n v="88"/>
    <x v="83"/>
  </r>
  <r>
    <d v="2018-08-16T00:00:00"/>
    <n v="816"/>
    <x v="32"/>
    <n v="18"/>
    <n v="5"/>
    <n v="14"/>
    <n v="1"/>
    <n v="102"/>
    <x v="84"/>
  </r>
  <r>
    <d v="2018-08-17T00:00:00"/>
    <n v="817"/>
    <x v="32"/>
    <n v="47"/>
    <n v="17"/>
    <n v="29"/>
    <n v="3"/>
    <n v="131"/>
    <x v="85"/>
  </r>
  <r>
    <d v="2018-08-18T00:00:00"/>
    <n v="818"/>
    <x v="32"/>
    <n v="57"/>
    <n v="5"/>
    <n v="33"/>
    <n v="2"/>
    <n v="164"/>
    <x v="86"/>
  </r>
  <r>
    <d v="2018-08-19T00:00:00"/>
    <n v="819"/>
    <x v="32"/>
    <n v="51"/>
    <n v="10"/>
    <n v="19"/>
    <n v="0"/>
    <n v="183"/>
    <x v="87"/>
  </r>
  <r>
    <d v="2018-08-20T00:00:00"/>
    <n v="820"/>
    <x v="32"/>
    <n v="24"/>
    <n v="4"/>
    <n v="6"/>
    <n v="0"/>
    <n v="189"/>
    <x v="88"/>
  </r>
  <r>
    <d v="2018-08-21T00:00:00"/>
    <n v="821"/>
    <x v="32"/>
    <n v="38"/>
    <n v="24"/>
    <n v="10"/>
    <n v="2"/>
    <n v="199"/>
    <x v="89"/>
  </r>
  <r>
    <d v="2018-08-22T00:00:00"/>
    <n v="822"/>
    <x v="32"/>
    <n v="144"/>
    <n v="8"/>
    <n v="74"/>
    <n v="5"/>
    <n v="273"/>
    <x v="90"/>
  </r>
  <r>
    <d v="2018-08-23T00:00:00"/>
    <n v="823"/>
    <x v="32"/>
    <n v="89"/>
    <n v="27"/>
    <n v="119"/>
    <n v="12"/>
    <n v="392"/>
    <x v="91"/>
  </r>
  <r>
    <d v="2018-08-24T00:00:00"/>
    <n v="824"/>
    <x v="32"/>
    <n v="189"/>
    <n v="28"/>
    <n v="64"/>
    <n v="2"/>
    <n v="456"/>
    <x v="92"/>
  </r>
  <r>
    <d v="2018-08-25T00:00:00"/>
    <n v="825"/>
    <x v="32"/>
    <n v="198"/>
    <n v="32"/>
    <n v="64"/>
    <n v="3"/>
    <n v="520"/>
    <x v="93"/>
  </r>
  <r>
    <d v="2018-08-26T00:00:00"/>
    <n v="826"/>
    <x v="32"/>
    <n v="457"/>
    <n v="40"/>
    <n v="73"/>
    <n v="9"/>
    <n v="593"/>
    <x v="94"/>
  </r>
  <r>
    <d v="2018-08-27T00:00:00"/>
    <n v="827"/>
    <x v="32"/>
    <n v="215"/>
    <n v="43"/>
    <n v="52"/>
    <n v="3"/>
    <n v="645"/>
    <x v="95"/>
  </r>
  <r>
    <d v="2018-08-28T00:00:00"/>
    <n v="828"/>
    <x v="32"/>
    <n v="360"/>
    <n v="51"/>
    <n v="170"/>
    <n v="12"/>
    <n v="815"/>
    <x v="96"/>
  </r>
  <r>
    <d v="2018-08-29T00:00:00"/>
    <n v="829"/>
    <x v="32"/>
    <n v="373"/>
    <n v="80"/>
    <n v="257"/>
    <n v="11"/>
    <n v="1072"/>
    <x v="97"/>
  </r>
  <r>
    <d v="2018-08-30T00:00:00"/>
    <n v="830"/>
    <x v="32"/>
    <n v="603"/>
    <n v="96"/>
    <n v="362"/>
    <n v="23"/>
    <n v="1434"/>
    <x v="98"/>
  </r>
  <r>
    <d v="2018-08-31T00:00:00"/>
    <n v="831"/>
    <x v="32"/>
    <n v="259"/>
    <n v="48"/>
    <n v="455"/>
    <n v="5"/>
    <n v="1889"/>
    <x v="81"/>
  </r>
  <r>
    <d v="2018-09-01T00:00:00"/>
    <n v="901"/>
    <x v="32"/>
    <n v="260"/>
    <n v="67"/>
    <n v="326"/>
    <n v="6"/>
    <n v="2215"/>
    <x v="80"/>
  </r>
  <r>
    <d v="2018-09-02T00:00:00"/>
    <n v="902"/>
    <x v="32"/>
    <n v="385"/>
    <n v="70"/>
    <n v="488"/>
    <n v="15"/>
    <n v="2703"/>
    <x v="75"/>
  </r>
  <r>
    <d v="2018-09-03T00:00:00"/>
    <n v="903"/>
    <x v="32"/>
    <n v="435"/>
    <n v="82"/>
    <n v="496"/>
    <n v="8"/>
    <n v="3199"/>
    <x v="76"/>
  </r>
  <r>
    <d v="2018-09-04T00:00:00"/>
    <n v="904"/>
    <x v="32"/>
    <n v="453"/>
    <n v="74"/>
    <n v="523"/>
    <n v="16"/>
    <n v="3722"/>
    <x v="77"/>
  </r>
  <r>
    <d v="2018-09-05T00:00:00"/>
    <n v="905"/>
    <x v="32"/>
    <n v="329"/>
    <n v="54"/>
    <n v="464"/>
    <n v="9"/>
    <n v="4186"/>
    <x v="78"/>
  </r>
  <r>
    <d v="2018-09-06T00:00:00"/>
    <n v="906"/>
    <x v="32"/>
    <n v="389"/>
    <n v="78"/>
    <n v="499"/>
    <n v="19"/>
    <n v="4685"/>
    <x v="79"/>
  </r>
  <r>
    <d v="2018-09-07T00:00:00"/>
    <n v="907"/>
    <x v="32"/>
    <n v="437"/>
    <n v="88"/>
    <n v="412"/>
    <n v="13"/>
    <n v="5097"/>
    <x v="71"/>
  </r>
  <r>
    <d v="2018-09-08T00:00:00"/>
    <n v="908"/>
    <x v="32"/>
    <n v="765"/>
    <n v="92"/>
    <n v="538"/>
    <n v="11"/>
    <n v="5635"/>
    <x v="72"/>
  </r>
  <r>
    <d v="2018-09-09T00:00:00"/>
    <n v="909"/>
    <x v="32"/>
    <n v="455"/>
    <n v="75"/>
    <n v="471"/>
    <n v="22"/>
    <n v="6106"/>
    <x v="73"/>
  </r>
  <r>
    <d v="2018-09-10T00:00:00"/>
    <n v="910"/>
    <x v="32"/>
    <n v="547"/>
    <n v="75"/>
    <n v="669"/>
    <n v="31"/>
    <n v="6775"/>
    <x v="74"/>
  </r>
  <r>
    <d v="2018-09-11T00:00:00"/>
    <n v="911"/>
    <x v="32"/>
    <n v="546"/>
    <n v="104"/>
    <n v="651"/>
    <n v="10"/>
    <n v="7426"/>
    <x v="68"/>
  </r>
  <r>
    <d v="2018-09-12T00:00:00"/>
    <n v="912"/>
    <x v="32"/>
    <n v="818"/>
    <n v="109"/>
    <n v="708"/>
    <n v="32"/>
    <n v="8134"/>
    <x v="69"/>
  </r>
  <r>
    <d v="2018-09-13T00:00:00"/>
    <n v="913"/>
    <x v="32"/>
    <n v="535"/>
    <n v="82"/>
    <n v="844"/>
    <n v="36"/>
    <n v="8978"/>
    <x v="70"/>
  </r>
  <r>
    <d v="2018-09-14T00:00:00"/>
    <n v="914"/>
    <x v="32"/>
    <n v="222"/>
    <n v="26"/>
    <n v="633"/>
    <n v="12"/>
    <n v="9611"/>
    <x v="67"/>
  </r>
  <r>
    <d v="2018-09-15T00:00:00"/>
    <n v="915"/>
    <x v="32"/>
    <n v="353"/>
    <n v="47"/>
    <n v="870"/>
    <n v="19"/>
    <n v="10481"/>
    <x v="63"/>
  </r>
  <r>
    <d v="2018-09-16T00:00:00"/>
    <n v="916"/>
    <x v="32"/>
    <n v="341"/>
    <n v="70"/>
    <n v="869"/>
    <n v="35"/>
    <n v="11350"/>
    <x v="64"/>
  </r>
  <r>
    <d v="2018-09-17T00:00:00"/>
    <n v="917"/>
    <x v="32"/>
    <n v="668"/>
    <n v="92"/>
    <n v="1206"/>
    <n v="26"/>
    <n v="12556"/>
    <x v="65"/>
  </r>
  <r>
    <d v="2018-09-18T00:00:00"/>
    <n v="918"/>
    <x v="32"/>
    <n v="426"/>
    <n v="60"/>
    <n v="2522"/>
    <n v="56"/>
    <n v="15078"/>
    <x v="0"/>
  </r>
  <r>
    <d v="2018-09-19T00:00:00"/>
    <n v="919"/>
    <x v="32"/>
    <n v="306"/>
    <n v="63"/>
    <n v="1230"/>
    <n v="57"/>
    <n v="16308"/>
    <x v="1"/>
  </r>
  <r>
    <d v="2018-09-20T00:00:00"/>
    <n v="920"/>
    <x v="32"/>
    <n v="327"/>
    <n v="81"/>
    <n v="738"/>
    <n v="24"/>
    <n v="17046"/>
    <x v="2"/>
  </r>
  <r>
    <d v="2018-09-21T00:00:00"/>
    <n v="921"/>
    <x v="32"/>
    <n v="294"/>
    <n v="27"/>
    <n v="342"/>
    <n v="24"/>
    <n v="17388"/>
    <x v="3"/>
  </r>
  <r>
    <d v="2018-09-22T00:00:00"/>
    <n v="922"/>
    <x v="32"/>
    <n v="423"/>
    <n v="63"/>
    <n v="966"/>
    <n v="13"/>
    <n v="18354"/>
    <x v="4"/>
  </r>
  <r>
    <d v="2018-09-23T00:00:00"/>
    <n v="923"/>
    <x v="32"/>
    <n v="154"/>
    <n v="39"/>
    <n v="1094"/>
    <n v="51"/>
    <n v="19448"/>
    <x v="5"/>
  </r>
  <r>
    <d v="2018-09-24T00:00:00"/>
    <n v="924"/>
    <x v="32"/>
    <n v="210"/>
    <n v="87"/>
    <n v="495"/>
    <n v="24"/>
    <n v="19943"/>
    <x v="6"/>
  </r>
  <r>
    <d v="2018-09-25T00:00:00"/>
    <n v="925"/>
    <x v="32"/>
    <n v="297"/>
    <n v="63"/>
    <n v="630"/>
    <n v="27"/>
    <n v="20573"/>
    <x v="7"/>
  </r>
  <r>
    <d v="2018-09-26T00:00:00"/>
    <n v="926"/>
    <x v="32"/>
    <n v="156"/>
    <n v="30"/>
    <n v="720"/>
    <n v="39"/>
    <n v="21293"/>
    <x v="8"/>
  </r>
  <r>
    <d v="2018-09-27T00:00:00"/>
    <n v="927"/>
    <x v="32"/>
    <n v="94"/>
    <n v="28"/>
    <n v="632"/>
    <n v="38"/>
    <n v="21925"/>
    <x v="9"/>
  </r>
  <r>
    <d v="2018-09-28T00:00:00"/>
    <n v="928"/>
    <x v="32"/>
    <n v="102"/>
    <n v="27"/>
    <n v="768"/>
    <n v="30"/>
    <n v="22693"/>
    <x v="10"/>
  </r>
  <r>
    <d v="2018-09-29T00:00:00"/>
    <n v="929"/>
    <x v="32"/>
    <n v="159"/>
    <n v="46"/>
    <n v="760"/>
    <n v="53"/>
    <n v="23453"/>
    <x v="11"/>
  </r>
  <r>
    <d v="2018-09-30T00:00:00"/>
    <n v="930"/>
    <x v="32"/>
    <n v="177"/>
    <n v="50"/>
    <n v="834"/>
    <n v="42"/>
    <n v="24287"/>
    <x v="12"/>
  </r>
  <r>
    <d v="2018-10-01T00:00:00"/>
    <n v="1001"/>
    <x v="32"/>
    <n v="302"/>
    <n v="45"/>
    <n v="1021"/>
    <n v="51"/>
    <n v="25308"/>
    <x v="13"/>
  </r>
  <r>
    <d v="2018-10-02T00:00:00"/>
    <n v="1002"/>
    <x v="32"/>
    <n v="207"/>
    <n v="28"/>
    <n v="1356"/>
    <n v="62"/>
    <n v="26664"/>
    <x v="14"/>
  </r>
  <r>
    <d v="2018-10-03T00:00:00"/>
    <n v="1003"/>
    <x v="32"/>
    <n v="194"/>
    <n v="21"/>
    <n v="1604"/>
    <n v="38"/>
    <n v="28268"/>
    <x v="15"/>
  </r>
  <r>
    <d v="2018-10-04T00:00:00"/>
    <n v="1004"/>
    <x v="32"/>
    <n v="130"/>
    <n v="31"/>
    <n v="1128"/>
    <n v="58"/>
    <n v="29396"/>
    <x v="16"/>
  </r>
  <r>
    <d v="2018-10-05T00:00:00"/>
    <n v="1005"/>
    <x v="32"/>
    <n v="121"/>
    <n v="24"/>
    <n v="1322"/>
    <n v="44"/>
    <n v="30718"/>
    <x v="17"/>
  </r>
  <r>
    <d v="2018-10-06T00:00:00"/>
    <n v="1006"/>
    <x v="32"/>
    <n v="194"/>
    <n v="38"/>
    <n v="1309"/>
    <n v="49"/>
    <n v="32027"/>
    <x v="18"/>
  </r>
  <r>
    <d v="2018-10-07T00:00:00"/>
    <n v="1007"/>
    <x v="32"/>
    <n v="137"/>
    <n v="20"/>
    <n v="1438"/>
    <n v="44"/>
    <n v="33465"/>
    <x v="19"/>
  </r>
  <r>
    <d v="2018-10-08T00:00:00"/>
    <n v="1008"/>
    <x v="32"/>
    <n v="130"/>
    <n v="14"/>
    <n v="955"/>
    <n v="41"/>
    <n v="34420"/>
    <x v="20"/>
  </r>
  <r>
    <d v="2018-10-09T00:00:00"/>
    <n v="1009"/>
    <x v="32"/>
    <n v="89"/>
    <n v="21"/>
    <n v="846"/>
    <n v="31"/>
    <n v="35266"/>
    <x v="21"/>
  </r>
  <r>
    <d v="2018-10-10T00:00:00"/>
    <n v="1010"/>
    <x v="32"/>
    <n v="115"/>
    <n v="18"/>
    <n v="868"/>
    <n v="29"/>
    <n v="36134"/>
    <x v="22"/>
  </r>
  <r>
    <d v="2018-10-11T00:00:00"/>
    <n v="1011"/>
    <x v="32"/>
    <n v="95"/>
    <n v="13"/>
    <n v="860"/>
    <n v="16"/>
    <n v="36994"/>
    <x v="23"/>
  </r>
  <r>
    <d v="2018-10-12T00:00:00"/>
    <n v="1012"/>
    <x v="32"/>
    <n v="51"/>
    <n v="12"/>
    <n v="740"/>
    <n v="22"/>
    <n v="37734"/>
    <x v="24"/>
  </r>
  <r>
    <d v="2018-10-13T00:00:00"/>
    <n v="1013"/>
    <x v="32"/>
    <n v="37"/>
    <n v="4"/>
    <n v="837"/>
    <n v="17"/>
    <n v="38571"/>
    <x v="25"/>
  </r>
  <r>
    <d v="2018-10-14T00:00:00"/>
    <n v="1014"/>
    <x v="32"/>
    <n v="26"/>
    <n v="4"/>
    <n v="665"/>
    <n v="14"/>
    <n v="39236"/>
    <x v="26"/>
  </r>
  <r>
    <d v="2018-10-15T00:00:00"/>
    <n v="1015"/>
    <x v="32"/>
    <n v="29"/>
    <n v="3"/>
    <n v="666"/>
    <n v="17"/>
    <n v="39902"/>
    <x v="27"/>
  </r>
  <r>
    <d v="2018-10-16T00:00:00"/>
    <n v="1016"/>
    <x v="32"/>
    <n v="20"/>
    <n v="0"/>
    <n v="637"/>
    <n v="13"/>
    <n v="40539"/>
    <x v="28"/>
  </r>
  <r>
    <d v="2018-10-17T00:00:00"/>
    <n v="1017"/>
    <x v="32"/>
    <n v="29"/>
    <n v="3"/>
    <n v="644"/>
    <n v="21"/>
    <n v="41183"/>
    <x v="29"/>
  </r>
  <r>
    <d v="2018-10-18T00:00:00"/>
    <n v="1018"/>
    <x v="32"/>
    <n v="36"/>
    <n v="5"/>
    <n v="679"/>
    <n v="19"/>
    <n v="41862"/>
    <x v="30"/>
  </r>
  <r>
    <d v="2018-10-19T00:00:00"/>
    <n v="1019"/>
    <x v="32"/>
    <n v="42"/>
    <n v="2"/>
    <n v="410"/>
    <n v="11"/>
    <n v="42272"/>
    <x v="31"/>
  </r>
  <r>
    <d v="2018-10-20T00:00:00"/>
    <n v="1020"/>
    <x v="32"/>
    <n v="28"/>
    <n v="2"/>
    <n v="583"/>
    <n v="9"/>
    <n v="42855"/>
    <x v="32"/>
  </r>
  <r>
    <d v="2018-10-21T00:00:00"/>
    <n v="1021"/>
    <x v="32"/>
    <n v="30"/>
    <n v="0"/>
    <n v="348"/>
    <n v="10"/>
    <n v="43203"/>
    <x v="33"/>
  </r>
  <r>
    <d v="2018-10-22T00:00:00"/>
    <n v="1022"/>
    <x v="32"/>
    <n v="28"/>
    <n v="1"/>
    <n v="178"/>
    <n v="7"/>
    <n v="43381"/>
    <x v="34"/>
  </r>
  <r>
    <d v="2018-10-23T00:00:00"/>
    <n v="1023"/>
    <x v="32"/>
    <n v="17"/>
    <n v="1"/>
    <n v="196"/>
    <n v="5"/>
    <n v="43577"/>
    <x v="35"/>
  </r>
  <r>
    <d v="2018-10-24T00:00:00"/>
    <n v="1024"/>
    <x v="32"/>
    <n v="42"/>
    <n v="1"/>
    <n v="208"/>
    <n v="7"/>
    <n v="43785"/>
    <x v="36"/>
  </r>
  <r>
    <d v="2018-10-25T00:00:00"/>
    <n v="1025"/>
    <x v="32"/>
    <n v="73"/>
    <n v="2"/>
    <n v="218"/>
    <n v="8"/>
    <n v="44003"/>
    <x v="37"/>
  </r>
  <r>
    <d v="2018-10-26T00:00:00"/>
    <n v="1026"/>
    <x v="32"/>
    <n v="215"/>
    <n v="8"/>
    <n v="153"/>
    <n v="11"/>
    <n v="44156"/>
    <x v="38"/>
  </r>
  <r>
    <d v="2018-10-27T00:00:00"/>
    <n v="1027"/>
    <x v="32"/>
    <n v="103"/>
    <n v="4"/>
    <n v="49"/>
    <n v="6"/>
    <n v="44205"/>
    <x v="39"/>
  </r>
  <r>
    <d v="2018-10-28T00:00:00"/>
    <n v="1028"/>
    <x v="32"/>
    <n v="84"/>
    <n v="0"/>
    <n v="89"/>
    <n v="1"/>
    <n v="44294"/>
    <x v="40"/>
  </r>
  <r>
    <d v="2018-10-29T00:00:00"/>
    <n v="1029"/>
    <x v="32"/>
    <n v="136"/>
    <n v="5"/>
    <n v="36"/>
    <n v="6"/>
    <n v="44330"/>
    <x v="41"/>
  </r>
  <r>
    <d v="2018-10-30T00:00:00"/>
    <n v="1030"/>
    <x v="32"/>
    <n v="52"/>
    <n v="1"/>
    <n v="19"/>
    <n v="6"/>
    <n v="44349"/>
    <x v="42"/>
  </r>
  <r>
    <d v="2018-10-31T00:00:00"/>
    <n v="1031"/>
    <x v="32"/>
    <n v="35"/>
    <n v="0"/>
    <n v="14"/>
    <n v="0"/>
    <n v="44363"/>
    <x v="43"/>
  </r>
  <r>
    <d v="2018-11-01T00:00:00"/>
    <n v="1101"/>
    <x v="32"/>
    <n v="13"/>
    <n v="0"/>
    <n v="3"/>
    <n v="0"/>
    <n v="44366"/>
    <x v="44"/>
  </r>
  <r>
    <d v="2018-11-02T00:00:00"/>
    <n v="1102"/>
    <x v="32"/>
    <n v="111"/>
    <n v="0"/>
    <n v="11"/>
    <n v="2"/>
    <n v="44377"/>
    <x v="45"/>
  </r>
  <r>
    <d v="2018-11-03T00:00:00"/>
    <n v="1103"/>
    <x v="32"/>
    <n v="47"/>
    <n v="0"/>
    <n v="6"/>
    <n v="1"/>
    <n v="44383"/>
    <x v="46"/>
  </r>
  <r>
    <d v="2018-11-04T00:00:00"/>
    <n v="1104"/>
    <x v="32"/>
    <n v="8"/>
    <n v="0"/>
    <n v="1"/>
    <n v="0"/>
    <n v="44384"/>
    <x v="47"/>
  </r>
  <r>
    <d v="2018-11-05T00:00:00"/>
    <n v="1105"/>
    <x v="32"/>
    <n v="2"/>
    <n v="0"/>
    <n v="0"/>
    <n v="0"/>
    <n v="44384"/>
    <x v="48"/>
  </r>
  <r>
    <d v="2018-11-06T00:00:00"/>
    <n v="1106"/>
    <x v="32"/>
    <n v="10"/>
    <n v="0"/>
    <n v="0"/>
    <n v="0"/>
    <n v="44384"/>
    <x v="49"/>
  </r>
  <r>
    <d v="2018-11-07T00:00:00"/>
    <n v="1107"/>
    <x v="32"/>
    <n v="1"/>
    <n v="0"/>
    <n v="1"/>
    <n v="0"/>
    <n v="44385"/>
    <x v="50"/>
  </r>
  <r>
    <d v="2018-11-08T00:00:00"/>
    <n v="1108"/>
    <x v="32"/>
    <n v="2"/>
    <n v="0"/>
    <n v="0"/>
    <n v="0"/>
    <n v="44385"/>
    <x v="51"/>
  </r>
  <r>
    <d v="2018-11-09T00:00:00"/>
    <n v="1109"/>
    <x v="32"/>
    <n v="0"/>
    <n v="0"/>
    <n v="0"/>
    <n v="0"/>
    <n v="44385"/>
    <x v="52"/>
  </r>
  <r>
    <d v="2018-11-10T00:00:00"/>
    <n v="1110"/>
    <x v="32"/>
    <n v="0"/>
    <n v="0"/>
    <n v="0"/>
    <n v="0"/>
    <n v="44385"/>
    <x v="53"/>
  </r>
  <r>
    <d v="2018-11-11T00:00:00"/>
    <n v="1111"/>
    <x v="32"/>
    <n v="0"/>
    <n v="0"/>
    <n v="0"/>
    <n v="0"/>
    <n v="44385"/>
    <x v="54"/>
  </r>
  <r>
    <d v="2018-11-12T00:00:00"/>
    <n v="1112"/>
    <x v="32"/>
    <n v="0"/>
    <n v="0"/>
    <n v="0"/>
    <n v="0"/>
    <n v="44385"/>
    <x v="55"/>
  </r>
  <r>
    <d v="2018-11-13T00:00:00"/>
    <n v="1113"/>
    <x v="32"/>
    <n v="0"/>
    <n v="0"/>
    <n v="0"/>
    <n v="0"/>
    <n v="44385"/>
    <x v="56"/>
  </r>
  <r>
    <d v="2018-11-14T00:00:00"/>
    <n v="1114"/>
    <x v="32"/>
    <n v="0"/>
    <n v="0"/>
    <n v="0"/>
    <n v="0"/>
    <n v="44385"/>
    <x v="57"/>
  </r>
  <r>
    <d v="2018-11-15T00:00:00"/>
    <n v="1115"/>
    <x v="32"/>
    <n v="0"/>
    <n v="0"/>
    <n v="0"/>
    <n v="0"/>
    <n v="44385"/>
    <x v="58"/>
  </r>
  <r>
    <d v="2018-11-16T00:00:00"/>
    <n v="1116"/>
    <x v="32"/>
    <n v="0"/>
    <n v="0"/>
    <n v="0"/>
    <n v="0"/>
    <n v="44385"/>
    <x v="59"/>
  </r>
  <r>
    <d v="2018-11-17T00:00:00"/>
    <n v="1117"/>
    <x v="32"/>
    <n v="5"/>
    <n v="0"/>
    <n v="0"/>
    <n v="0"/>
    <n v="44385"/>
    <x v="60"/>
  </r>
  <r>
    <d v="2018-11-18T00:00:00"/>
    <n v="1118"/>
    <x v="32"/>
    <n v="14"/>
    <n v="0"/>
    <n v="0"/>
    <n v="0"/>
    <n v="44385"/>
    <x v="61"/>
  </r>
  <r>
    <d v="2019-07-31T00:00:00"/>
    <n v="731"/>
    <x v="33"/>
    <n v="38"/>
    <n v="1"/>
    <n v="43"/>
    <n v="0"/>
    <n v="43"/>
    <x v="99"/>
  </r>
  <r>
    <d v="2019-08-01T00:00:00"/>
    <n v="801"/>
    <x v="33"/>
    <n v="2"/>
    <n v="3"/>
    <n v="19"/>
    <n v="0"/>
    <n v="62"/>
    <x v="100"/>
  </r>
  <r>
    <d v="2019-08-02T00:00:00"/>
    <n v="802"/>
    <x v="33"/>
    <n v="6"/>
    <n v="1"/>
    <n v="21"/>
    <n v="0"/>
    <n v="83"/>
    <x v="101"/>
  </r>
  <r>
    <d v="2019-08-03T00:00:00"/>
    <n v="803"/>
    <x v="33"/>
    <n v="3"/>
    <n v="1"/>
    <n v="10"/>
    <n v="0"/>
    <n v="93"/>
    <x v="102"/>
  </r>
  <r>
    <d v="2019-08-04T00:00:00"/>
    <n v="804"/>
    <x v="33"/>
    <n v="11"/>
    <n v="1"/>
    <n v="20"/>
    <n v="0"/>
    <n v="113"/>
    <x v="103"/>
  </r>
  <r>
    <d v="2019-08-05T00:00:00"/>
    <n v="805"/>
    <x v="33"/>
    <n v="4"/>
    <n v="0"/>
    <n v="16"/>
    <n v="0"/>
    <n v="129"/>
    <x v="104"/>
  </r>
  <r>
    <d v="2019-08-06T00:00:00"/>
    <n v="806"/>
    <x v="33"/>
    <n v="9"/>
    <n v="0"/>
    <n v="26"/>
    <n v="1"/>
    <n v="155"/>
    <x v="105"/>
  </r>
  <r>
    <d v="2019-08-07T00:00:00"/>
    <n v="807"/>
    <x v="33"/>
    <n v="8"/>
    <n v="0"/>
    <n v="27"/>
    <n v="0"/>
    <n v="182"/>
    <x v="106"/>
  </r>
  <r>
    <d v="2019-08-08T00:00:00"/>
    <n v="808"/>
    <x v="33"/>
    <n v="8"/>
    <n v="0"/>
    <n v="17"/>
    <n v="1"/>
    <n v="199"/>
    <x v="107"/>
  </r>
  <r>
    <d v="2019-08-09T00:00:00"/>
    <n v="809"/>
    <x v="33"/>
    <n v="6"/>
    <n v="1"/>
    <n v="18"/>
    <n v="0"/>
    <n v="217"/>
    <x v="108"/>
  </r>
  <r>
    <d v="2019-08-10T00:00:00"/>
    <n v="810"/>
    <x v="33"/>
    <n v="12"/>
    <n v="0"/>
    <n v="52"/>
    <n v="0"/>
    <n v="269"/>
    <x v="109"/>
  </r>
  <r>
    <d v="2019-08-11T00:00:00"/>
    <n v="811"/>
    <x v="33"/>
    <n v="5"/>
    <n v="0"/>
    <n v="60"/>
    <n v="0"/>
    <n v="329"/>
    <x v="110"/>
  </r>
  <r>
    <d v="2019-08-12T00:00:00"/>
    <n v="812"/>
    <x v="33"/>
    <n v="16"/>
    <n v="0"/>
    <n v="98"/>
    <n v="0"/>
    <n v="427"/>
    <x v="111"/>
  </r>
  <r>
    <d v="2019-08-13T00:00:00"/>
    <n v="813"/>
    <x v="33"/>
    <n v="4"/>
    <n v="1"/>
    <n v="116"/>
    <n v="0"/>
    <n v="543"/>
    <x v="112"/>
  </r>
  <r>
    <d v="2019-08-14T00:00:00"/>
    <n v="814"/>
    <x v="33"/>
    <n v="21"/>
    <n v="0"/>
    <n v="104"/>
    <n v="4"/>
    <n v="647"/>
    <x v="82"/>
  </r>
  <r>
    <d v="2019-08-15T00:00:00"/>
    <n v="815"/>
    <x v="33"/>
    <n v="21"/>
    <n v="0"/>
    <n v="116"/>
    <n v="3"/>
    <n v="763"/>
    <x v="83"/>
  </r>
  <r>
    <d v="2019-08-16T00:00:00"/>
    <n v="816"/>
    <x v="33"/>
    <n v="13"/>
    <n v="0"/>
    <n v="120"/>
    <n v="3"/>
    <n v="883"/>
    <x v="84"/>
  </r>
  <r>
    <d v="2019-08-17T00:00:00"/>
    <n v="817"/>
    <x v="33"/>
    <n v="12"/>
    <n v="0"/>
    <n v="102"/>
    <n v="0"/>
    <n v="985"/>
    <x v="85"/>
  </r>
  <r>
    <d v="2019-08-18T00:00:00"/>
    <n v="818"/>
    <x v="33"/>
    <n v="12"/>
    <n v="0"/>
    <n v="76"/>
    <n v="3"/>
    <n v="1061"/>
    <x v="86"/>
  </r>
  <r>
    <d v="2019-08-19T00:00:00"/>
    <n v="819"/>
    <x v="33"/>
    <n v="47"/>
    <n v="3"/>
    <n v="62"/>
    <n v="3"/>
    <n v="1123"/>
    <x v="87"/>
  </r>
  <r>
    <d v="2019-08-20T00:00:00"/>
    <n v="820"/>
    <x v="33"/>
    <n v="95"/>
    <n v="4"/>
    <n v="114"/>
    <n v="0"/>
    <n v="1237"/>
    <x v="88"/>
  </r>
  <r>
    <d v="2019-08-21T00:00:00"/>
    <n v="821"/>
    <x v="33"/>
    <n v="71"/>
    <n v="0"/>
    <n v="134"/>
    <n v="1"/>
    <n v="1371"/>
    <x v="89"/>
  </r>
  <r>
    <d v="2019-08-22T00:00:00"/>
    <n v="822"/>
    <x v="33"/>
    <n v="109"/>
    <n v="5"/>
    <n v="190"/>
    <n v="4"/>
    <n v="1561"/>
    <x v="90"/>
  </r>
  <r>
    <d v="2019-08-23T00:00:00"/>
    <n v="823"/>
    <x v="33"/>
    <n v="73"/>
    <n v="5"/>
    <n v="387"/>
    <n v="8"/>
    <n v="1948"/>
    <x v="91"/>
  </r>
  <r>
    <d v="2019-08-24T00:00:00"/>
    <n v="824"/>
    <x v="33"/>
    <n v="109"/>
    <n v="7"/>
    <n v="205"/>
    <n v="10"/>
    <n v="2153"/>
    <x v="92"/>
  </r>
  <r>
    <d v="2019-08-25T00:00:00"/>
    <n v="825"/>
    <x v="33"/>
    <n v="129"/>
    <n v="4"/>
    <n v="371"/>
    <n v="10"/>
    <n v="2524"/>
    <x v="93"/>
  </r>
  <r>
    <d v="2019-08-26T00:00:00"/>
    <n v="826"/>
    <x v="33"/>
    <n v="119"/>
    <n v="7"/>
    <n v="480"/>
    <n v="16"/>
    <n v="3004"/>
    <x v="94"/>
  </r>
  <r>
    <d v="2019-08-27T00:00:00"/>
    <n v="827"/>
    <x v="33"/>
    <n v="137"/>
    <n v="13"/>
    <n v="351"/>
    <n v="13"/>
    <n v="3355"/>
    <x v="95"/>
  </r>
  <r>
    <d v="2019-08-28T00:00:00"/>
    <n v="828"/>
    <x v="33"/>
    <n v="136"/>
    <n v="13"/>
    <n v="344"/>
    <n v="28"/>
    <n v="3699"/>
    <x v="96"/>
  </r>
  <r>
    <d v="2019-08-29T00:00:00"/>
    <n v="829"/>
    <x v="33"/>
    <n v="72"/>
    <n v="22"/>
    <n v="344"/>
    <n v="28"/>
    <n v="4043"/>
    <x v="97"/>
  </r>
  <r>
    <d v="2019-08-30T00:00:00"/>
    <n v="830"/>
    <x v="33"/>
    <n v="96"/>
    <n v="14"/>
    <n v="317"/>
    <n v="24"/>
    <n v="4360"/>
    <x v="98"/>
  </r>
  <r>
    <d v="2019-08-31T00:00:00"/>
    <n v="831"/>
    <x v="33"/>
    <n v="169"/>
    <n v="39"/>
    <n v="445"/>
    <n v="33"/>
    <n v="4805"/>
    <x v="81"/>
  </r>
  <r>
    <d v="2019-09-01T00:00:00"/>
    <n v="901"/>
    <x v="33"/>
    <n v="162"/>
    <n v="13"/>
    <n v="431"/>
    <n v="36"/>
    <n v="5236"/>
    <x v="80"/>
  </r>
  <r>
    <d v="2019-09-02T00:00:00"/>
    <n v="902"/>
    <x v="33"/>
    <n v="505"/>
    <n v="28"/>
    <n v="479"/>
    <n v="23"/>
    <n v="5715"/>
    <x v="75"/>
  </r>
  <r>
    <d v="2019-09-03T00:00:00"/>
    <n v="903"/>
    <x v="33"/>
    <n v="407"/>
    <n v="36"/>
    <n v="563"/>
    <n v="56"/>
    <n v="6278"/>
    <x v="76"/>
  </r>
  <r>
    <d v="2019-09-04T00:00:00"/>
    <n v="904"/>
    <x v="33"/>
    <n v="451"/>
    <n v="61"/>
    <n v="386"/>
    <n v="32"/>
    <n v="6664"/>
    <x v="77"/>
  </r>
  <r>
    <d v="2019-09-05T00:00:00"/>
    <n v="905"/>
    <x v="33"/>
    <n v="597"/>
    <n v="54"/>
    <n v="369"/>
    <n v="54"/>
    <n v="7033"/>
    <x v="78"/>
  </r>
  <r>
    <d v="2019-09-06T00:00:00"/>
    <n v="906"/>
    <x v="33"/>
    <n v="346"/>
    <n v="42"/>
    <n v="286"/>
    <n v="18"/>
    <n v="7319"/>
    <x v="79"/>
  </r>
  <r>
    <d v="2019-09-07T00:00:00"/>
    <n v="907"/>
    <x v="33"/>
    <n v="257"/>
    <n v="39"/>
    <n v="397"/>
    <n v="52"/>
    <n v="7716"/>
    <x v="71"/>
  </r>
  <r>
    <d v="2019-09-08T00:00:00"/>
    <n v="908"/>
    <x v="33"/>
    <n v="381"/>
    <n v="72"/>
    <n v="330"/>
    <n v="36"/>
    <n v="8046"/>
    <x v="72"/>
  </r>
  <r>
    <d v="2019-09-09T00:00:00"/>
    <n v="909"/>
    <x v="33"/>
    <n v="428"/>
    <n v="61"/>
    <n v="382"/>
    <n v="42"/>
    <n v="8428"/>
    <x v="73"/>
  </r>
  <r>
    <d v="2019-09-10T00:00:00"/>
    <n v="910"/>
    <x v="33"/>
    <n v="184"/>
    <n v="42"/>
    <n v="344"/>
    <n v="26"/>
    <n v="8772"/>
    <x v="74"/>
  </r>
  <r>
    <d v="2019-09-11T00:00:00"/>
    <n v="911"/>
    <x v="33"/>
    <n v="152"/>
    <n v="29"/>
    <n v="581"/>
    <n v="46"/>
    <n v="9353"/>
    <x v="68"/>
  </r>
  <r>
    <d v="2019-09-12T00:00:00"/>
    <n v="912"/>
    <x v="33"/>
    <n v="200"/>
    <n v="24"/>
    <n v="530"/>
    <n v="45"/>
    <n v="9883"/>
    <x v="69"/>
  </r>
  <r>
    <d v="2019-09-13T00:00:00"/>
    <n v="913"/>
    <x v="33"/>
    <n v="191"/>
    <n v="18"/>
    <n v="512"/>
    <n v="28"/>
    <n v="10395"/>
    <x v="70"/>
  </r>
  <r>
    <d v="2019-09-14T00:00:00"/>
    <n v="914"/>
    <x v="33"/>
    <n v="375"/>
    <n v="33"/>
    <n v="615"/>
    <n v="65"/>
    <n v="11010"/>
    <x v="67"/>
  </r>
  <r>
    <d v="2019-09-15T00:00:00"/>
    <n v="915"/>
    <x v="33"/>
    <n v="318"/>
    <n v="23"/>
    <n v="573"/>
    <n v="40"/>
    <n v="11583"/>
    <x v="63"/>
  </r>
  <r>
    <d v="2019-09-16T00:00:00"/>
    <n v="916"/>
    <x v="33"/>
    <n v="369"/>
    <n v="42"/>
    <n v="608"/>
    <n v="69"/>
    <n v="12191"/>
    <x v="64"/>
  </r>
  <r>
    <d v="2019-09-17T00:00:00"/>
    <n v="917"/>
    <x v="33"/>
    <n v="209"/>
    <n v="30"/>
    <n v="594"/>
    <n v="83"/>
    <n v="12785"/>
    <x v="65"/>
  </r>
  <r>
    <d v="2019-09-18T00:00:00"/>
    <n v="918"/>
    <x v="33"/>
    <n v="430"/>
    <n v="77"/>
    <n v="776"/>
    <n v="97"/>
    <n v="13561"/>
    <x v="0"/>
  </r>
  <r>
    <d v="2019-09-19T00:00:00"/>
    <n v="919"/>
    <x v="33"/>
    <n v="332"/>
    <n v="84"/>
    <n v="847"/>
    <n v="103"/>
    <n v="14408"/>
    <x v="1"/>
  </r>
  <r>
    <d v="2019-09-20T00:00:00"/>
    <n v="920"/>
    <x v="33"/>
    <n v="280"/>
    <n v="71"/>
    <n v="523"/>
    <n v="80"/>
    <n v="14931"/>
    <x v="2"/>
  </r>
  <r>
    <d v="2019-09-21T00:00:00"/>
    <n v="921"/>
    <x v="33"/>
    <n v="477"/>
    <n v="108"/>
    <n v="608"/>
    <n v="86"/>
    <n v="15539"/>
    <x v="3"/>
  </r>
  <r>
    <d v="2019-09-22T00:00:00"/>
    <n v="922"/>
    <x v="33"/>
    <n v="236"/>
    <n v="62"/>
    <n v="788"/>
    <n v="123"/>
    <n v="16327"/>
    <x v="4"/>
  </r>
  <r>
    <d v="2019-09-23T00:00:00"/>
    <n v="923"/>
    <x v="33"/>
    <n v="135"/>
    <n v="43"/>
    <n v="719"/>
    <n v="71"/>
    <n v="17046"/>
    <x v="5"/>
  </r>
  <r>
    <d v="2019-09-24T00:00:00"/>
    <n v="924"/>
    <x v="33"/>
    <n v="145"/>
    <n v="54"/>
    <n v="719"/>
    <n v="86"/>
    <n v="17765"/>
    <x v="6"/>
  </r>
  <r>
    <d v="2019-09-25T00:00:00"/>
    <n v="925"/>
    <x v="33"/>
    <n v="151"/>
    <n v="42"/>
    <n v="962"/>
    <n v="82"/>
    <n v="18727"/>
    <x v="7"/>
  </r>
  <r>
    <d v="2019-09-26T00:00:00"/>
    <n v="926"/>
    <x v="33"/>
    <n v="163"/>
    <n v="32"/>
    <n v="689"/>
    <n v="65"/>
    <n v="19416"/>
    <x v="8"/>
  </r>
  <r>
    <d v="2019-09-27T00:00:00"/>
    <n v="927"/>
    <x v="33"/>
    <n v="120"/>
    <n v="40"/>
    <n v="749"/>
    <n v="68"/>
    <n v="20165"/>
    <x v="9"/>
  </r>
  <r>
    <d v="2019-09-28T00:00:00"/>
    <n v="928"/>
    <x v="33"/>
    <n v="139"/>
    <n v="64"/>
    <n v="775"/>
    <n v="73"/>
    <n v="20940"/>
    <x v="10"/>
  </r>
  <r>
    <d v="2019-09-29T00:00:00"/>
    <n v="929"/>
    <x v="33"/>
    <n v="86"/>
    <n v="59"/>
    <n v="728"/>
    <n v="61"/>
    <n v="21668"/>
    <x v="11"/>
  </r>
  <r>
    <d v="2019-09-30T00:00:00"/>
    <n v="930"/>
    <x v="33"/>
    <n v="73"/>
    <n v="59"/>
    <n v="623"/>
    <n v="46"/>
    <n v="22291"/>
    <x v="12"/>
  </r>
  <r>
    <d v="2019-10-01T00:00:00"/>
    <n v="1001"/>
    <x v="33"/>
    <n v="62"/>
    <n v="47"/>
    <n v="476"/>
    <n v="40"/>
    <n v="22767"/>
    <x v="13"/>
  </r>
  <r>
    <d v="2019-10-02T00:00:00"/>
    <n v="1002"/>
    <x v="33"/>
    <n v="72"/>
    <n v="30"/>
    <n v="536"/>
    <n v="57"/>
    <n v="23303"/>
    <x v="14"/>
  </r>
  <r>
    <d v="2019-10-03T00:00:00"/>
    <n v="1003"/>
    <x v="33"/>
    <n v="17"/>
    <n v="9"/>
    <n v="425"/>
    <n v="18"/>
    <n v="23728"/>
    <x v="15"/>
  </r>
  <r>
    <d v="2019-10-04T00:00:00"/>
    <n v="1004"/>
    <x v="33"/>
    <n v="35"/>
    <n v="15"/>
    <n v="624"/>
    <n v="36"/>
    <n v="24352"/>
    <x v="16"/>
  </r>
  <r>
    <d v="2019-10-05T00:00:00"/>
    <n v="1005"/>
    <x v="33"/>
    <n v="27"/>
    <n v="6"/>
    <n v="799"/>
    <n v="72"/>
    <n v="25151"/>
    <x v="17"/>
  </r>
  <r>
    <d v="2019-10-06T00:00:00"/>
    <n v="1006"/>
    <x v="33"/>
    <n v="19"/>
    <n v="1"/>
    <n v="699"/>
    <n v="49"/>
    <n v="25850"/>
    <x v="18"/>
  </r>
  <r>
    <d v="2019-10-07T00:00:00"/>
    <n v="1007"/>
    <x v="33"/>
    <n v="34"/>
    <n v="10"/>
    <n v="968"/>
    <n v="59"/>
    <n v="26818"/>
    <x v="19"/>
  </r>
  <r>
    <d v="2019-10-08T00:00:00"/>
    <n v="1008"/>
    <x v="33"/>
    <n v="30"/>
    <n v="2"/>
    <n v="872"/>
    <n v="29"/>
    <n v="27690"/>
    <x v="20"/>
  </r>
  <r>
    <d v="2019-10-09T00:00:00"/>
    <n v="1009"/>
    <x v="33"/>
    <n v="27"/>
    <n v="7"/>
    <n v="564"/>
    <n v="36"/>
    <n v="28254"/>
    <x v="21"/>
  </r>
  <r>
    <d v="2019-10-10T00:00:00"/>
    <n v="1010"/>
    <x v="33"/>
    <n v="17"/>
    <n v="20"/>
    <n v="428"/>
    <n v="32"/>
    <n v="28682"/>
    <x v="22"/>
  </r>
  <r>
    <d v="2019-10-11T00:00:00"/>
    <n v="1011"/>
    <x v="33"/>
    <n v="5"/>
    <n v="3"/>
    <n v="488"/>
    <n v="26"/>
    <n v="29170"/>
    <x v="23"/>
  </r>
  <r>
    <d v="2019-10-12T00:00:00"/>
    <n v="1012"/>
    <x v="33"/>
    <n v="13"/>
    <n v="7"/>
    <n v="725"/>
    <n v="35"/>
    <n v="29895"/>
    <x v="24"/>
  </r>
  <r>
    <d v="2019-10-13T00:00:00"/>
    <n v="1013"/>
    <x v="33"/>
    <n v="23"/>
    <n v="9"/>
    <n v="682"/>
    <n v="40"/>
    <n v="30577"/>
    <x v="25"/>
  </r>
  <r>
    <d v="2019-10-14T00:00:00"/>
    <n v="1014"/>
    <x v="33"/>
    <n v="17"/>
    <n v="10"/>
    <n v="666"/>
    <n v="54"/>
    <n v="31243"/>
    <x v="26"/>
  </r>
  <r>
    <d v="2019-10-15T00:00:00"/>
    <n v="1015"/>
    <x v="33"/>
    <n v="13"/>
    <n v="2"/>
    <n v="787"/>
    <n v="62"/>
    <n v="32030"/>
    <x v="27"/>
  </r>
  <r>
    <d v="2019-10-16T00:00:00"/>
    <n v="1016"/>
    <x v="33"/>
    <n v="63"/>
    <n v="19"/>
    <n v="1315"/>
    <n v="175"/>
    <n v="33345"/>
    <x v="28"/>
  </r>
  <r>
    <d v="2019-10-17T00:00:00"/>
    <n v="1017"/>
    <x v="33"/>
    <n v="103"/>
    <n v="12"/>
    <n v="420"/>
    <n v="30"/>
    <n v="33765"/>
    <x v="29"/>
  </r>
  <r>
    <d v="2019-10-18T00:00:00"/>
    <n v="1018"/>
    <x v="33"/>
    <n v="48"/>
    <n v="7"/>
    <n v="209"/>
    <n v="23"/>
    <n v="33974"/>
    <x v="30"/>
  </r>
  <r>
    <d v="2019-10-19T00:00:00"/>
    <n v="1019"/>
    <x v="33"/>
    <n v="15"/>
    <n v="4"/>
    <n v="66"/>
    <n v="11"/>
    <n v="34040"/>
    <x v="31"/>
  </r>
  <r>
    <d v="2019-10-20T00:00:00"/>
    <n v="1020"/>
    <x v="33"/>
    <n v="13"/>
    <n v="8"/>
    <n v="82"/>
    <n v="18"/>
    <n v="34122"/>
    <x v="32"/>
  </r>
  <r>
    <d v="2019-10-21T00:00:00"/>
    <n v="1021"/>
    <x v="33"/>
    <n v="4"/>
    <n v="1"/>
    <n v="80"/>
    <n v="12"/>
    <n v="34202"/>
    <x v="33"/>
  </r>
  <r>
    <d v="2019-10-22T00:00:00"/>
    <n v="1022"/>
    <x v="33"/>
    <n v="6"/>
    <n v="1"/>
    <n v="54"/>
    <n v="7"/>
    <n v="34256"/>
    <x v="34"/>
  </r>
  <r>
    <d v="2019-10-23T00:00:00"/>
    <n v="1023"/>
    <x v="33"/>
    <n v="9"/>
    <n v="1"/>
    <n v="38"/>
    <n v="4"/>
    <n v="34294"/>
    <x v="35"/>
  </r>
  <r>
    <d v="2019-10-24T00:00:00"/>
    <n v="1024"/>
    <x v="33"/>
    <n v="11"/>
    <n v="2"/>
    <n v="21"/>
    <n v="1"/>
    <n v="34315"/>
    <x v="36"/>
  </r>
  <r>
    <d v="2019-10-25T00:00:00"/>
    <n v="1025"/>
    <x v="33"/>
    <n v="5"/>
    <n v="0"/>
    <n v="22"/>
    <n v="9"/>
    <n v="34337"/>
    <x v="37"/>
  </r>
  <r>
    <d v="2019-10-26T00:00:00"/>
    <n v="1026"/>
    <x v="33"/>
    <n v="2"/>
    <n v="0"/>
    <n v="22"/>
    <n v="4"/>
    <n v="34359"/>
    <x v="38"/>
  </r>
  <r>
    <d v="2019-10-27T00:00:00"/>
    <n v="1027"/>
    <x v="33"/>
    <n v="2"/>
    <n v="0"/>
    <n v="46"/>
    <n v="7"/>
    <n v="34405"/>
    <x v="39"/>
  </r>
  <r>
    <d v="2019-10-28T00:00:00"/>
    <n v="1028"/>
    <x v="33"/>
    <n v="3"/>
    <n v="0"/>
    <n v="69"/>
    <n v="10"/>
    <n v="34474"/>
    <x v="40"/>
  </r>
  <r>
    <d v="2019-10-29T00:00:00"/>
    <n v="1029"/>
    <x v="33"/>
    <n v="2"/>
    <n v="3"/>
    <n v="52"/>
    <n v="2"/>
    <n v="34526"/>
    <x v="41"/>
  </r>
  <r>
    <d v="2019-10-30T00:00:00"/>
    <n v="1030"/>
    <x v="33"/>
    <n v="3"/>
    <n v="0"/>
    <n v="34"/>
    <n v="4"/>
    <n v="34560"/>
    <x v="42"/>
  </r>
  <r>
    <d v="2019-10-31T00:00:00"/>
    <n v="1031"/>
    <x v="33"/>
    <n v="0"/>
    <n v="0"/>
    <n v="6"/>
    <n v="0"/>
    <n v="34566"/>
    <x v="43"/>
  </r>
  <r>
    <d v="2019-11-01T00:00:00"/>
    <n v="1101"/>
    <x v="33"/>
    <n v="0"/>
    <n v="0"/>
    <n v="6"/>
    <n v="5"/>
    <n v="34572"/>
    <x v="44"/>
  </r>
  <r>
    <d v="2019-11-02T00:00:00"/>
    <n v="1102"/>
    <x v="33"/>
    <n v="6"/>
    <n v="3"/>
    <n v="8"/>
    <n v="1"/>
    <n v="34580"/>
    <x v="45"/>
  </r>
  <r>
    <d v="2019-11-03T00:00:00"/>
    <n v="1103"/>
    <x v="33"/>
    <n v="1"/>
    <n v="0"/>
    <n v="7"/>
    <n v="0"/>
    <n v="34587"/>
    <x v="46"/>
  </r>
  <r>
    <d v="2019-11-04T00:00:00"/>
    <n v="1104"/>
    <x v="33"/>
    <n v="2"/>
    <n v="3"/>
    <n v="8"/>
    <n v="2"/>
    <n v="34595"/>
    <x v="47"/>
  </r>
  <r>
    <d v="2019-11-05T00:00:00"/>
    <n v="1105"/>
    <x v="33"/>
    <n v="0"/>
    <n v="0"/>
    <n v="3"/>
    <n v="1"/>
    <n v="34598"/>
    <x v="48"/>
  </r>
  <r>
    <d v="2019-11-06T00:00:00"/>
    <n v="1106"/>
    <x v="33"/>
    <n v="8"/>
    <n v="1"/>
    <n v="4"/>
    <n v="1"/>
    <n v="34602"/>
    <x v="49"/>
  </r>
  <r>
    <d v="2019-11-07T00:00:00"/>
    <n v="1107"/>
    <x v="33"/>
    <n v="41"/>
    <n v="0"/>
    <n v="0"/>
    <n v="0"/>
    <n v="34602"/>
    <x v="50"/>
  </r>
  <r>
    <d v="2019-11-08T00:00:00"/>
    <n v="1108"/>
    <x v="33"/>
    <n v="5"/>
    <n v="0"/>
    <n v="0"/>
    <n v="2"/>
    <n v="34602"/>
    <x v="51"/>
  </r>
  <r>
    <d v="2019-11-09T00:00:00"/>
    <n v="1109"/>
    <x v="33"/>
    <n v="18"/>
    <n v="0"/>
    <n v="3"/>
    <n v="0"/>
    <n v="34605"/>
    <x v="52"/>
  </r>
  <r>
    <d v="2019-11-10T00:00:00"/>
    <n v="1110"/>
    <x v="33"/>
    <n v="3"/>
    <n v="0"/>
    <n v="1"/>
    <n v="2"/>
    <n v="34606"/>
    <x v="53"/>
  </r>
  <r>
    <d v="2019-11-11T00:00:00"/>
    <n v="1111"/>
    <x v="33"/>
    <n v="0"/>
    <n v="0"/>
    <n v="0"/>
    <n v="0"/>
    <n v="34606"/>
    <x v="54"/>
  </r>
  <r>
    <d v="2019-11-12T00:00:00"/>
    <n v="1112"/>
    <x v="33"/>
    <n v="2"/>
    <n v="0"/>
    <n v="1"/>
    <n v="0"/>
    <n v="34607"/>
    <x v="55"/>
  </r>
  <r>
    <d v="2019-11-13T00:00:00"/>
    <n v="1113"/>
    <x v="33"/>
    <n v="4"/>
    <n v="1"/>
    <n v="0"/>
    <n v="0"/>
    <n v="34607"/>
    <x v="56"/>
  </r>
  <r>
    <d v="2019-11-14T00:00:00"/>
    <n v="1114"/>
    <x v="33"/>
    <n v="0"/>
    <n v="0"/>
    <n v="0"/>
    <n v="0"/>
    <n v="34607"/>
    <x v="57"/>
  </r>
  <r>
    <d v="2019-11-15T00:00:00"/>
    <n v="1115"/>
    <x v="33"/>
    <n v="6"/>
    <n v="2"/>
    <n v="0"/>
    <n v="0"/>
    <n v="34607"/>
    <x v="58"/>
  </r>
  <r>
    <d v="2019-11-16T00:00:00"/>
    <n v="1116"/>
    <x v="33"/>
    <n v="13"/>
    <n v="5"/>
    <n v="0"/>
    <n v="0"/>
    <n v="34607"/>
    <x v="59"/>
  </r>
  <r>
    <d v="2019-11-17T00:00:00"/>
    <n v="1117"/>
    <x v="33"/>
    <n v="3"/>
    <n v="0"/>
    <n v="0"/>
    <n v="0"/>
    <n v="34607"/>
    <x v="60"/>
  </r>
  <r>
    <d v="2019-11-18T00:00:00"/>
    <n v="1118"/>
    <x v="33"/>
    <n v="0"/>
    <n v="2"/>
    <n v="0"/>
    <n v="0"/>
    <n v="34607"/>
    <x v="61"/>
  </r>
  <r>
    <d v="2020-07-31T00:00:00"/>
    <n v="731"/>
    <x v="34"/>
    <n v="4"/>
    <n v="5"/>
    <n v="33"/>
    <n v="0"/>
    <n v="33"/>
    <x v="99"/>
  </r>
  <r>
    <d v="2020-08-01T00:00:00"/>
    <n v="801"/>
    <x v="34"/>
    <n v="1"/>
    <n v="0"/>
    <n v="1"/>
    <n v="0"/>
    <n v="34"/>
    <x v="100"/>
  </r>
  <r>
    <d v="2020-08-02T00:00:00"/>
    <n v="802"/>
    <x v="34"/>
    <n v="3"/>
    <n v="0"/>
    <n v="4"/>
    <n v="0"/>
    <n v="38"/>
    <x v="101"/>
  </r>
  <r>
    <d v="2020-08-03T00:00:00"/>
    <n v="803"/>
    <x v="34"/>
    <n v="6"/>
    <n v="0"/>
    <n v="6"/>
    <n v="0"/>
    <n v="44"/>
    <x v="102"/>
  </r>
  <r>
    <d v="2020-08-04T00:00:00"/>
    <n v="804"/>
    <x v="34"/>
    <n v="6"/>
    <n v="0"/>
    <n v="3"/>
    <n v="0"/>
    <n v="47"/>
    <x v="103"/>
  </r>
  <r>
    <d v="2020-08-05T00:00:00"/>
    <n v="805"/>
    <x v="34"/>
    <n v="4"/>
    <n v="0"/>
    <n v="11"/>
    <n v="0"/>
    <n v="58"/>
    <x v="104"/>
  </r>
  <r>
    <d v="2020-08-06T00:00:00"/>
    <n v="806"/>
    <x v="34"/>
    <n v="0"/>
    <n v="1"/>
    <n v="12"/>
    <n v="0"/>
    <n v="70"/>
    <x v="105"/>
  </r>
  <r>
    <d v="2020-08-07T00:00:00"/>
    <n v="807"/>
    <x v="34"/>
    <n v="4"/>
    <n v="1"/>
    <n v="5"/>
    <n v="0"/>
    <n v="75"/>
    <x v="106"/>
  </r>
  <r>
    <d v="2020-08-08T00:00:00"/>
    <n v="808"/>
    <x v="34"/>
    <n v="2"/>
    <n v="3"/>
    <n v="14"/>
    <n v="0"/>
    <n v="89"/>
    <x v="107"/>
  </r>
  <r>
    <d v="2020-08-09T00:00:00"/>
    <n v="809"/>
    <x v="34"/>
    <n v="7"/>
    <n v="0"/>
    <n v="11"/>
    <n v="1"/>
    <n v="100"/>
    <x v="108"/>
  </r>
  <r>
    <d v="2020-08-10T00:00:00"/>
    <n v="810"/>
    <x v="34"/>
    <n v="11"/>
    <n v="0"/>
    <n v="44"/>
    <n v="0"/>
    <n v="144"/>
    <x v="109"/>
  </r>
  <r>
    <d v="2020-08-11T00:00:00"/>
    <n v="811"/>
    <x v="34"/>
    <n v="5"/>
    <n v="2"/>
    <n v="43"/>
    <n v="1"/>
    <n v="187"/>
    <x v="110"/>
  </r>
  <r>
    <d v="2020-08-12T00:00:00"/>
    <n v="812"/>
    <x v="34"/>
    <n v="13"/>
    <n v="5"/>
    <n v="33"/>
    <n v="2"/>
    <n v="220"/>
    <x v="111"/>
  </r>
  <r>
    <d v="2020-08-13T00:00:00"/>
    <n v="813"/>
    <x v="34"/>
    <n v="7"/>
    <n v="6"/>
    <n v="49"/>
    <n v="0"/>
    <n v="269"/>
    <x v="112"/>
  </r>
  <r>
    <d v="2020-08-14T00:00:00"/>
    <n v="814"/>
    <x v="34"/>
    <n v="11"/>
    <n v="0"/>
    <n v="53"/>
    <n v="0"/>
    <n v="322"/>
    <x v="82"/>
  </r>
  <r>
    <d v="2020-08-15T00:00:00"/>
    <n v="815"/>
    <x v="34"/>
    <n v="19"/>
    <n v="10"/>
    <n v="91"/>
    <n v="4"/>
    <n v="413"/>
    <x v="83"/>
  </r>
  <r>
    <d v="2020-08-16T00:00:00"/>
    <n v="816"/>
    <x v="34"/>
    <n v="14"/>
    <n v="7"/>
    <n v="79"/>
    <n v="2"/>
    <n v="492"/>
    <x v="84"/>
  </r>
  <r>
    <d v="2020-08-17T00:00:00"/>
    <n v="817"/>
    <x v="34"/>
    <n v="10"/>
    <n v="4"/>
    <n v="67"/>
    <n v="1"/>
    <n v="559"/>
    <x v="85"/>
  </r>
  <r>
    <d v="2020-08-18T00:00:00"/>
    <n v="818"/>
    <x v="34"/>
    <n v="6"/>
    <n v="6"/>
    <n v="114"/>
    <n v="2"/>
    <n v="673"/>
    <x v="86"/>
  </r>
  <r>
    <d v="2020-08-19T00:00:00"/>
    <n v="819"/>
    <x v="34"/>
    <n v="15"/>
    <n v="4"/>
    <n v="69"/>
    <n v="0"/>
    <n v="742"/>
    <x v="87"/>
  </r>
  <r>
    <d v="2020-08-20T00:00:00"/>
    <n v="820"/>
    <x v="34"/>
    <n v="8"/>
    <n v="6"/>
    <n v="179"/>
    <n v="15"/>
    <n v="921"/>
    <x v="88"/>
  </r>
  <r>
    <d v="2020-08-21T00:00:00"/>
    <n v="821"/>
    <x v="34"/>
    <n v="17"/>
    <n v="1"/>
    <n v="124"/>
    <n v="7"/>
    <n v="1045"/>
    <x v="89"/>
  </r>
  <r>
    <d v="2020-08-22T00:00:00"/>
    <n v="822"/>
    <x v="34"/>
    <n v="57"/>
    <n v="18"/>
    <n v="268"/>
    <n v="24"/>
    <n v="1313"/>
    <x v="90"/>
  </r>
  <r>
    <d v="2020-08-23T00:00:00"/>
    <n v="823"/>
    <x v="34"/>
    <n v="88"/>
    <n v="12"/>
    <n v="599"/>
    <n v="0"/>
    <n v="1912"/>
    <x v="91"/>
  </r>
  <r>
    <d v="2020-08-24T00:00:00"/>
    <n v="824"/>
    <x v="34"/>
    <n v="61"/>
    <n v="17"/>
    <n v="451"/>
    <n v="6"/>
    <n v="2363"/>
    <x v="92"/>
  </r>
  <r>
    <d v="2020-08-25T00:00:00"/>
    <n v="825"/>
    <x v="34"/>
    <n v="58"/>
    <n v="44"/>
    <n v="436"/>
    <n v="6"/>
    <n v="2799"/>
    <x v="93"/>
  </r>
  <r>
    <d v="2020-08-26T00:00:00"/>
    <n v="826"/>
    <x v="34"/>
    <n v="43"/>
    <n v="32"/>
    <n v="409"/>
    <n v="19"/>
    <n v="3208"/>
    <x v="94"/>
  </r>
  <r>
    <d v="2020-08-27T00:00:00"/>
    <n v="827"/>
    <x v="34"/>
    <n v="67"/>
    <n v="78"/>
    <n v="362"/>
    <n v="10"/>
    <n v="3570"/>
    <x v="95"/>
  </r>
  <r>
    <d v="2020-08-28T00:00:00"/>
    <n v="828"/>
    <x v="34"/>
    <n v="70"/>
    <n v="34"/>
    <n v="398"/>
    <n v="19"/>
    <n v="3968"/>
    <x v="96"/>
  </r>
  <r>
    <d v="2020-08-29T00:00:00"/>
    <n v="829"/>
    <x v="34"/>
    <n v="90"/>
    <n v="12"/>
    <n v="507"/>
    <n v="39"/>
    <n v="4475"/>
    <x v="97"/>
  </r>
  <r>
    <d v="2020-08-30T00:00:00"/>
    <n v="830"/>
    <x v="34"/>
    <n v="66"/>
    <n v="9"/>
    <n v="609"/>
    <n v="60"/>
    <n v="5084"/>
    <x v="98"/>
  </r>
  <r>
    <d v="2020-08-31T00:00:00"/>
    <n v="831"/>
    <x v="34"/>
    <n v="174"/>
    <n v="100"/>
    <n v="591"/>
    <n v="41"/>
    <n v="5675"/>
    <x v="81"/>
  </r>
  <r>
    <d v="2020-09-01T00:00:00"/>
    <n v="901"/>
    <x v="34"/>
    <n v="206"/>
    <n v="90"/>
    <n v="406"/>
    <n v="59"/>
    <n v="6081"/>
    <x v="80"/>
  </r>
  <r>
    <d v="2020-09-02T00:00:00"/>
    <n v="902"/>
    <x v="34"/>
    <n v="341"/>
    <n v="83"/>
    <n v="674"/>
    <n v="64"/>
    <n v="6755"/>
    <x v="75"/>
  </r>
  <r>
    <d v="2020-09-03T00:00:00"/>
    <n v="903"/>
    <x v="34"/>
    <n v="194"/>
    <n v="90"/>
    <n v="374"/>
    <n v="29"/>
    <n v="7129"/>
    <x v="76"/>
  </r>
  <r>
    <d v="2020-09-04T00:00:00"/>
    <n v="904"/>
    <x v="34"/>
    <n v="216"/>
    <n v="56"/>
    <n v="448"/>
    <n v="24"/>
    <n v="7577"/>
    <x v="77"/>
  </r>
  <r>
    <d v="2020-09-05T00:00:00"/>
    <n v="905"/>
    <x v="34"/>
    <n v="154"/>
    <n v="58"/>
    <n v="510"/>
    <n v="24"/>
    <n v="8087"/>
    <x v="78"/>
  </r>
  <r>
    <d v="2020-09-06T00:00:00"/>
    <n v="906"/>
    <x v="34"/>
    <n v="289"/>
    <n v="46"/>
    <n v="323"/>
    <n v="70"/>
    <n v="8410"/>
    <x v="79"/>
  </r>
  <r>
    <d v="2020-09-07T00:00:00"/>
    <n v="907"/>
    <x v="34"/>
    <n v="153"/>
    <n v="48"/>
    <n v="509"/>
    <n v="12"/>
    <n v="8919"/>
    <x v="71"/>
  </r>
  <r>
    <d v="2020-09-08T00:00:00"/>
    <n v="908"/>
    <x v="34"/>
    <n v="256"/>
    <n v="56"/>
    <n v="483"/>
    <n v="25"/>
    <n v="9402"/>
    <x v="72"/>
  </r>
  <r>
    <d v="2020-09-09T00:00:00"/>
    <n v="909"/>
    <x v="34"/>
    <n v="359"/>
    <n v="64"/>
    <n v="457"/>
    <n v="38"/>
    <n v="9859"/>
    <x v="73"/>
  </r>
  <r>
    <d v="2020-09-10T00:00:00"/>
    <n v="910"/>
    <x v="34"/>
    <n v="338"/>
    <n v="64"/>
    <n v="587"/>
    <n v="72"/>
    <n v="10446"/>
    <x v="74"/>
  </r>
  <r>
    <d v="2020-09-11T00:00:00"/>
    <n v="911"/>
    <x v="34"/>
    <n v="213"/>
    <n v="11"/>
    <n v="404"/>
    <n v="11"/>
    <n v="10850"/>
    <x v="68"/>
  </r>
  <r>
    <d v="2020-09-12T00:00:00"/>
    <n v="912"/>
    <x v="34"/>
    <n v="218"/>
    <n v="20"/>
    <n v="360"/>
    <n v="34"/>
    <n v="11210"/>
    <x v="69"/>
  </r>
  <r>
    <d v="2020-09-13T00:00:00"/>
    <n v="913"/>
    <x v="34"/>
    <n v="390"/>
    <n v="32"/>
    <n v="636"/>
    <n v="40"/>
    <n v="11846"/>
    <x v="70"/>
  </r>
  <r>
    <d v="2020-09-14T00:00:00"/>
    <n v="914"/>
    <x v="34"/>
    <n v="347"/>
    <n v="27"/>
    <n v="454"/>
    <n v="27"/>
    <n v="12300"/>
    <x v="67"/>
  </r>
  <r>
    <d v="2020-09-15T00:00:00"/>
    <n v="915"/>
    <x v="34"/>
    <n v="363"/>
    <n v="15"/>
    <n v="543"/>
    <n v="63"/>
    <n v="12843"/>
    <x v="63"/>
  </r>
  <r>
    <d v="2020-09-16T00:00:00"/>
    <n v="916"/>
    <x v="34"/>
    <n v="615"/>
    <n v="64"/>
    <n v="557"/>
    <n v="35"/>
    <n v="13400"/>
    <x v="64"/>
  </r>
  <r>
    <d v="2020-09-17T00:00:00"/>
    <n v="917"/>
    <x v="34"/>
    <n v="672"/>
    <n v="81"/>
    <n v="690"/>
    <n v="108"/>
    <n v="14090"/>
    <x v="65"/>
  </r>
  <r>
    <d v="2020-09-18T00:00:00"/>
    <n v="918"/>
    <x v="34"/>
    <n v="526"/>
    <n v="80"/>
    <n v="522"/>
    <n v="78"/>
    <n v="14612"/>
    <x v="0"/>
  </r>
  <r>
    <d v="2020-09-19T00:00:00"/>
    <n v="919"/>
    <x v="34"/>
    <n v="398"/>
    <n v="46"/>
    <n v="616"/>
    <n v="30"/>
    <n v="15228"/>
    <x v="1"/>
  </r>
  <r>
    <d v="2020-09-20T00:00:00"/>
    <n v="920"/>
    <x v="34"/>
    <n v="452"/>
    <n v="74"/>
    <n v="684"/>
    <n v="46"/>
    <n v="15912"/>
    <x v="2"/>
  </r>
  <r>
    <d v="2020-09-21T00:00:00"/>
    <n v="921"/>
    <x v="34"/>
    <n v="507"/>
    <n v="102"/>
    <n v="753"/>
    <n v="63"/>
    <n v="16665"/>
    <x v="3"/>
  </r>
  <r>
    <d v="2020-09-22T00:00:00"/>
    <n v="922"/>
    <x v="34"/>
    <n v="69"/>
    <n v="18"/>
    <n v="291"/>
    <n v="6"/>
    <n v="16956"/>
    <x v="4"/>
  </r>
  <r>
    <d v="2020-09-23T00:00:00"/>
    <n v="923"/>
    <x v="34"/>
    <n v="207"/>
    <n v="78"/>
    <n v="906"/>
    <n v="60"/>
    <n v="17862"/>
    <x v="5"/>
  </r>
  <r>
    <d v="2020-09-24T00:00:00"/>
    <n v="924"/>
    <x v="34"/>
    <n v="264"/>
    <n v="9"/>
    <n v="1164"/>
    <n v="51"/>
    <n v="19026"/>
    <x v="6"/>
  </r>
  <r>
    <d v="2020-09-25T00:00:00"/>
    <n v="925"/>
    <x v="34"/>
    <n v="468"/>
    <n v="42"/>
    <n v="3192"/>
    <n v="75"/>
    <n v="22218"/>
    <x v="7"/>
  </r>
  <r>
    <d v="2020-09-26T00:00:00"/>
    <n v="926"/>
    <x v="34"/>
    <n v="277"/>
    <n v="20"/>
    <n v="2272"/>
    <n v="41"/>
    <n v="24490"/>
    <x v="8"/>
  </r>
  <r>
    <d v="2020-09-27T00:00:00"/>
    <n v="927"/>
    <x v="34"/>
    <n v="48"/>
    <n v="12"/>
    <n v="996"/>
    <n v="30"/>
    <n v="25486"/>
    <x v="9"/>
  </r>
  <r>
    <d v="2020-09-28T00:00:00"/>
    <n v="928"/>
    <x v="34"/>
    <n v="162"/>
    <n v="24"/>
    <n v="1056"/>
    <n v="54"/>
    <n v="26542"/>
    <x v="10"/>
  </r>
  <r>
    <d v="2020-09-29T00:00:00"/>
    <n v="929"/>
    <x v="34"/>
    <n v="384"/>
    <n v="54"/>
    <n v="1170"/>
    <n v="96"/>
    <n v="27712"/>
    <x v="11"/>
  </r>
  <r>
    <d v="2020-09-30T00:00:00"/>
    <n v="930"/>
    <x v="34"/>
    <n v="303"/>
    <n v="45"/>
    <n v="1062"/>
    <n v="78"/>
    <n v="28774"/>
    <x v="12"/>
  </r>
  <r>
    <d v="2020-10-01T00:00:00"/>
    <n v="1001"/>
    <x v="34"/>
    <n v="222"/>
    <n v="57"/>
    <n v="1047"/>
    <n v="48"/>
    <n v="29821"/>
    <x v="13"/>
  </r>
  <r>
    <d v="2020-10-02T00:00:00"/>
    <n v="1002"/>
    <x v="34"/>
    <n v="285"/>
    <n v="27"/>
    <n v="961"/>
    <n v="50"/>
    <n v="30782"/>
    <x v="14"/>
  </r>
  <r>
    <d v="2020-10-03T00:00:00"/>
    <n v="1003"/>
    <x v="34"/>
    <n v="220"/>
    <n v="26"/>
    <n v="1264"/>
    <n v="60"/>
    <n v="32046"/>
    <x v="15"/>
  </r>
  <r>
    <d v="2020-10-04T00:00:00"/>
    <n v="1004"/>
    <x v="34"/>
    <n v="163"/>
    <n v="5"/>
    <n v="1195"/>
    <n v="18"/>
    <n v="33241"/>
    <x v="16"/>
  </r>
  <r>
    <d v="2020-10-05T00:00:00"/>
    <n v="1005"/>
    <x v="34"/>
    <n v="169"/>
    <n v="16"/>
    <n v="1080"/>
    <n v="25"/>
    <n v="34321"/>
    <x v="17"/>
  </r>
  <r>
    <d v="2020-10-06T00:00:00"/>
    <n v="1006"/>
    <x v="34"/>
    <n v="160"/>
    <n v="5"/>
    <n v="1013"/>
    <n v="38"/>
    <n v="35334"/>
    <x v="18"/>
  </r>
  <r>
    <d v="2020-10-07T00:00:00"/>
    <n v="1007"/>
    <x v="34"/>
    <n v="144"/>
    <n v="13"/>
    <n v="977"/>
    <n v="30"/>
    <n v="36311"/>
    <x v="19"/>
  </r>
  <r>
    <d v="2020-10-08T00:00:00"/>
    <n v="1008"/>
    <x v="34"/>
    <n v="168"/>
    <n v="5"/>
    <n v="1191"/>
    <n v="25"/>
    <n v="37502"/>
    <x v="20"/>
  </r>
  <r>
    <d v="2020-10-09T00:00:00"/>
    <n v="1009"/>
    <x v="34"/>
    <n v="47"/>
    <n v="3"/>
    <n v="384"/>
    <n v="7"/>
    <n v="37886"/>
    <x v="21"/>
  </r>
  <r>
    <d v="2020-10-10T00:00:00"/>
    <n v="1010"/>
    <x v="34"/>
    <n v="66"/>
    <n v="3"/>
    <n v="81"/>
    <n v="4"/>
    <n v="37967"/>
    <x v="22"/>
  </r>
  <r>
    <d v="2020-10-11T00:00:00"/>
    <n v="1011"/>
    <x v="34"/>
    <n v="3"/>
    <n v="2"/>
    <n v="91"/>
    <n v="1"/>
    <n v="38058"/>
    <x v="23"/>
  </r>
  <r>
    <d v="2020-10-12T00:00:00"/>
    <n v="1012"/>
    <x v="34"/>
    <n v="8"/>
    <n v="0"/>
    <n v="79"/>
    <n v="3"/>
    <n v="38137"/>
    <x v="24"/>
  </r>
  <r>
    <d v="2020-10-13T00:00:00"/>
    <n v="1013"/>
    <x v="34"/>
    <n v="9"/>
    <n v="2"/>
    <n v="71"/>
    <n v="4"/>
    <n v="38208"/>
    <x v="25"/>
  </r>
  <r>
    <d v="2020-10-14T00:00:00"/>
    <n v="1014"/>
    <x v="34"/>
    <n v="2"/>
    <n v="0"/>
    <n v="21"/>
    <n v="0"/>
    <n v="38229"/>
    <x v="26"/>
  </r>
  <r>
    <d v="2020-10-15T00:00:00"/>
    <n v="1015"/>
    <x v="34"/>
    <n v="0"/>
    <n v="0"/>
    <n v="4"/>
    <n v="0"/>
    <n v="38233"/>
    <x v="27"/>
  </r>
  <r>
    <d v="2020-10-16T00:00:00"/>
    <n v="1016"/>
    <x v="34"/>
    <n v="0"/>
    <n v="0"/>
    <n v="8"/>
    <n v="0"/>
    <n v="38241"/>
    <x v="28"/>
  </r>
  <r>
    <d v="2020-10-17T00:00:00"/>
    <n v="1017"/>
    <x v="34"/>
    <n v="1"/>
    <n v="0"/>
    <n v="13"/>
    <n v="1"/>
    <n v="38254"/>
    <x v="29"/>
  </r>
  <r>
    <d v="2020-10-18T00:00:00"/>
    <n v="1018"/>
    <x v="34"/>
    <n v="2"/>
    <n v="0"/>
    <n v="14"/>
    <n v="0"/>
    <n v="38268"/>
    <x v="30"/>
  </r>
  <r>
    <d v="2020-10-19T00:00:00"/>
    <n v="1019"/>
    <x v="34"/>
    <n v="2"/>
    <n v="1"/>
    <n v="15"/>
    <n v="0"/>
    <n v="38283"/>
    <x v="31"/>
  </r>
  <r>
    <d v="2020-10-20T00:00:00"/>
    <n v="1020"/>
    <x v="34"/>
    <n v="3"/>
    <n v="2"/>
    <n v="13"/>
    <n v="0"/>
    <n v="38296"/>
    <x v="32"/>
  </r>
  <r>
    <d v="2020-10-21T00:00:00"/>
    <n v="1021"/>
    <x v="34"/>
    <n v="2"/>
    <n v="0"/>
    <n v="9"/>
    <n v="2"/>
    <n v="38305"/>
    <x v="33"/>
  </r>
  <r>
    <d v="2020-10-22T00:00:00"/>
    <n v="1022"/>
    <x v="34"/>
    <n v="1"/>
    <n v="0"/>
    <n v="6"/>
    <n v="1"/>
    <n v="38311"/>
    <x v="34"/>
  </r>
  <r>
    <d v="2020-10-23T00:00:00"/>
    <n v="1023"/>
    <x v="34"/>
    <n v="3"/>
    <n v="0"/>
    <n v="26"/>
    <n v="2"/>
    <n v="38337"/>
    <x v="35"/>
  </r>
  <r>
    <d v="2020-10-24T00:00:00"/>
    <n v="1024"/>
    <x v="34"/>
    <n v="0"/>
    <n v="0"/>
    <n v="32"/>
    <n v="2"/>
    <n v="38369"/>
    <x v="36"/>
  </r>
  <r>
    <d v="2020-10-25T00:00:00"/>
    <n v="1025"/>
    <x v="34"/>
    <n v="4"/>
    <n v="0"/>
    <n v="10"/>
    <n v="0"/>
    <n v="38379"/>
    <x v="37"/>
  </r>
  <r>
    <d v="2020-10-26T00:00:00"/>
    <n v="1026"/>
    <x v="34"/>
    <n v="1"/>
    <n v="0"/>
    <n v="1"/>
    <n v="0"/>
    <n v="38380"/>
    <x v="38"/>
  </r>
  <r>
    <d v="2020-10-27T00:00:00"/>
    <n v="1027"/>
    <x v="34"/>
    <n v="8"/>
    <n v="0"/>
    <n v="28"/>
    <n v="2"/>
    <n v="38408"/>
    <x v="39"/>
  </r>
  <r>
    <d v="2020-10-28T00:00:00"/>
    <n v="1028"/>
    <x v="34"/>
    <n v="15"/>
    <n v="0"/>
    <n v="58"/>
    <n v="3"/>
    <n v="38466"/>
    <x v="40"/>
  </r>
  <r>
    <d v="2020-10-29T00:00:00"/>
    <n v="1029"/>
    <x v="34"/>
    <n v="17"/>
    <n v="0"/>
    <n v="41"/>
    <n v="6"/>
    <n v="38507"/>
    <x v="41"/>
  </r>
  <r>
    <d v="2020-10-30T00:00:00"/>
    <n v="1030"/>
    <x v="34"/>
    <n v="24"/>
    <n v="0"/>
    <n v="24"/>
    <n v="2"/>
    <n v="38531"/>
    <x v="42"/>
  </r>
  <r>
    <d v="2020-10-31T00:00:00"/>
    <n v="1031"/>
    <x v="34"/>
    <n v="18"/>
    <n v="0"/>
    <n v="20"/>
    <n v="1"/>
    <n v="38551"/>
    <x v="43"/>
  </r>
  <r>
    <d v="2020-11-01T00:00:00"/>
    <n v="1101"/>
    <x v="34"/>
    <n v="12"/>
    <n v="0"/>
    <n v="16"/>
    <n v="0"/>
    <n v="38567"/>
    <x v="44"/>
  </r>
  <r>
    <d v="2020-11-02T00:00:00"/>
    <n v="1102"/>
    <x v="34"/>
    <n v="16"/>
    <n v="0"/>
    <n v="12"/>
    <n v="1"/>
    <n v="38579"/>
    <x v="45"/>
  </r>
  <r>
    <d v="2020-11-03T00:00:00"/>
    <n v="1103"/>
    <x v="34"/>
    <n v="19"/>
    <n v="0"/>
    <n v="7"/>
    <n v="2"/>
    <n v="38586"/>
    <x v="46"/>
  </r>
  <r>
    <d v="2020-11-04T00:00:00"/>
    <n v="1104"/>
    <x v="34"/>
    <n v="19"/>
    <n v="0"/>
    <n v="5"/>
    <n v="0"/>
    <n v="38591"/>
    <x v="47"/>
  </r>
  <r>
    <d v="2020-11-05T00:00:00"/>
    <n v="1105"/>
    <x v="34"/>
    <n v="9"/>
    <n v="0"/>
    <n v="0"/>
    <n v="0"/>
    <n v="38591"/>
    <x v="48"/>
  </r>
  <r>
    <d v="2020-11-06T00:00:00"/>
    <n v="1106"/>
    <x v="34"/>
    <n v="4"/>
    <n v="0"/>
    <n v="0"/>
    <n v="0"/>
    <n v="38591"/>
    <x v="49"/>
  </r>
  <r>
    <d v="2020-11-07T00:00:00"/>
    <n v="1107"/>
    <x v="34"/>
    <n v="0"/>
    <n v="0"/>
    <n v="0"/>
    <n v="0"/>
    <n v="38591"/>
    <x v="50"/>
  </r>
  <r>
    <d v="2020-11-08T00:00:00"/>
    <n v="1108"/>
    <x v="34"/>
    <n v="1"/>
    <n v="0"/>
    <n v="0"/>
    <n v="0"/>
    <n v="38591"/>
    <x v="51"/>
  </r>
  <r>
    <d v="2020-11-09T00:00:00"/>
    <n v="1109"/>
    <x v="34"/>
    <n v="1"/>
    <n v="0"/>
    <n v="0"/>
    <n v="0"/>
    <n v="38591"/>
    <x v="52"/>
  </r>
  <r>
    <d v="2020-11-10T00:00:00"/>
    <n v="1110"/>
    <x v="34"/>
    <n v="0"/>
    <n v="0"/>
    <n v="1"/>
    <n v="0"/>
    <n v="38592"/>
    <x v="53"/>
  </r>
  <r>
    <d v="2020-11-11T00:00:00"/>
    <n v="1111"/>
    <x v="34"/>
    <n v="0"/>
    <n v="0"/>
    <n v="1"/>
    <n v="0"/>
    <n v="38593"/>
    <x v="54"/>
  </r>
  <r>
    <d v="2020-11-12T00:00:00"/>
    <n v="1112"/>
    <x v="34"/>
    <n v="0"/>
    <n v="0"/>
    <n v="1"/>
    <n v="0"/>
    <n v="38594"/>
    <x v="55"/>
  </r>
  <r>
    <d v="2021-07-31T00:00:00"/>
    <n v="731"/>
    <x v="35"/>
    <n v="15"/>
    <n v="0"/>
    <n v="55"/>
    <n v="0"/>
    <n v="55"/>
    <x v="99"/>
  </r>
  <r>
    <d v="2021-08-01T00:00:00"/>
    <n v="801"/>
    <x v="35"/>
    <n v="0"/>
    <n v="0"/>
    <n v="2"/>
    <n v="0"/>
    <n v="57"/>
    <x v="100"/>
  </r>
  <r>
    <d v="2021-08-02T00:00:00"/>
    <n v="802"/>
    <x v="35"/>
    <n v="0"/>
    <n v="0"/>
    <n v="2"/>
    <n v="0"/>
    <n v="59"/>
    <x v="101"/>
  </r>
  <r>
    <d v="2021-08-03T00:00:00"/>
    <n v="803"/>
    <x v="35"/>
    <n v="0"/>
    <n v="0"/>
    <n v="4"/>
    <n v="2"/>
    <n v="63"/>
    <x v="102"/>
  </r>
  <r>
    <d v="2021-08-04T00:00:00"/>
    <n v="804"/>
    <x v="35"/>
    <n v="2"/>
    <n v="0"/>
    <n v="0"/>
    <n v="0"/>
    <n v="63"/>
    <x v="103"/>
  </r>
  <r>
    <d v="2021-08-05T00:00:00"/>
    <n v="805"/>
    <x v="35"/>
    <n v="0"/>
    <n v="0"/>
    <n v="1"/>
    <n v="0"/>
    <n v="64"/>
    <x v="104"/>
  </r>
  <r>
    <d v="2021-08-06T00:00:00"/>
    <n v="806"/>
    <x v="35"/>
    <n v="7"/>
    <n v="0"/>
    <n v="2"/>
    <n v="0"/>
    <n v="66"/>
    <x v="105"/>
  </r>
  <r>
    <d v="2021-08-07T00:00:00"/>
    <n v="807"/>
    <x v="35"/>
    <n v="12"/>
    <n v="2"/>
    <n v="27"/>
    <n v="3"/>
    <n v="93"/>
    <x v="106"/>
  </r>
  <r>
    <d v="2021-08-08T00:00:00"/>
    <n v="808"/>
    <x v="35"/>
    <n v="10"/>
    <n v="2"/>
    <n v="26"/>
    <n v="3"/>
    <n v="119"/>
    <x v="107"/>
  </r>
  <r>
    <d v="2021-08-09T00:00:00"/>
    <n v="809"/>
    <x v="35"/>
    <n v="19"/>
    <n v="0"/>
    <n v="51"/>
    <n v="3"/>
    <n v="170"/>
    <x v="108"/>
  </r>
  <r>
    <d v="2021-08-10T00:00:00"/>
    <n v="810"/>
    <x v="35"/>
    <n v="23"/>
    <n v="2"/>
    <n v="23"/>
    <n v="0"/>
    <n v="193"/>
    <x v="109"/>
  </r>
  <r>
    <d v="2021-08-11T00:00:00"/>
    <n v="811"/>
    <x v="35"/>
    <n v="14"/>
    <n v="0"/>
    <n v="16"/>
    <n v="0"/>
    <n v="209"/>
    <x v="110"/>
  </r>
  <r>
    <d v="2021-08-12T00:00:00"/>
    <n v="812"/>
    <x v="35"/>
    <n v="2"/>
    <n v="0"/>
    <n v="9"/>
    <n v="0"/>
    <n v="218"/>
    <x v="111"/>
  </r>
  <r>
    <d v="2021-08-13T00:00:00"/>
    <n v="813"/>
    <x v="35"/>
    <n v="0"/>
    <n v="0"/>
    <n v="5"/>
    <n v="1"/>
    <n v="223"/>
    <x v="112"/>
  </r>
  <r>
    <d v="2021-08-14T00:00:00"/>
    <n v="814"/>
    <x v="35"/>
    <n v="3"/>
    <n v="1"/>
    <n v="5"/>
    <n v="1"/>
    <n v="228"/>
    <x v="82"/>
  </r>
  <r>
    <d v="2021-08-15T00:00:00"/>
    <n v="815"/>
    <x v="35"/>
    <n v="14"/>
    <n v="5"/>
    <n v="14"/>
    <n v="2"/>
    <n v="242"/>
    <x v="83"/>
  </r>
  <r>
    <d v="2021-08-16T00:00:00"/>
    <n v="816"/>
    <x v="35"/>
    <n v="21"/>
    <n v="0"/>
    <n v="21"/>
    <n v="1"/>
    <n v="263"/>
    <x v="84"/>
  </r>
  <r>
    <d v="2021-08-17T00:00:00"/>
    <n v="817"/>
    <x v="35"/>
    <n v="28"/>
    <n v="0"/>
    <n v="9"/>
    <n v="6"/>
    <n v="272"/>
    <x v="85"/>
  </r>
  <r>
    <d v="2021-08-18T00:00:00"/>
    <n v="818"/>
    <x v="35"/>
    <n v="43"/>
    <n v="4"/>
    <n v="63"/>
    <n v="17"/>
    <n v="335"/>
    <x v="86"/>
  </r>
  <r>
    <d v="2021-08-19T00:00:00"/>
    <n v="819"/>
    <x v="35"/>
    <n v="30"/>
    <n v="18"/>
    <n v="93"/>
    <n v="9"/>
    <n v="428"/>
    <x v="87"/>
  </r>
  <r>
    <d v="2021-08-20T00:00:00"/>
    <n v="820"/>
    <x v="35"/>
    <n v="45"/>
    <n v="48"/>
    <n v="75"/>
    <n v="27"/>
    <n v="503"/>
    <x v="88"/>
  </r>
  <r>
    <d v="2021-08-21T00:00:00"/>
    <n v="821"/>
    <x v="35"/>
    <n v="26"/>
    <n v="5"/>
    <n v="53"/>
    <n v="12"/>
    <n v="556"/>
    <x v="89"/>
  </r>
  <r>
    <d v="2021-08-22T00:00:00"/>
    <n v="822"/>
    <x v="35"/>
    <n v="63"/>
    <n v="36"/>
    <n v="65"/>
    <n v="40"/>
    <n v="621"/>
    <x v="90"/>
  </r>
  <r>
    <d v="2021-08-23T00:00:00"/>
    <n v="823"/>
    <x v="35"/>
    <n v="80"/>
    <n v="5"/>
    <n v="86"/>
    <n v="14"/>
    <n v="707"/>
    <x v="91"/>
  </r>
  <r>
    <d v="2021-08-24T00:00:00"/>
    <n v="824"/>
    <x v="35"/>
    <n v="255"/>
    <n v="51"/>
    <n v="107"/>
    <n v="0"/>
    <n v="814"/>
    <x v="92"/>
  </r>
  <r>
    <d v="2021-08-25T00:00:00"/>
    <n v="825"/>
    <x v="35"/>
    <n v="190"/>
    <n v="68"/>
    <n v="184"/>
    <n v="16"/>
    <n v="998"/>
    <x v="93"/>
  </r>
  <r>
    <d v="2021-08-26T00:00:00"/>
    <n v="826"/>
    <x v="35"/>
    <n v="162"/>
    <n v="76"/>
    <n v="216"/>
    <n v="74"/>
    <n v="1214"/>
    <x v="94"/>
  </r>
  <r>
    <d v="2021-08-27T00:00:00"/>
    <n v="827"/>
    <x v="35"/>
    <n v="176"/>
    <n v="60"/>
    <n v="152"/>
    <n v="28"/>
    <n v="1366"/>
    <x v="95"/>
  </r>
  <r>
    <d v="2021-08-28T00:00:00"/>
    <n v="828"/>
    <x v="35"/>
    <n v="115"/>
    <n v="40"/>
    <n v="95"/>
    <n v="14"/>
    <n v="1461"/>
    <x v="96"/>
  </r>
  <r>
    <d v="2021-08-29T00:00:00"/>
    <n v="829"/>
    <x v="35"/>
    <n v="488"/>
    <n v="128"/>
    <n v="288"/>
    <n v="108"/>
    <n v="1749"/>
    <x v="97"/>
  </r>
  <r>
    <d v="2021-08-30T00:00:00"/>
    <n v="830"/>
    <x v="35"/>
    <n v="180"/>
    <n v="24"/>
    <n v="619"/>
    <n v="30"/>
    <n v="2368"/>
    <x v="98"/>
  </r>
  <r>
    <d v="2021-08-31T00:00:00"/>
    <n v="831"/>
    <x v="35"/>
    <n v="363"/>
    <n v="30"/>
    <n v="396"/>
    <n v="60"/>
    <n v="2764"/>
    <x v="81"/>
  </r>
  <r>
    <d v="2021-09-01T00:00:00"/>
    <n v="901"/>
    <x v="35"/>
    <n v="392"/>
    <n v="40"/>
    <n v="388"/>
    <n v="64"/>
    <n v="3152"/>
    <x v="80"/>
  </r>
  <r>
    <d v="2021-09-02T00:00:00"/>
    <n v="902"/>
    <x v="35"/>
    <n v="456"/>
    <n v="72"/>
    <n v="268"/>
    <n v="60"/>
    <n v="3420"/>
    <x v="75"/>
  </r>
  <r>
    <d v="2021-09-03T00:00:00"/>
    <n v="903"/>
    <x v="35"/>
    <n v="472"/>
    <n v="52"/>
    <n v="416"/>
    <n v="72"/>
    <n v="3836"/>
    <x v="76"/>
  </r>
  <r>
    <d v="2021-09-04T00:00:00"/>
    <n v="904"/>
    <x v="35"/>
    <n v="312"/>
    <n v="52"/>
    <n v="300"/>
    <n v="20"/>
    <n v="4136"/>
    <x v="77"/>
  </r>
  <r>
    <d v="2021-09-05T00:00:00"/>
    <n v="905"/>
    <x v="35"/>
    <n v="968"/>
    <n v="180"/>
    <n v="576"/>
    <n v="60"/>
    <n v="4712"/>
    <x v="78"/>
  </r>
  <r>
    <d v="2021-09-06T00:00:00"/>
    <n v="906"/>
    <x v="35"/>
    <n v="720"/>
    <n v="138"/>
    <n v="503"/>
    <n v="69"/>
    <n v="5215"/>
    <x v="79"/>
  </r>
  <r>
    <d v="2021-09-07T00:00:00"/>
    <n v="907"/>
    <x v="35"/>
    <n v="444"/>
    <n v="111"/>
    <n v="381"/>
    <n v="75"/>
    <n v="5596"/>
    <x v="71"/>
  </r>
  <r>
    <d v="2021-09-08T00:00:00"/>
    <n v="908"/>
    <x v="35"/>
    <n v="442"/>
    <n v="132"/>
    <n v="416"/>
    <n v="120"/>
    <n v="6012"/>
    <x v="72"/>
  </r>
  <r>
    <d v="2021-09-09T00:00:00"/>
    <n v="909"/>
    <x v="35"/>
    <n v="282"/>
    <n v="48"/>
    <n v="306"/>
    <n v="90"/>
    <n v="6318"/>
    <x v="73"/>
  </r>
  <r>
    <d v="2021-09-10T00:00:00"/>
    <n v="910"/>
    <x v="35"/>
    <n v="261"/>
    <n v="76"/>
    <n v="378"/>
    <n v="186"/>
    <n v="6696"/>
    <x v="74"/>
  </r>
  <r>
    <d v="2021-09-11T00:00:00"/>
    <n v="911"/>
    <x v="35"/>
    <n v="282"/>
    <n v="78"/>
    <n v="294"/>
    <n v="120"/>
    <n v="6990"/>
    <x v="68"/>
  </r>
  <r>
    <d v="2021-09-12T00:00:00"/>
    <n v="912"/>
    <x v="35"/>
    <n v="582"/>
    <n v="66"/>
    <n v="282"/>
    <n v="180"/>
    <n v="7272"/>
    <x v="69"/>
  </r>
  <r>
    <d v="2021-09-13T00:00:00"/>
    <n v="913"/>
    <x v="35"/>
    <n v="264"/>
    <n v="144"/>
    <n v="180"/>
    <n v="150"/>
    <n v="7452"/>
    <x v="70"/>
  </r>
  <r>
    <d v="2021-09-14T00:00:00"/>
    <n v="914"/>
    <x v="35"/>
    <n v="204"/>
    <n v="66"/>
    <n v="306"/>
    <n v="54"/>
    <n v="7758"/>
    <x v="67"/>
  </r>
  <r>
    <d v="2021-09-15T00:00:00"/>
    <n v="915"/>
    <x v="35"/>
    <n v="612"/>
    <n v="150"/>
    <n v="345"/>
    <n v="156"/>
    <n v="8103"/>
    <x v="63"/>
  </r>
  <r>
    <d v="2021-09-16T00:00:00"/>
    <n v="916"/>
    <x v="35"/>
    <n v="990"/>
    <n v="258"/>
    <n v="426"/>
    <n v="198"/>
    <n v="8529"/>
    <x v="64"/>
  </r>
  <r>
    <d v="2021-09-17T00:00:00"/>
    <n v="917"/>
    <x v="35"/>
    <n v="894"/>
    <n v="186"/>
    <n v="612"/>
    <n v="140"/>
    <n v="9141"/>
    <x v="65"/>
  </r>
  <r>
    <d v="2021-09-18T00:00:00"/>
    <n v="918"/>
    <x v="35"/>
    <n v="2352"/>
    <n v="414"/>
    <n v="6528"/>
    <n v="732"/>
    <n v="15669"/>
    <x v="0"/>
  </r>
  <r>
    <d v="2021-09-19T00:00:00"/>
    <n v="919"/>
    <x v="35"/>
    <n v="864"/>
    <n v="354"/>
    <n v="4575"/>
    <n v="672"/>
    <n v="20244"/>
    <x v="1"/>
  </r>
  <r>
    <d v="2021-09-20T00:00:00"/>
    <n v="920"/>
    <x v="35"/>
    <n v="774"/>
    <n v="198"/>
    <n v="2772"/>
    <n v="408"/>
    <n v="23016"/>
    <x v="2"/>
  </r>
  <r>
    <d v="2021-09-21T00:00:00"/>
    <n v="921"/>
    <x v="35"/>
    <n v="762"/>
    <n v="174"/>
    <n v="1686"/>
    <n v="426"/>
    <n v="24702"/>
    <x v="3"/>
  </r>
  <r>
    <d v="2021-09-22T00:00:00"/>
    <n v="922"/>
    <x v="35"/>
    <n v="636"/>
    <n v="108"/>
    <n v="1392"/>
    <n v="252"/>
    <n v="26094"/>
    <x v="4"/>
  </r>
  <r>
    <d v="2021-09-23T00:00:00"/>
    <n v="923"/>
    <x v="35"/>
    <n v="972"/>
    <n v="120"/>
    <n v="1596"/>
    <n v="336"/>
    <n v="27690"/>
    <x v="5"/>
  </r>
  <r>
    <d v="2021-09-24T00:00:00"/>
    <n v="924"/>
    <x v="35"/>
    <n v="510"/>
    <n v="60"/>
    <n v="636"/>
    <n v="126"/>
    <n v="28326"/>
    <x v="6"/>
  </r>
  <r>
    <d v="2021-09-25T00:00:00"/>
    <n v="925"/>
    <x v="35"/>
    <n v="312"/>
    <n v="72"/>
    <n v="474"/>
    <n v="108"/>
    <n v="28800"/>
    <x v="7"/>
  </r>
  <r>
    <d v="2021-09-26T00:00:00"/>
    <n v="926"/>
    <x v="35"/>
    <n v="324"/>
    <n v="60"/>
    <n v="828"/>
    <n v="180"/>
    <n v="29628"/>
    <x v="8"/>
  </r>
  <r>
    <d v="2021-09-27T00:00:00"/>
    <n v="927"/>
    <x v="35"/>
    <n v="384"/>
    <n v="66"/>
    <n v="2252"/>
    <n v="498"/>
    <n v="31880"/>
    <x v="9"/>
  </r>
  <r>
    <d v="2021-09-28T00:00:00"/>
    <n v="928"/>
    <x v="35"/>
    <n v="702"/>
    <n v="24"/>
    <n v="4884"/>
    <n v="774"/>
    <n v="36764"/>
    <x v="10"/>
  </r>
  <r>
    <d v="2021-09-29T00:00:00"/>
    <n v="929"/>
    <x v="35"/>
    <n v="168"/>
    <n v="36"/>
    <n v="1081"/>
    <n v="288"/>
    <n v="37845"/>
    <x v="11"/>
  </r>
  <r>
    <d v="2021-09-30T00:00:00"/>
    <n v="930"/>
    <x v="35"/>
    <n v="258"/>
    <n v="6"/>
    <n v="1296"/>
    <n v="132"/>
    <n v="39141"/>
    <x v="12"/>
  </r>
  <r>
    <d v="2021-10-01T00:00:00"/>
    <n v="1001"/>
    <x v="35"/>
    <n v="324"/>
    <n v="36"/>
    <n v="522"/>
    <n v="132"/>
    <n v="39663"/>
    <x v="13"/>
  </r>
  <r>
    <d v="2021-10-02T00:00:00"/>
    <n v="1002"/>
    <x v="35"/>
    <n v="150"/>
    <n v="6"/>
    <n v="498"/>
    <n v="126"/>
    <n v="40161"/>
    <x v="14"/>
  </r>
  <r>
    <d v="2021-10-03T00:00:00"/>
    <n v="1003"/>
    <x v="35"/>
    <n v="186"/>
    <n v="30"/>
    <n v="768"/>
    <n v="156"/>
    <n v="40929"/>
    <x v="15"/>
  </r>
  <r>
    <d v="2021-10-04T00:00:00"/>
    <n v="1004"/>
    <x v="35"/>
    <n v="343"/>
    <n v="45"/>
    <n v="1005"/>
    <n v="194"/>
    <n v="41934"/>
    <x v="16"/>
  </r>
  <r>
    <d v="2021-10-05T00:00:00"/>
    <n v="1005"/>
    <x v="35"/>
    <n v="276"/>
    <n v="30"/>
    <n v="1335"/>
    <n v="171"/>
    <n v="43269"/>
    <x v="17"/>
  </r>
  <r>
    <d v="2021-10-06T00:00:00"/>
    <n v="1006"/>
    <x v="35"/>
    <n v="504"/>
    <n v="42"/>
    <n v="1776"/>
    <n v="126"/>
    <n v="45045"/>
    <x v="18"/>
  </r>
  <r>
    <d v="2021-10-07T00:00:00"/>
    <n v="1007"/>
    <x v="35"/>
    <n v="286"/>
    <n v="29"/>
    <n v="848"/>
    <n v="114"/>
    <n v="45893"/>
    <x v="19"/>
  </r>
  <r>
    <d v="2021-10-08T00:00:00"/>
    <n v="1008"/>
    <x v="35"/>
    <n v="259"/>
    <n v="24"/>
    <n v="785"/>
    <n v="136"/>
    <n v="46678"/>
    <x v="20"/>
  </r>
  <r>
    <d v="2021-10-09T00:00:00"/>
    <n v="1009"/>
    <x v="35"/>
    <n v="201"/>
    <n v="18"/>
    <n v="1048"/>
    <n v="156"/>
    <n v="47726"/>
    <x v="21"/>
  </r>
  <r>
    <d v="2021-10-10T00:00:00"/>
    <n v="1010"/>
    <x v="35"/>
    <n v="189"/>
    <n v="25"/>
    <n v="1159"/>
    <n v="172"/>
    <n v="48885"/>
    <x v="22"/>
  </r>
  <r>
    <d v="2021-10-11T00:00:00"/>
    <n v="1011"/>
    <x v="35"/>
    <n v="157"/>
    <n v="14"/>
    <n v="1032"/>
    <n v="87"/>
    <n v="49917"/>
    <x v="23"/>
  </r>
  <r>
    <d v="2021-10-12T00:00:00"/>
    <n v="1012"/>
    <x v="35"/>
    <n v="118"/>
    <n v="7"/>
    <n v="1074"/>
    <n v="140"/>
    <n v="50991"/>
    <x v="24"/>
  </r>
  <r>
    <d v="2021-10-13T00:00:00"/>
    <n v="1013"/>
    <x v="35"/>
    <n v="176"/>
    <n v="11"/>
    <n v="959"/>
    <n v="95"/>
    <n v="51950"/>
    <x v="25"/>
  </r>
  <r>
    <d v="2021-10-14T00:00:00"/>
    <n v="1014"/>
    <x v="35"/>
    <n v="114"/>
    <n v="10"/>
    <n v="955"/>
    <n v="143"/>
    <n v="52905"/>
    <x v="26"/>
  </r>
  <r>
    <d v="2021-10-15T00:00:00"/>
    <n v="1015"/>
    <x v="35"/>
    <n v="93"/>
    <n v="10"/>
    <n v="1018"/>
    <n v="167"/>
    <n v="53923"/>
    <x v="27"/>
  </r>
  <r>
    <d v="2021-10-16T00:00:00"/>
    <n v="1016"/>
    <x v="35"/>
    <n v="120"/>
    <n v="1"/>
    <n v="536"/>
    <n v="133"/>
    <n v="54459"/>
    <x v="28"/>
  </r>
  <r>
    <d v="2021-10-17T00:00:00"/>
    <n v="1017"/>
    <x v="35"/>
    <n v="6"/>
    <n v="0"/>
    <n v="19"/>
    <n v="0"/>
    <n v="54478"/>
    <x v="29"/>
  </r>
  <r>
    <d v="2021-10-18T00:00:00"/>
    <n v="1018"/>
    <x v="35"/>
    <n v="25"/>
    <n v="2"/>
    <n v="18"/>
    <n v="1"/>
    <n v="54496"/>
    <x v="30"/>
  </r>
  <r>
    <d v="2021-10-19T00:00:00"/>
    <n v="1019"/>
    <x v="35"/>
    <n v="120"/>
    <n v="4"/>
    <n v="183"/>
    <n v="27"/>
    <n v="54679"/>
    <x v="31"/>
  </r>
  <r>
    <d v="2022-07-31T00:00:00"/>
    <n v="731"/>
    <x v="36"/>
    <n v="56"/>
    <n v="0"/>
    <n v="67"/>
    <n v="0"/>
    <n v="67"/>
    <x v="99"/>
  </r>
  <r>
    <d v="2022-08-01T00:00:00"/>
    <n v="801"/>
    <x v="36"/>
    <n v="15"/>
    <n v="0"/>
    <n v="7"/>
    <n v="0"/>
    <n v="74"/>
    <x v="100"/>
  </r>
  <r>
    <d v="2022-08-02T00:00:00"/>
    <n v="802"/>
    <x v="36"/>
    <n v="3"/>
    <n v="0"/>
    <n v="3"/>
    <n v="0"/>
    <n v="77"/>
    <x v="101"/>
  </r>
  <r>
    <d v="2022-08-03T00:00:00"/>
    <n v="803"/>
    <x v="36"/>
    <n v="0"/>
    <n v="0"/>
    <n v="0"/>
    <n v="0"/>
    <n v="77"/>
    <x v="102"/>
  </r>
  <r>
    <d v="2022-08-04T00:00:00"/>
    <n v="804"/>
    <x v="36"/>
    <n v="1"/>
    <n v="0"/>
    <n v="4"/>
    <n v="0"/>
    <n v="81"/>
    <x v="103"/>
  </r>
  <r>
    <d v="2022-08-05T00:00:00"/>
    <n v="805"/>
    <x v="36"/>
    <n v="0"/>
    <n v="0"/>
    <n v="4"/>
    <n v="0"/>
    <n v="85"/>
    <x v="104"/>
  </r>
  <r>
    <d v="2022-08-06T00:00:00"/>
    <n v="806"/>
    <x v="36"/>
    <n v="17"/>
    <n v="4"/>
    <n v="12"/>
    <n v="0"/>
    <n v="97"/>
    <x v="105"/>
  </r>
  <r>
    <d v="2022-08-07T00:00:00"/>
    <n v="807"/>
    <x v="36"/>
    <n v="7"/>
    <n v="1"/>
    <n v="42"/>
    <n v="0"/>
    <n v="139"/>
    <x v="106"/>
  </r>
  <r>
    <d v="2022-08-08T00:00:00"/>
    <n v="808"/>
    <x v="36"/>
    <n v="5"/>
    <n v="0"/>
    <n v="64"/>
    <n v="0"/>
    <n v="203"/>
    <x v="107"/>
  </r>
  <r>
    <d v="2022-08-09T00:00:00"/>
    <n v="809"/>
    <x v="36"/>
    <n v="14"/>
    <n v="2"/>
    <n v="27"/>
    <n v="0"/>
    <n v="230"/>
    <x v="108"/>
  </r>
  <r>
    <d v="2022-08-10T00:00:00"/>
    <n v="810"/>
    <x v="36"/>
    <n v="19"/>
    <n v="0"/>
    <n v="62"/>
    <n v="0"/>
    <n v="292"/>
    <x v="109"/>
  </r>
  <r>
    <d v="2022-08-11T00:00:00"/>
    <n v="811"/>
    <x v="36"/>
    <n v="60"/>
    <n v="0"/>
    <n v="26"/>
    <n v="0"/>
    <n v="318"/>
    <x v="110"/>
  </r>
  <r>
    <d v="2022-08-12T00:00:00"/>
    <n v="812"/>
    <x v="36"/>
    <n v="18"/>
    <n v="1"/>
    <n v="55"/>
    <n v="0"/>
    <n v="373"/>
    <x v="111"/>
  </r>
  <r>
    <d v="2022-08-13T00:00:00"/>
    <n v="813"/>
    <x v="36"/>
    <n v="27"/>
    <n v="0"/>
    <n v="166"/>
    <n v="0"/>
    <n v="539"/>
    <x v="112"/>
  </r>
  <r>
    <d v="2022-08-14T00:00:00"/>
    <n v="814"/>
    <x v="36"/>
    <n v="24"/>
    <n v="1"/>
    <n v="136"/>
    <n v="0"/>
    <n v="675"/>
    <x v="82"/>
  </r>
  <r>
    <d v="2022-08-15T00:00:00"/>
    <n v="815"/>
    <x v="36"/>
    <n v="59"/>
    <n v="8"/>
    <n v="195"/>
    <n v="1"/>
    <n v="870"/>
    <x v="83"/>
  </r>
  <r>
    <d v="2022-08-16T00:00:00"/>
    <n v="816"/>
    <x v="36"/>
    <n v="55"/>
    <n v="5"/>
    <n v="279"/>
    <n v="4"/>
    <n v="1149"/>
    <x v="84"/>
  </r>
  <r>
    <d v="2022-08-17T00:00:00"/>
    <n v="817"/>
    <x v="36"/>
    <n v="44"/>
    <n v="5"/>
    <n v="178"/>
    <n v="2"/>
    <n v="1327"/>
    <x v="85"/>
  </r>
  <r>
    <d v="2022-08-18T00:00:00"/>
    <n v="818"/>
    <x v="36"/>
    <n v="24"/>
    <n v="2"/>
    <n v="149"/>
    <n v="3"/>
    <n v="1476"/>
    <x v="86"/>
  </r>
  <r>
    <d v="2022-08-19T00:00:00"/>
    <n v="819"/>
    <x v="36"/>
    <n v="5"/>
    <n v="0"/>
    <n v="120"/>
    <n v="4"/>
    <n v="1596"/>
    <x v="87"/>
  </r>
  <r>
    <d v="2022-08-20T00:00:00"/>
    <n v="820"/>
    <x v="36"/>
    <n v="6"/>
    <n v="1"/>
    <n v="50"/>
    <n v="4"/>
    <n v="1646"/>
    <x v="88"/>
  </r>
  <r>
    <d v="2022-08-21T00:00:00"/>
    <n v="821"/>
    <x v="36"/>
    <n v="13"/>
    <n v="5"/>
    <n v="122"/>
    <n v="5"/>
    <n v="1768"/>
    <x v="89"/>
  </r>
  <r>
    <d v="2022-08-22T00:00:00"/>
    <n v="822"/>
    <x v="36"/>
    <n v="13"/>
    <n v="1"/>
    <n v="74"/>
    <n v="7"/>
    <n v="1842"/>
    <x v="90"/>
  </r>
  <r>
    <d v="2022-08-23T00:00:00"/>
    <n v="823"/>
    <x v="36"/>
    <n v="35"/>
    <n v="11"/>
    <n v="133"/>
    <n v="17"/>
    <n v="1975"/>
    <x v="91"/>
  </r>
  <r>
    <d v="2022-08-24T00:00:00"/>
    <n v="824"/>
    <x v="36"/>
    <n v="4"/>
    <n v="0"/>
    <n v="357"/>
    <n v="24"/>
    <n v="2332"/>
    <x v="92"/>
  </r>
  <r>
    <d v="2022-08-25T00:00:00"/>
    <n v="825"/>
    <x v="36"/>
    <n v="49"/>
    <n v="4"/>
    <n v="325"/>
    <n v="33"/>
    <n v="2657"/>
    <x v="93"/>
  </r>
  <r>
    <d v="2022-08-26T00:00:00"/>
    <n v="826"/>
    <x v="36"/>
    <n v="21"/>
    <n v="2"/>
    <n v="257"/>
    <n v="9"/>
    <n v="2914"/>
    <x v="94"/>
  </r>
  <r>
    <d v="2022-08-27T00:00:00"/>
    <n v="827"/>
    <x v="36"/>
    <n v="60"/>
    <n v="15"/>
    <n v="189"/>
    <n v="11"/>
    <n v="3103"/>
    <x v="95"/>
  </r>
  <r>
    <d v="2022-08-28T00:00:00"/>
    <n v="828"/>
    <x v="36"/>
    <n v="170"/>
    <n v="19"/>
    <n v="547"/>
    <n v="37"/>
    <n v="3650"/>
    <x v="96"/>
  </r>
  <r>
    <d v="2022-08-29T00:00:00"/>
    <n v="829"/>
    <x v="36"/>
    <n v="210"/>
    <n v="24"/>
    <n v="862"/>
    <n v="43"/>
    <n v="4512"/>
    <x v="97"/>
  </r>
  <r>
    <d v="2022-08-30T00:00:00"/>
    <n v="830"/>
    <x v="36"/>
    <n v="366"/>
    <n v="26"/>
    <n v="716"/>
    <n v="22"/>
    <n v="5228"/>
    <x v="98"/>
  </r>
  <r>
    <d v="2022-08-31T00:00:00"/>
    <n v="831"/>
    <x v="36"/>
    <n v="204"/>
    <n v="10"/>
    <n v="935"/>
    <n v="65"/>
    <n v="6163"/>
    <x v="81"/>
  </r>
  <r>
    <d v="2022-09-01T00:00:00"/>
    <n v="901"/>
    <x v="36"/>
    <n v="114"/>
    <n v="24"/>
    <n v="735"/>
    <n v="43"/>
    <n v="6898"/>
    <x v="80"/>
  </r>
  <r>
    <d v="2022-09-02T00:00:00"/>
    <n v="902"/>
    <x v="36"/>
    <n v="144"/>
    <n v="18"/>
    <n v="747"/>
    <n v="33"/>
    <n v="7645"/>
    <x v="75"/>
  </r>
  <r>
    <d v="2022-09-03T00:00:00"/>
    <n v="903"/>
    <x v="36"/>
    <n v="180"/>
    <n v="33"/>
    <n v="769"/>
    <n v="34"/>
    <n v="8414"/>
    <x v="76"/>
  </r>
  <r>
    <d v="2022-09-04T00:00:00"/>
    <n v="904"/>
    <x v="36"/>
    <n v="254"/>
    <n v="46"/>
    <n v="719"/>
    <n v="38"/>
    <n v="9133"/>
    <x v="77"/>
  </r>
  <r>
    <d v="2022-09-05T00:00:00"/>
    <n v="905"/>
    <x v="36"/>
    <n v="226"/>
    <n v="15"/>
    <n v="992"/>
    <n v="64"/>
    <n v="10125"/>
    <x v="78"/>
  </r>
  <r>
    <d v="2022-09-06T00:00:00"/>
    <n v="906"/>
    <x v="36"/>
    <n v="411"/>
    <n v="22"/>
    <n v="923"/>
    <n v="41"/>
    <n v="11048"/>
    <x v="79"/>
  </r>
  <r>
    <d v="2022-09-07T00:00:00"/>
    <n v="907"/>
    <x v="36"/>
    <n v="635"/>
    <n v="41"/>
    <n v="634"/>
    <n v="44"/>
    <n v="11682"/>
    <x v="71"/>
  </r>
  <r>
    <d v="2022-09-08T00:00:00"/>
    <n v="908"/>
    <x v="36"/>
    <n v="806"/>
    <n v="64"/>
    <n v="526"/>
    <n v="46"/>
    <n v="12208"/>
    <x v="72"/>
  </r>
  <r>
    <d v="2022-09-09T00:00:00"/>
    <n v="909"/>
    <x v="36"/>
    <n v="1069"/>
    <n v="77"/>
    <n v="385"/>
    <n v="20"/>
    <n v="12593"/>
    <x v="73"/>
  </r>
  <r>
    <d v="2022-09-10T00:00:00"/>
    <n v="910"/>
    <x v="36"/>
    <n v="839"/>
    <n v="56"/>
    <n v="560"/>
    <n v="90"/>
    <n v="13153"/>
    <x v="74"/>
  </r>
  <r>
    <d v="2022-09-11T00:00:00"/>
    <n v="911"/>
    <x v="36"/>
    <n v="856"/>
    <n v="50"/>
    <n v="728"/>
    <n v="90"/>
    <n v="13881"/>
    <x v="68"/>
  </r>
  <r>
    <d v="2022-09-12T00:00:00"/>
    <n v="912"/>
    <x v="36"/>
    <n v="962"/>
    <n v="58"/>
    <n v="822"/>
    <n v="89"/>
    <n v="14703"/>
    <x v="69"/>
  </r>
  <r>
    <d v="2022-09-13T00:00:00"/>
    <n v="913"/>
    <x v="36"/>
    <n v="840"/>
    <n v="78"/>
    <n v="931"/>
    <n v="104"/>
    <n v="15634"/>
    <x v="70"/>
  </r>
  <r>
    <d v="2022-09-14T00:00:00"/>
    <n v="914"/>
    <x v="36"/>
    <n v="1047"/>
    <n v="85"/>
    <n v="1046"/>
    <n v="208"/>
    <n v="16680"/>
    <x v="67"/>
  </r>
  <r>
    <d v="2022-09-15T00:00:00"/>
    <n v="915"/>
    <x v="36"/>
    <n v="1190"/>
    <n v="124"/>
    <n v="670"/>
    <n v="75"/>
    <n v="17350"/>
    <x v="63"/>
  </r>
  <r>
    <d v="2022-09-16T00:00:00"/>
    <n v="916"/>
    <x v="36"/>
    <n v="867"/>
    <n v="101"/>
    <n v="951"/>
    <n v="105"/>
    <n v="18301"/>
    <x v="64"/>
  </r>
  <r>
    <d v="2022-09-17T00:00:00"/>
    <n v="917"/>
    <x v="36"/>
    <n v="878"/>
    <n v="85"/>
    <n v="1076"/>
    <n v="100"/>
    <n v="19377"/>
    <x v="65"/>
  </r>
  <r>
    <d v="2022-09-18T00:00:00"/>
    <n v="918"/>
    <x v="36"/>
    <n v="731"/>
    <n v="88"/>
    <n v="824"/>
    <n v="91"/>
    <n v="20201"/>
    <x v="0"/>
  </r>
  <r>
    <d v="2022-09-19T00:00:00"/>
    <n v="919"/>
    <x v="36"/>
    <n v="1172"/>
    <n v="117"/>
    <n v="983"/>
    <n v="106"/>
    <n v="21184"/>
    <x v="1"/>
  </r>
  <r>
    <d v="2022-09-20T00:00:00"/>
    <n v="920"/>
    <x v="36"/>
    <n v="1043"/>
    <n v="145"/>
    <n v="1201"/>
    <n v="102"/>
    <n v="22385"/>
    <x v="2"/>
  </r>
  <r>
    <d v="2022-09-21T00:00:00"/>
    <n v="921"/>
    <x v="36"/>
    <n v="1032"/>
    <n v="179"/>
    <n v="1162"/>
    <n v="105"/>
    <n v="23547"/>
    <x v="3"/>
  </r>
  <r>
    <d v="2022-09-22T00:00:00"/>
    <n v="922"/>
    <x v="36"/>
    <n v="856"/>
    <n v="137"/>
    <n v="1118"/>
    <n v="111"/>
    <n v="24665"/>
    <x v="4"/>
  </r>
  <r>
    <d v="2022-09-23T00:00:00"/>
    <n v="923"/>
    <x v="36"/>
    <n v="830"/>
    <n v="122"/>
    <n v="1011"/>
    <n v="107"/>
    <n v="25676"/>
    <x v="5"/>
  </r>
  <r>
    <d v="2022-09-24T00:00:00"/>
    <n v="924"/>
    <x v="36"/>
    <n v="770"/>
    <n v="98"/>
    <n v="1050"/>
    <n v="102"/>
    <n v="26726"/>
    <x v="6"/>
  </r>
  <r>
    <d v="2022-09-25T00:00:00"/>
    <n v="925"/>
    <x v="36"/>
    <n v="599"/>
    <n v="109"/>
    <n v="1031"/>
    <n v="137"/>
    <n v="27757"/>
    <x v="7"/>
  </r>
  <r>
    <d v="2022-09-26T00:00:00"/>
    <n v="926"/>
    <x v="36"/>
    <n v="424"/>
    <n v="115"/>
    <n v="1014"/>
    <n v="119"/>
    <n v="28771"/>
    <x v="8"/>
  </r>
  <r>
    <d v="2022-09-27T00:00:00"/>
    <n v="927"/>
    <x v="36"/>
    <n v="424"/>
    <n v="118"/>
    <n v="1188"/>
    <n v="100"/>
    <n v="29959"/>
    <x v="9"/>
  </r>
  <r>
    <d v="2022-09-28T00:00:00"/>
    <n v="928"/>
    <x v="36"/>
    <n v="538"/>
    <n v="140"/>
    <n v="1377"/>
    <n v="178"/>
    <n v="31336"/>
    <x v="10"/>
  </r>
  <r>
    <d v="2022-09-29T00:00:00"/>
    <n v="929"/>
    <x v="36"/>
    <n v="406"/>
    <n v="85"/>
    <n v="1313"/>
    <n v="140"/>
    <n v="32649"/>
    <x v="11"/>
  </r>
  <r>
    <d v="2022-09-30T00:00:00"/>
    <n v="930"/>
    <x v="36"/>
    <n v="399"/>
    <n v="101"/>
    <n v="1323"/>
    <n v="107"/>
    <n v="33972"/>
    <x v="12"/>
  </r>
  <r>
    <d v="2022-10-01T00:00:00"/>
    <n v="1001"/>
    <x v="36"/>
    <n v="283"/>
    <n v="62"/>
    <n v="1423"/>
    <n v="107"/>
    <n v="35395"/>
    <x v="13"/>
  </r>
  <r>
    <d v="2022-10-02T00:00:00"/>
    <n v="1002"/>
    <x v="36"/>
    <n v="242"/>
    <n v="56"/>
    <n v="1331"/>
    <n v="98"/>
    <n v="36726"/>
    <x v="14"/>
  </r>
  <r>
    <d v="2022-10-03T00:00:00"/>
    <n v="1003"/>
    <x v="36"/>
    <n v="220"/>
    <n v="43"/>
    <n v="1302"/>
    <n v="104"/>
    <n v="38028"/>
    <x v="15"/>
  </r>
  <r>
    <d v="2022-10-04T00:00:00"/>
    <n v="1004"/>
    <x v="36"/>
    <n v="183"/>
    <n v="21"/>
    <n v="1334"/>
    <n v="57"/>
    <n v="39362"/>
    <x v="16"/>
  </r>
  <r>
    <d v="2022-10-05T00:00:00"/>
    <n v="1005"/>
    <x v="36"/>
    <n v="178"/>
    <n v="48"/>
    <n v="1246"/>
    <n v="88"/>
    <n v="40608"/>
    <x v="17"/>
  </r>
  <r>
    <d v="2022-10-06T00:00:00"/>
    <n v="1006"/>
    <x v="36"/>
    <n v="205"/>
    <n v="42"/>
    <n v="1349"/>
    <n v="93"/>
    <n v="41957"/>
    <x v="18"/>
  </r>
  <r>
    <d v="2022-10-07T00:00:00"/>
    <n v="1007"/>
    <x v="36"/>
    <n v="123"/>
    <n v="26"/>
    <n v="1345"/>
    <n v="93"/>
    <n v="43302"/>
    <x v="19"/>
  </r>
  <r>
    <d v="2022-10-08T00:00:00"/>
    <n v="1008"/>
    <x v="36"/>
    <n v="95"/>
    <n v="31"/>
    <n v="1517"/>
    <n v="128"/>
    <n v="44819"/>
    <x v="20"/>
  </r>
  <r>
    <d v="2022-10-09T00:00:00"/>
    <n v="1009"/>
    <x v="36"/>
    <n v="62"/>
    <n v="22"/>
    <n v="1436"/>
    <n v="36"/>
    <n v="46255"/>
    <x v="21"/>
  </r>
  <r>
    <d v="2022-10-10T00:00:00"/>
    <n v="1010"/>
    <x v="36"/>
    <n v="110"/>
    <n v="24"/>
    <n v="1722"/>
    <n v="130"/>
    <n v="47977"/>
    <x v="22"/>
  </r>
  <r>
    <d v="2022-10-11T00:00:00"/>
    <n v="1011"/>
    <x v="36"/>
    <n v="75"/>
    <n v="16"/>
    <n v="1848"/>
    <n v="64"/>
    <n v="49825"/>
    <x v="23"/>
  </r>
  <r>
    <d v="2022-10-12T00:00:00"/>
    <n v="1012"/>
    <x v="36"/>
    <n v="102"/>
    <n v="15"/>
    <n v="1757"/>
    <n v="114"/>
    <n v="51582"/>
    <x v="24"/>
  </r>
  <r>
    <d v="2022-10-13T00:00:00"/>
    <n v="1013"/>
    <x v="36"/>
    <n v="179"/>
    <n v="8"/>
    <n v="2205"/>
    <n v="127"/>
    <n v="53787"/>
    <x v="25"/>
  </r>
  <r>
    <d v="2022-10-14T00:00:00"/>
    <n v="1014"/>
    <x v="36"/>
    <n v="114"/>
    <n v="16"/>
    <n v="1722"/>
    <n v="110"/>
    <n v="55509"/>
    <x v="26"/>
  </r>
  <r>
    <d v="2022-10-15T00:00:00"/>
    <n v="1015"/>
    <x v="36"/>
    <n v="125"/>
    <n v="17"/>
    <n v="1519"/>
    <n v="77"/>
    <n v="57028"/>
    <x v="27"/>
  </r>
  <r>
    <d v="2022-10-16T00:00:00"/>
    <n v="1016"/>
    <x v="36"/>
    <n v="91"/>
    <n v="6"/>
    <n v="1495"/>
    <n v="84"/>
    <n v="58523"/>
    <x v="28"/>
  </r>
  <r>
    <d v="2022-10-17T00:00:00"/>
    <n v="1017"/>
    <x v="36"/>
    <n v="86"/>
    <n v="6"/>
    <n v="1942"/>
    <n v="132"/>
    <n v="60465"/>
    <x v="29"/>
  </r>
  <r>
    <d v="2022-10-18T00:00:00"/>
    <n v="1018"/>
    <x v="36"/>
    <n v="88"/>
    <n v="31"/>
    <n v="1704"/>
    <n v="117"/>
    <n v="62169"/>
    <x v="30"/>
  </r>
  <r>
    <d v="2022-10-19T00:00:00"/>
    <n v="1019"/>
    <x v="36"/>
    <n v="94"/>
    <n v="18"/>
    <n v="1791"/>
    <n v="115"/>
    <n v="63960"/>
    <x v="31"/>
  </r>
  <r>
    <d v="2022-10-20T00:00:00"/>
    <n v="1020"/>
    <x v="36"/>
    <n v="102"/>
    <n v="11"/>
    <n v="1820"/>
    <n v="129"/>
    <n v="65780"/>
    <x v="32"/>
  </r>
  <r>
    <d v="2022-10-21T00:00:00"/>
    <n v="1021"/>
    <x v="36"/>
    <n v="65"/>
    <n v="5"/>
    <n v="1069"/>
    <n v="84"/>
    <n v="66849"/>
    <x v="33"/>
  </r>
  <r>
    <d v="2022-10-22T00:00:00"/>
    <n v="1022"/>
    <x v="36"/>
    <n v="73"/>
    <n v="7"/>
    <n v="935"/>
    <n v="50"/>
    <n v="67784"/>
    <x v="34"/>
  </r>
  <r>
    <d v="2022-10-23T00:00:00"/>
    <n v="1023"/>
    <x v="36"/>
    <n v="27"/>
    <n v="4"/>
    <n v="708"/>
    <n v="50"/>
    <n v="68492"/>
    <x v="35"/>
  </r>
  <r>
    <d v="2022-10-24T00:00:00"/>
    <n v="1024"/>
    <x v="36"/>
    <n v="66"/>
    <n v="0"/>
    <n v="1095"/>
    <n v="108"/>
    <n v="69587"/>
    <x v="36"/>
  </r>
  <r>
    <d v="2022-10-25T00:00:00"/>
    <n v="1025"/>
    <x v="36"/>
    <n v="150"/>
    <n v="18"/>
    <n v="763"/>
    <n v="78"/>
    <n v="70350"/>
    <x v="37"/>
  </r>
  <r>
    <d v="2022-10-26T00:00:00"/>
    <n v="1026"/>
    <x v="36"/>
    <n v="275"/>
    <n v="9"/>
    <n v="856"/>
    <n v="56"/>
    <n v="71206"/>
    <x v="38"/>
  </r>
  <r>
    <d v="2022-10-27T00:00:00"/>
    <n v="1027"/>
    <x v="36"/>
    <n v="262"/>
    <n v="33"/>
    <n v="952"/>
    <n v="82"/>
    <n v="72158"/>
    <x v="39"/>
  </r>
  <r>
    <d v="2022-10-28T00:00:00"/>
    <n v="1028"/>
    <x v="36"/>
    <n v="559"/>
    <n v="33"/>
    <n v="439"/>
    <n v="42"/>
    <n v="72597"/>
    <x v="40"/>
  </r>
  <r>
    <d v="2022-10-29T00:00:00"/>
    <n v="1029"/>
    <x v="36"/>
    <n v="35"/>
    <n v="9"/>
    <n v="78"/>
    <n v="12"/>
    <n v="72675"/>
    <x v="41"/>
  </r>
  <r>
    <d v="2022-10-30T00:00:00"/>
    <n v="1030"/>
    <x v="36"/>
    <n v="27"/>
    <n v="1"/>
    <n v="101"/>
    <n v="6"/>
    <n v="72776"/>
    <x v="42"/>
  </r>
  <r>
    <d v="2022-10-31T00:00:00"/>
    <n v="1031"/>
    <x v="36"/>
    <n v="8"/>
    <n v="0"/>
    <n v="31"/>
    <n v="11"/>
    <n v="72807"/>
    <x v="43"/>
  </r>
  <r>
    <d v="2022-11-01T00:00:00"/>
    <n v="1101"/>
    <x v="36"/>
    <n v="60"/>
    <n v="10"/>
    <n v="31"/>
    <n v="5"/>
    <n v="72838"/>
    <x v="44"/>
  </r>
  <r>
    <d v="2022-11-02T00:00:00"/>
    <n v="1102"/>
    <x v="36"/>
    <n v="12"/>
    <n v="2"/>
    <n v="16"/>
    <n v="2"/>
    <n v="72854"/>
    <x v="45"/>
  </r>
  <r>
    <d v="2022-11-03T00:00:00"/>
    <n v="1103"/>
    <x v="36"/>
    <n v="12"/>
    <n v="1"/>
    <n v="13"/>
    <n v="2"/>
    <n v="72867"/>
    <x v="46"/>
  </r>
  <r>
    <d v="2022-11-04T00:00:00"/>
    <n v="1104"/>
    <x v="36"/>
    <n v="4"/>
    <n v="3"/>
    <n v="15"/>
    <n v="3"/>
    <n v="72882"/>
    <x v="47"/>
  </r>
  <r>
    <d v="2022-11-05T00:00:00"/>
    <n v="1105"/>
    <x v="36"/>
    <n v="17"/>
    <n v="1"/>
    <n v="6"/>
    <n v="1"/>
    <n v="72888"/>
    <x v="48"/>
  </r>
  <r>
    <d v="2022-11-06T00:00:00"/>
    <n v="1106"/>
    <x v="36"/>
    <n v="5"/>
    <n v="0"/>
    <n v="2"/>
    <n v="0"/>
    <n v="72890"/>
    <x v="49"/>
  </r>
  <r>
    <d v="2022-11-07T00:00:00"/>
    <n v="1107"/>
    <x v="36"/>
    <n v="14"/>
    <n v="2"/>
    <n v="1"/>
    <n v="2"/>
    <n v="72891"/>
    <x v="50"/>
  </r>
  <r>
    <d v="2022-11-08T00:00:00"/>
    <n v="1108"/>
    <x v="36"/>
    <n v="5"/>
    <n v="0"/>
    <n v="3"/>
    <n v="1"/>
    <n v="72894"/>
    <x v="51"/>
  </r>
  <r>
    <d v="2022-11-09T00:00:00"/>
    <n v="1109"/>
    <x v="36"/>
    <n v="1"/>
    <n v="1"/>
    <n v="1"/>
    <n v="0"/>
    <n v="72895"/>
    <x v="52"/>
  </r>
  <r>
    <d v="2022-11-10T00:00:00"/>
    <n v="1110"/>
    <x v="36"/>
    <n v="6"/>
    <n v="2"/>
    <n v="0"/>
    <n v="1"/>
    <n v="72895"/>
    <x v="53"/>
  </r>
  <r>
    <d v="2022-11-11T00:00:00"/>
    <n v="1111"/>
    <x v="36"/>
    <n v="7"/>
    <n v="2"/>
    <n v="1"/>
    <n v="0"/>
    <n v="72896"/>
    <x v="54"/>
  </r>
  <r>
    <d v="2022-11-12T00:00:00"/>
    <n v="1112"/>
    <x v="36"/>
    <n v="7"/>
    <n v="0"/>
    <n v="1"/>
    <n v="2"/>
    <n v="72897"/>
    <x v="55"/>
  </r>
  <r>
    <d v="2022-11-13T00:00:00"/>
    <n v="1113"/>
    <x v="36"/>
    <n v="7"/>
    <n v="4"/>
    <n v="0"/>
    <n v="1"/>
    <n v="72897"/>
    <x v="56"/>
  </r>
  <r>
    <d v="2022-11-14T00:00:00"/>
    <n v="1114"/>
    <x v="36"/>
    <n v="2"/>
    <n v="0"/>
    <n v="0"/>
    <n v="0"/>
    <n v="72897"/>
    <x v="57"/>
  </r>
  <r>
    <d v="2022-11-15T00:00:00"/>
    <n v="1115"/>
    <x v="36"/>
    <n v="4"/>
    <n v="0"/>
    <n v="1"/>
    <n v="0"/>
    <n v="72898"/>
    <x v="58"/>
  </r>
  <r>
    <d v="2022-11-16T00:00:00"/>
    <n v="1116"/>
    <x v="36"/>
    <n v="1"/>
    <n v="0"/>
    <n v="0"/>
    <n v="0"/>
    <n v="72898"/>
    <x v="59"/>
  </r>
  <r>
    <d v="2022-11-17T00:00:00"/>
    <n v="1117"/>
    <x v="36"/>
    <n v="1"/>
    <n v="0"/>
    <n v="0"/>
    <n v="1"/>
    <n v="72898"/>
    <x v="60"/>
  </r>
  <r>
    <d v="2022-11-18T00:00:00"/>
    <n v="1118"/>
    <x v="36"/>
    <n v="2"/>
    <n v="0"/>
    <n v="0"/>
    <n v="0"/>
    <n v="72898"/>
    <x v="61"/>
  </r>
  <r>
    <d v="2022-11-19T00:00:00"/>
    <n v="1119"/>
    <x v="36"/>
    <n v="1"/>
    <n v="0"/>
    <n v="0"/>
    <n v="0"/>
    <n v="72898"/>
    <x v="62"/>
  </r>
  <r>
    <d v="2022-11-20T00:00:00"/>
    <n v="1120"/>
    <x v="36"/>
    <n v="0"/>
    <n v="0"/>
    <n v="0"/>
    <n v="0"/>
    <n v="72898"/>
    <x v="66"/>
  </r>
  <r>
    <d v="2022-11-21T00:00:00"/>
    <n v="1121"/>
    <x v="36"/>
    <n v="3"/>
    <n v="0"/>
    <n v="0"/>
    <n v="0"/>
    <n v="72898"/>
    <x v="113"/>
  </r>
  <r>
    <d v="2022-11-22T00:00:00"/>
    <n v="1122"/>
    <x v="36"/>
    <n v="4"/>
    <n v="0"/>
    <n v="0"/>
    <n v="0"/>
    <n v="72898"/>
    <x v="114"/>
  </r>
  <r>
    <d v="2022-11-23T00:00:00"/>
    <n v="1123"/>
    <x v="36"/>
    <n v="16"/>
    <n v="2"/>
    <n v="0"/>
    <n v="0"/>
    <n v="72898"/>
    <x v="115"/>
  </r>
  <r>
    <d v="2022-11-24T00:00:00"/>
    <n v="1124"/>
    <x v="36"/>
    <n v="13"/>
    <n v="1"/>
    <n v="2"/>
    <n v="1"/>
    <n v="72900"/>
    <x v="116"/>
  </r>
  <r>
    <d v="2022-11-25T00:00:00"/>
    <n v="1125"/>
    <x v="36"/>
    <n v="6"/>
    <n v="3"/>
    <n v="1"/>
    <n v="0"/>
    <n v="72901"/>
    <x v="117"/>
  </r>
  <r>
    <d v="2022-11-26T00:00:00"/>
    <n v="1126"/>
    <x v="36"/>
    <n v="8"/>
    <n v="11"/>
    <n v="0"/>
    <n v="0"/>
    <n v="72901"/>
    <x v="118"/>
  </r>
  <r>
    <d v="2022-11-27T00:00:00"/>
    <n v="1127"/>
    <x v="36"/>
    <n v="5"/>
    <n v="21"/>
    <n v="0"/>
    <n v="1"/>
    <n v="72901"/>
    <x v="119"/>
  </r>
  <r>
    <d v="2022-11-28T00:00:00"/>
    <n v="1128"/>
    <x v="36"/>
    <n v="0"/>
    <n v="6"/>
    <n v="0"/>
    <n v="0"/>
    <n v="72901"/>
    <x v="120"/>
  </r>
  <r>
    <d v="2022-11-29T00:00:00"/>
    <n v="1129"/>
    <x v="36"/>
    <n v="0"/>
    <n v="3"/>
    <n v="0"/>
    <n v="0"/>
    <n v="72901"/>
    <x v="121"/>
  </r>
  <r>
    <d v="2022-11-30T00:00:00"/>
    <n v="1130"/>
    <x v="36"/>
    <n v="0"/>
    <n v="2"/>
    <n v="0"/>
    <n v="0"/>
    <n v="72901"/>
    <x v="122"/>
  </r>
  <r>
    <d v="2023-07-31T00:00:00"/>
    <n v="731"/>
    <x v="37"/>
    <n v="25"/>
    <n v="6"/>
    <n v="41"/>
    <n v="0"/>
    <n v="41"/>
    <x v="99"/>
  </r>
  <r>
    <d v="2023-08-01T00:00:00"/>
    <n v="801"/>
    <x v="37"/>
    <n v="0"/>
    <n v="0"/>
    <n v="9"/>
    <n v="0"/>
    <n v="50"/>
    <x v="100"/>
  </r>
  <r>
    <d v="2023-08-02T00:00:00"/>
    <n v="802"/>
    <x v="37"/>
    <n v="3"/>
    <n v="0"/>
    <n v="32"/>
    <n v="2"/>
    <n v="82"/>
    <x v="101"/>
  </r>
  <r>
    <d v="2023-08-03T00:00:00"/>
    <n v="803"/>
    <x v="37"/>
    <n v="0"/>
    <n v="0"/>
    <n v="13"/>
    <n v="1"/>
    <n v="95"/>
    <x v="102"/>
  </r>
  <r>
    <d v="2023-08-04T00:00:00"/>
    <n v="804"/>
    <x v="37"/>
    <n v="1"/>
    <n v="1"/>
    <n v="10"/>
    <n v="0"/>
    <n v="105"/>
    <x v="103"/>
  </r>
  <r>
    <d v="2023-08-05T00:00:00"/>
    <n v="805"/>
    <x v="37"/>
    <n v="7"/>
    <n v="1"/>
    <n v="26"/>
    <n v="0"/>
    <n v="131"/>
    <x v="104"/>
  </r>
  <r>
    <d v="2023-08-06T00:00:00"/>
    <n v="806"/>
    <x v="37"/>
    <n v="19"/>
    <n v="0"/>
    <n v="39"/>
    <n v="1"/>
    <n v="170"/>
    <x v="105"/>
  </r>
  <r>
    <d v="2023-08-07T00:00:00"/>
    <n v="807"/>
    <x v="37"/>
    <n v="1"/>
    <n v="0"/>
    <n v="4"/>
    <n v="0"/>
    <n v="174"/>
    <x v="106"/>
  </r>
  <r>
    <d v="2023-08-08T00:00:00"/>
    <n v="808"/>
    <x v="37"/>
    <n v="9"/>
    <n v="0"/>
    <n v="28"/>
    <n v="0"/>
    <n v="202"/>
    <x v="107"/>
  </r>
  <r>
    <d v="2023-08-09T00:00:00"/>
    <n v="809"/>
    <x v="37"/>
    <n v="3"/>
    <n v="4"/>
    <n v="14"/>
    <n v="0"/>
    <n v="216"/>
    <x v="108"/>
  </r>
  <r>
    <d v="2023-08-10T00:00:00"/>
    <n v="810"/>
    <x v="37"/>
    <n v="14"/>
    <n v="0"/>
    <n v="22"/>
    <n v="1"/>
    <n v="238"/>
    <x v="109"/>
  </r>
  <r>
    <d v="2023-08-11T00:00:00"/>
    <n v="811"/>
    <x v="37"/>
    <n v="26"/>
    <n v="0"/>
    <n v="31"/>
    <n v="0"/>
    <n v="269"/>
    <x v="110"/>
  </r>
  <r>
    <d v="2023-08-12T00:00:00"/>
    <n v="812"/>
    <x v="37"/>
    <n v="48"/>
    <n v="3"/>
    <n v="80"/>
    <n v="1"/>
    <n v="349"/>
    <x v="111"/>
  </r>
  <r>
    <d v="2023-08-13T00:00:00"/>
    <n v="813"/>
    <x v="37"/>
    <n v="23"/>
    <n v="3"/>
    <n v="63"/>
    <n v="0"/>
    <n v="412"/>
    <x v="112"/>
  </r>
  <r>
    <d v="2023-08-14T00:00:00"/>
    <n v="814"/>
    <x v="37"/>
    <n v="8"/>
    <n v="1"/>
    <n v="104"/>
    <n v="0"/>
    <n v="516"/>
    <x v="82"/>
  </r>
  <r>
    <d v="2023-08-15T00:00:00"/>
    <n v="815"/>
    <x v="37"/>
    <n v="13"/>
    <n v="0"/>
    <n v="61"/>
    <n v="1"/>
    <n v="577"/>
    <x v="83"/>
  </r>
  <r>
    <d v="2023-08-16T00:00:00"/>
    <n v="816"/>
    <x v="37"/>
    <n v="0"/>
    <n v="1"/>
    <n v="24"/>
    <n v="1"/>
    <n v="601"/>
    <x v="84"/>
  </r>
  <r>
    <d v="2023-08-17T00:00:00"/>
    <n v="817"/>
    <x v="37"/>
    <n v="0"/>
    <n v="0"/>
    <n v="20"/>
    <n v="1"/>
    <n v="621"/>
    <x v="85"/>
  </r>
  <r>
    <d v="2023-08-18T00:00:00"/>
    <n v="818"/>
    <x v="37"/>
    <n v="1"/>
    <n v="0"/>
    <n v="15"/>
    <n v="0"/>
    <n v="636"/>
    <x v="86"/>
  </r>
  <r>
    <d v="2023-08-19T00:00:00"/>
    <n v="819"/>
    <x v="37"/>
    <n v="2"/>
    <n v="1"/>
    <n v="12"/>
    <n v="0"/>
    <n v="648"/>
    <x v="87"/>
  </r>
  <r>
    <d v="2023-08-20T00:00:00"/>
    <n v="820"/>
    <x v="37"/>
    <n v="2"/>
    <n v="2"/>
    <n v="10"/>
    <n v="0"/>
    <n v="658"/>
    <x v="88"/>
  </r>
  <r>
    <d v="2023-08-21T00:00:00"/>
    <n v="821"/>
    <x v="37"/>
    <n v="22"/>
    <n v="17"/>
    <n v="28"/>
    <n v="1"/>
    <n v="686"/>
    <x v="89"/>
  </r>
  <r>
    <d v="2023-08-22T00:00:00"/>
    <n v="822"/>
    <x v="37"/>
    <n v="141"/>
    <n v="25"/>
    <n v="216"/>
    <n v="10"/>
    <n v="902"/>
    <x v="90"/>
  </r>
  <r>
    <d v="2023-08-23T00:00:00"/>
    <n v="823"/>
    <x v="37"/>
    <n v="114"/>
    <n v="4"/>
    <n v="650"/>
    <n v="4"/>
    <n v="1552"/>
    <x v="91"/>
  </r>
  <r>
    <d v="2023-08-24T00:00:00"/>
    <n v="824"/>
    <x v="37"/>
    <n v="94"/>
    <n v="24"/>
    <n v="587"/>
    <n v="9"/>
    <n v="2139"/>
    <x v="92"/>
  </r>
  <r>
    <d v="2023-08-25T00:00:00"/>
    <n v="825"/>
    <x v="37"/>
    <n v="152"/>
    <n v="14"/>
    <n v="746"/>
    <n v="8"/>
    <n v="2885"/>
    <x v="93"/>
  </r>
  <r>
    <d v="2023-08-26T00:00:00"/>
    <n v="826"/>
    <x v="37"/>
    <n v="145"/>
    <n v="21"/>
    <n v="673"/>
    <n v="11"/>
    <n v="3558"/>
    <x v="94"/>
  </r>
  <r>
    <d v="2023-08-27T00:00:00"/>
    <n v="827"/>
    <x v="37"/>
    <n v="197"/>
    <n v="41"/>
    <n v="1014"/>
    <n v="11"/>
    <n v="4572"/>
    <x v="95"/>
  </r>
  <r>
    <d v="2023-08-28T00:00:00"/>
    <n v="828"/>
    <x v="37"/>
    <n v="168"/>
    <n v="42"/>
    <n v="1068"/>
    <n v="24"/>
    <n v="5640"/>
    <x v="96"/>
  </r>
  <r>
    <d v="2023-08-29T00:00:00"/>
    <n v="829"/>
    <x v="37"/>
    <n v="130"/>
    <n v="35"/>
    <n v="873"/>
    <n v="25"/>
    <n v="6513"/>
    <x v="97"/>
  </r>
  <r>
    <d v="2023-08-30T00:00:00"/>
    <n v="830"/>
    <x v="37"/>
    <n v="226"/>
    <n v="27"/>
    <n v="728"/>
    <n v="13"/>
    <n v="7241"/>
    <x v="98"/>
  </r>
  <r>
    <d v="2023-08-31T00:00:00"/>
    <n v="831"/>
    <x v="37"/>
    <n v="337"/>
    <n v="54"/>
    <n v="1071"/>
    <n v="32"/>
    <n v="8312"/>
    <x v="81"/>
  </r>
  <r>
    <d v="2023-09-01T00:00:00"/>
    <n v="901"/>
    <x v="37"/>
    <n v="385"/>
    <n v="42"/>
    <n v="630"/>
    <n v="14"/>
    <n v="8942"/>
    <x v="80"/>
  </r>
  <r>
    <d v="2023-09-02T00:00:00"/>
    <n v="902"/>
    <x v="37"/>
    <n v="422"/>
    <n v="50"/>
    <n v="615"/>
    <n v="14"/>
    <n v="9557"/>
    <x v="75"/>
  </r>
  <r>
    <d v="2023-09-03T00:00:00"/>
    <n v="903"/>
    <x v="37"/>
    <n v="460"/>
    <n v="57"/>
    <n v="600"/>
    <n v="14"/>
    <n v="10157"/>
    <x v="76"/>
  </r>
  <r>
    <d v="2023-09-04T00:00:00"/>
    <n v="904"/>
    <x v="37"/>
    <n v="497"/>
    <n v="65"/>
    <n v="586"/>
    <n v="14"/>
    <n v="10743"/>
    <x v="77"/>
  </r>
  <r>
    <d v="2023-09-05T00:00:00"/>
    <n v="905"/>
    <x v="37"/>
    <n v="586"/>
    <n v="66"/>
    <n v="680"/>
    <n v="20"/>
    <n v="11423"/>
    <x v="78"/>
  </r>
  <r>
    <d v="2023-09-06T00:00:00"/>
    <n v="906"/>
    <x v="37"/>
    <n v="510"/>
    <n v="43"/>
    <n v="1123"/>
    <n v="23"/>
    <n v="12546"/>
    <x v="79"/>
  </r>
  <r>
    <d v="2023-09-07T00:00:00"/>
    <n v="907"/>
    <x v="37"/>
    <n v="222"/>
    <n v="38"/>
    <n v="1575"/>
    <n v="36"/>
    <n v="14121"/>
    <x v="71"/>
  </r>
  <r>
    <d v="2023-09-08T00:00:00"/>
    <n v="908"/>
    <x v="37"/>
    <n v="414"/>
    <n v="57"/>
    <n v="816"/>
    <n v="21"/>
    <n v="14937"/>
    <x v="72"/>
  </r>
  <r>
    <d v="2023-09-09T00:00:00"/>
    <n v="909"/>
    <x v="37"/>
    <n v="365"/>
    <n v="24"/>
    <n v="823"/>
    <n v="13"/>
    <n v="15760"/>
    <x v="73"/>
  </r>
  <r>
    <d v="2023-09-10T00:00:00"/>
    <n v="910"/>
    <x v="37"/>
    <n v="793"/>
    <n v="97"/>
    <n v="1090"/>
    <n v="27"/>
    <n v="16850"/>
    <x v="74"/>
  </r>
  <r>
    <d v="2023-09-11T00:00:00"/>
    <n v="911"/>
    <x v="37"/>
    <n v="403"/>
    <n v="54"/>
    <n v="907"/>
    <n v="26"/>
    <n v="17757"/>
    <x v="68"/>
  </r>
  <r>
    <d v="2023-09-12T00:00:00"/>
    <n v="912"/>
    <x v="37"/>
    <n v="583"/>
    <n v="97"/>
    <n v="850"/>
    <n v="47"/>
    <n v="18607"/>
    <x v="69"/>
  </r>
  <r>
    <d v="2023-09-13T00:00:00"/>
    <n v="913"/>
    <x v="37"/>
    <n v="385"/>
    <n v="75"/>
    <n v="932"/>
    <n v="32"/>
    <n v="19539"/>
    <x v="70"/>
  </r>
  <r>
    <d v="2023-09-14T00:00:00"/>
    <n v="914"/>
    <x v="37"/>
    <n v="418"/>
    <n v="119"/>
    <n v="1011"/>
    <n v="68"/>
    <n v="20550"/>
    <x v="67"/>
  </r>
  <r>
    <d v="2023-09-15T00:00:00"/>
    <n v="915"/>
    <x v="37"/>
    <n v="456"/>
    <n v="97"/>
    <n v="711"/>
    <n v="32"/>
    <n v="21261"/>
    <x v="63"/>
  </r>
  <r>
    <d v="2023-09-16T00:00:00"/>
    <n v="916"/>
    <x v="37"/>
    <n v="377"/>
    <n v="113"/>
    <n v="867"/>
    <n v="30"/>
    <n v="22128"/>
    <x v="64"/>
  </r>
  <r>
    <d v="2023-09-17T00:00:00"/>
    <n v="917"/>
    <x v="37"/>
    <n v="358"/>
    <n v="61"/>
    <n v="1047"/>
    <n v="40"/>
    <n v="23175"/>
    <x v="65"/>
  </r>
  <r>
    <d v="2023-09-18T00:00:00"/>
    <n v="918"/>
    <x v="37"/>
    <n v="258"/>
    <n v="54"/>
    <n v="994"/>
    <n v="62"/>
    <n v="24169"/>
    <x v="0"/>
  </r>
  <r>
    <d v="2023-09-19T00:00:00"/>
    <n v="919"/>
    <x v="37"/>
    <n v="386"/>
    <n v="105"/>
    <n v="959"/>
    <n v="63"/>
    <n v="25128"/>
    <x v="1"/>
  </r>
  <r>
    <d v="2023-09-20T00:00:00"/>
    <n v="920"/>
    <x v="37"/>
    <n v="331"/>
    <n v="59"/>
    <n v="1083"/>
    <n v="53"/>
    <n v="26211"/>
    <x v="2"/>
  </r>
  <r>
    <d v="2023-09-21T00:00:00"/>
    <n v="921"/>
    <x v="37"/>
    <n v="216"/>
    <n v="53"/>
    <n v="1029"/>
    <n v="71"/>
    <n v="27240"/>
    <x v="3"/>
  </r>
  <r>
    <d v="2023-09-22T00:00:00"/>
    <n v="922"/>
    <x v="37"/>
    <n v="269"/>
    <n v="64"/>
    <n v="664"/>
    <n v="36"/>
    <n v="27904"/>
    <x v="4"/>
  </r>
  <r>
    <d v="2023-09-23T00:00:00"/>
    <n v="923"/>
    <x v="37"/>
    <n v="333"/>
    <n v="83"/>
    <n v="889"/>
    <n v="43"/>
    <n v="28793"/>
    <x v="5"/>
  </r>
  <r>
    <d v="2023-09-24T00:00:00"/>
    <n v="924"/>
    <x v="37"/>
    <n v="386"/>
    <n v="102"/>
    <n v="1016"/>
    <n v="40"/>
    <n v="29809"/>
    <x v="6"/>
  </r>
  <r>
    <d v="2023-09-25T00:00:00"/>
    <n v="925"/>
    <x v="37"/>
    <n v="550"/>
    <n v="53"/>
    <n v="1037"/>
    <n v="31"/>
    <n v="30846"/>
    <x v="7"/>
  </r>
  <r>
    <d v="2023-09-26T00:00:00"/>
    <n v="926"/>
    <x v="37"/>
    <n v="347"/>
    <n v="33"/>
    <n v="5006"/>
    <n v="147"/>
    <n v="35852"/>
    <x v="8"/>
  </r>
  <r>
    <d v="2023-09-27T00:00:00"/>
    <n v="927"/>
    <x v="37"/>
    <n v="777"/>
    <n v="22"/>
    <n v="13553"/>
    <n v="419"/>
    <n v="49405"/>
    <x v="9"/>
  </r>
  <r>
    <d v="2023-09-28T00:00:00"/>
    <n v="928"/>
    <x v="37"/>
    <n v="917"/>
    <n v="61"/>
    <n v="11604"/>
    <n v="559"/>
    <n v="61009"/>
    <x v="10"/>
  </r>
  <r>
    <d v="2023-09-29T00:00:00"/>
    <n v="929"/>
    <x v="37"/>
    <n v="410"/>
    <n v="64"/>
    <n v="2541"/>
    <n v="103"/>
    <n v="63550"/>
    <x v="11"/>
  </r>
  <r>
    <d v="2023-09-30T00:00:00"/>
    <n v="930"/>
    <x v="37"/>
    <n v="339"/>
    <n v="48"/>
    <n v="1531"/>
    <n v="68"/>
    <n v="65081"/>
    <x v="12"/>
  </r>
  <r>
    <d v="2023-10-01T00:00:00"/>
    <n v="1001"/>
    <x v="37"/>
    <n v="363"/>
    <n v="67"/>
    <n v="1596"/>
    <n v="92"/>
    <n v="66677"/>
    <x v="13"/>
  </r>
  <r>
    <d v="2023-10-02T00:00:00"/>
    <n v="1002"/>
    <x v="37"/>
    <n v="237"/>
    <n v="45"/>
    <n v="1461"/>
    <n v="87"/>
    <n v="68138"/>
    <x v="14"/>
  </r>
  <r>
    <d v="2023-10-03T00:00:00"/>
    <n v="1003"/>
    <x v="37"/>
    <n v="334"/>
    <n v="70"/>
    <n v="1533"/>
    <n v="89"/>
    <n v="69671"/>
    <x v="15"/>
  </r>
  <r>
    <d v="2023-10-04T00:00:00"/>
    <n v="1004"/>
    <x v="37"/>
    <n v="306"/>
    <n v="74"/>
    <n v="1312"/>
    <n v="69"/>
    <n v="70983"/>
    <x v="16"/>
  </r>
  <r>
    <d v="2023-10-05T00:00:00"/>
    <n v="1005"/>
    <x v="37"/>
    <n v="303"/>
    <n v="79"/>
    <n v="1506"/>
    <n v="76"/>
    <n v="72489"/>
    <x v="17"/>
  </r>
  <r>
    <d v="2023-10-06T00:00:00"/>
    <n v="1006"/>
    <x v="37"/>
    <n v="189"/>
    <n v="49"/>
    <n v="1341"/>
    <n v="55"/>
    <n v="73830"/>
    <x v="18"/>
  </r>
  <r>
    <d v="2023-10-07T00:00:00"/>
    <n v="1007"/>
    <x v="37"/>
    <n v="103"/>
    <n v="24"/>
    <n v="1452"/>
    <n v="67"/>
    <n v="75282"/>
    <x v="19"/>
  </r>
  <r>
    <d v="2023-10-08T00:00:00"/>
    <n v="1008"/>
    <x v="37"/>
    <n v="208"/>
    <n v="31"/>
    <n v="1651"/>
    <n v="94"/>
    <n v="76933"/>
    <x v="20"/>
  </r>
  <r>
    <d v="2023-10-09T00:00:00"/>
    <n v="1009"/>
    <x v="37"/>
    <n v="245"/>
    <n v="26"/>
    <n v="4070"/>
    <n v="150"/>
    <n v="81003"/>
    <x v="21"/>
  </r>
  <r>
    <d v="2023-10-10T00:00:00"/>
    <n v="1010"/>
    <x v="37"/>
    <n v="206"/>
    <n v="45"/>
    <n v="3533"/>
    <n v="109"/>
    <n v="84536"/>
    <x v="22"/>
  </r>
  <r>
    <d v="2023-10-11T00:00:00"/>
    <n v="1011"/>
    <x v="37"/>
    <n v="256"/>
    <n v="34"/>
    <n v="3178"/>
    <n v="150"/>
    <n v="87714"/>
    <x v="23"/>
  </r>
  <r>
    <d v="2023-10-12T00:00:00"/>
    <n v="1012"/>
    <x v="37"/>
    <n v="166"/>
    <n v="41"/>
    <n v="2927"/>
    <n v="150"/>
    <n v="90641"/>
    <x v="24"/>
  </r>
  <r>
    <d v="2023-10-13T00:00:00"/>
    <n v="1013"/>
    <x v="37"/>
    <n v="79"/>
    <n v="23"/>
    <n v="1607"/>
    <n v="88"/>
    <n v="92248"/>
    <x v="25"/>
  </r>
  <r>
    <d v="2023-10-14T00:00:00"/>
    <n v="1014"/>
    <x v="37"/>
    <n v="87"/>
    <n v="10"/>
    <n v="1776"/>
    <n v="79"/>
    <n v="94024"/>
    <x v="26"/>
  </r>
  <r>
    <d v="2023-10-15T00:00:00"/>
    <n v="1015"/>
    <x v="37"/>
    <n v="120"/>
    <n v="10"/>
    <n v="1179"/>
    <n v="64"/>
    <n v="95203"/>
    <x v="27"/>
  </r>
  <r>
    <d v="2023-10-16T00:00:00"/>
    <n v="1016"/>
    <x v="37"/>
    <n v="46"/>
    <n v="2"/>
    <n v="516"/>
    <n v="19"/>
    <n v="95719"/>
    <x v="28"/>
  </r>
  <r>
    <d v="2023-10-17T00:00:00"/>
    <n v="1017"/>
    <x v="37"/>
    <n v="41"/>
    <n v="2"/>
    <n v="418"/>
    <n v="15"/>
    <n v="96137"/>
    <x v="29"/>
  </r>
  <r>
    <d v="2023-10-18T00:00:00"/>
    <n v="1018"/>
    <x v="37"/>
    <n v="37"/>
    <n v="2"/>
    <n v="368"/>
    <n v="13"/>
    <n v="96505"/>
    <x v="30"/>
  </r>
  <r>
    <d v="2023-10-19T00:00:00"/>
    <n v="1019"/>
    <x v="37"/>
    <n v="32"/>
    <n v="1"/>
    <n v="318"/>
    <n v="12"/>
    <n v="96823"/>
    <x v="31"/>
  </r>
  <r>
    <d v="2023-10-20T00:00:00"/>
    <n v="1020"/>
    <x v="37"/>
    <n v="28"/>
    <n v="1"/>
    <n v="268"/>
    <n v="10"/>
    <n v="97091"/>
    <x v="32"/>
  </r>
  <r>
    <d v="2023-10-21T00:00:00"/>
    <n v="1021"/>
    <x v="37"/>
    <n v="24"/>
    <n v="1"/>
    <n v="218"/>
    <n v="8"/>
    <n v="97309"/>
    <x v="33"/>
  </r>
  <r>
    <d v="2023-10-22T00:00:00"/>
    <n v="1022"/>
    <x v="37"/>
    <n v="19"/>
    <n v="1"/>
    <n v="168"/>
    <n v="6"/>
    <n v="97477"/>
    <x v="34"/>
  </r>
  <r>
    <d v="2023-10-23T00:00:00"/>
    <n v="1023"/>
    <x v="37"/>
    <n v="15"/>
    <n v="1"/>
    <n v="118"/>
    <n v="5"/>
    <n v="97595"/>
    <x v="35"/>
  </r>
  <r>
    <d v="2023-10-24T00:00:00"/>
    <n v="1024"/>
    <x v="37"/>
    <n v="10"/>
    <n v="0"/>
    <n v="68"/>
    <n v="3"/>
    <n v="97663"/>
    <x v="36"/>
  </r>
  <r>
    <d v="2023-10-25T00:00:00"/>
    <n v="1025"/>
    <x v="37"/>
    <n v="6"/>
    <n v="0"/>
    <n v="18"/>
    <n v="1"/>
    <n v="97681"/>
    <x v="37"/>
  </r>
  <r>
    <d v="2023-10-26T00:00:00"/>
    <n v="1026"/>
    <x v="37"/>
    <n v="42"/>
    <n v="0"/>
    <n v="18"/>
    <n v="1"/>
    <n v="97699"/>
    <x v="38"/>
  </r>
  <r>
    <d v="2023-10-27T00:00:00"/>
    <n v="1027"/>
    <x v="37"/>
    <n v="28"/>
    <n v="2"/>
    <n v="23"/>
    <n v="5"/>
    <n v="97722"/>
    <x v="39"/>
  </r>
  <r>
    <d v="2023-10-28T00:00:00"/>
    <n v="1028"/>
    <x v="37"/>
    <n v="14"/>
    <n v="0"/>
    <n v="100"/>
    <n v="4"/>
    <n v="97822"/>
    <x v="40"/>
  </r>
  <r>
    <d v="2023-10-29T00:00:00"/>
    <n v="1029"/>
    <x v="37"/>
    <n v="17"/>
    <n v="1"/>
    <n v="110"/>
    <n v="4"/>
    <n v="97932"/>
    <x v="41"/>
  </r>
  <r>
    <d v="2023-10-30T00:00:00"/>
    <n v="1030"/>
    <x v="37"/>
    <n v="5"/>
    <n v="1"/>
    <n v="41"/>
    <n v="6"/>
    <n v="97973"/>
    <x v="42"/>
  </r>
  <r>
    <d v="2023-10-31T00:00:00"/>
    <n v="1031"/>
    <x v="37"/>
    <n v="7"/>
    <n v="0"/>
    <n v="36"/>
    <n v="5"/>
    <n v="98009"/>
    <x v="43"/>
  </r>
  <r>
    <d v="2023-11-01T00:00:00"/>
    <n v="1101"/>
    <x v="37"/>
    <n v="11"/>
    <n v="2"/>
    <n v="25"/>
    <n v="6"/>
    <n v="98034"/>
    <x v="44"/>
  </r>
  <r>
    <d v="2023-11-02T00:00:00"/>
    <n v="1102"/>
    <x v="37"/>
    <n v="11"/>
    <n v="4"/>
    <n v="29"/>
    <n v="6"/>
    <n v="98063"/>
    <x v="45"/>
  </r>
  <r>
    <d v="2023-11-03T00:00:00"/>
    <n v="1103"/>
    <x v="37"/>
    <n v="52"/>
    <n v="6"/>
    <n v="9"/>
    <n v="0"/>
    <n v="98072"/>
    <x v="46"/>
  </r>
  <r>
    <d v="2023-11-04T00:00:00"/>
    <n v="1104"/>
    <x v="37"/>
    <n v="2"/>
    <n v="0"/>
    <n v="2"/>
    <n v="0"/>
    <n v="98074"/>
    <x v="47"/>
  </r>
  <r>
    <d v="2024-08-01T00:00:00"/>
    <n v="801"/>
    <x v="38"/>
    <n v="16"/>
    <n v="0"/>
    <n v="39"/>
    <n v="0"/>
    <n v="39"/>
    <x v="100"/>
  </r>
  <r>
    <d v="2024-08-02T00:00:00"/>
    <n v="802"/>
    <x v="38"/>
    <n v="3"/>
    <n v="1"/>
    <n v="13"/>
    <n v="0"/>
    <n v="52"/>
    <x v="101"/>
  </r>
  <r>
    <d v="2024-08-03T00:00:00"/>
    <n v="803"/>
    <x v="38"/>
    <n v="0"/>
    <n v="0"/>
    <n v="10"/>
    <n v="0"/>
    <n v="62"/>
    <x v="102"/>
  </r>
  <r>
    <d v="2024-08-04T00:00:00"/>
    <n v="804"/>
    <x v="38"/>
    <n v="0"/>
    <n v="0"/>
    <n v="16"/>
    <n v="2"/>
    <n v="78"/>
    <x v="103"/>
  </r>
  <r>
    <d v="2024-08-05T00:00:00"/>
    <n v="805"/>
    <x v="38"/>
    <n v="1"/>
    <n v="0"/>
    <n v="11"/>
    <n v="0"/>
    <n v="89"/>
    <x v="104"/>
  </r>
  <r>
    <d v="2024-08-06T00:00:00"/>
    <n v="806"/>
    <x v="38"/>
    <n v="1"/>
    <n v="0"/>
    <n v="8"/>
    <n v="0"/>
    <n v="97"/>
    <x v="105"/>
  </r>
  <r>
    <d v="2024-08-07T00:00:00"/>
    <n v="807"/>
    <x v="38"/>
    <n v="5"/>
    <n v="0"/>
    <n v="9"/>
    <n v="0"/>
    <n v="106"/>
    <x v="106"/>
  </r>
  <r>
    <d v="2024-08-08T00:00:00"/>
    <n v="808"/>
    <x v="38"/>
    <n v="8"/>
    <n v="0"/>
    <n v="26"/>
    <n v="0"/>
    <n v="132"/>
    <x v="107"/>
  </r>
  <r>
    <d v="2024-08-09T00:00:00"/>
    <n v="809"/>
    <x v="38"/>
    <n v="7"/>
    <n v="0"/>
    <n v="33"/>
    <n v="1"/>
    <n v="165"/>
    <x v="108"/>
  </r>
  <r>
    <d v="2024-08-10T00:00:00"/>
    <n v="810"/>
    <x v="38"/>
    <n v="5"/>
    <n v="0"/>
    <n v="18"/>
    <n v="0"/>
    <n v="183"/>
    <x v="109"/>
  </r>
  <r>
    <d v="2024-08-11T00:00:00"/>
    <n v="811"/>
    <x v="38"/>
    <n v="6"/>
    <n v="2"/>
    <n v="7"/>
    <n v="0"/>
    <n v="190"/>
    <x v="110"/>
  </r>
  <r>
    <d v="2024-08-12T00:00:00"/>
    <n v="812"/>
    <x v="38"/>
    <n v="14"/>
    <n v="2"/>
    <n v="30"/>
    <n v="1"/>
    <n v="220"/>
    <x v="111"/>
  </r>
  <r>
    <d v="2024-08-13T00:00:00"/>
    <n v="813"/>
    <x v="38"/>
    <n v="3"/>
    <n v="0"/>
    <n v="45"/>
    <n v="1"/>
    <n v="265"/>
    <x v="112"/>
  </r>
  <r>
    <d v="2024-08-14T00:00:00"/>
    <n v="814"/>
    <x v="38"/>
    <n v="26"/>
    <n v="10"/>
    <n v="36"/>
    <n v="2"/>
    <n v="301"/>
    <x v="82"/>
  </r>
  <r>
    <d v="2024-08-15T00:00:00"/>
    <n v="815"/>
    <x v="38"/>
    <n v="69"/>
    <n v="4"/>
    <n v="122"/>
    <n v="12"/>
    <n v="423"/>
    <x v="83"/>
  </r>
  <r>
    <d v="2024-08-16T00:00:00"/>
    <n v="816"/>
    <x v="38"/>
    <n v="76"/>
    <n v="10"/>
    <n v="161"/>
    <n v="4"/>
    <n v="584"/>
    <x v="84"/>
  </r>
  <r>
    <d v="2024-08-17T00:00:00"/>
    <n v="817"/>
    <x v="38"/>
    <n v="62"/>
    <n v="12"/>
    <n v="181"/>
    <n v="8"/>
    <n v="765"/>
    <x v="85"/>
  </r>
  <r>
    <d v="2024-08-18T00:00:00"/>
    <n v="818"/>
    <x v="38"/>
    <n v="76"/>
    <n v="2"/>
    <n v="195"/>
    <n v="7"/>
    <n v="960"/>
    <x v="86"/>
  </r>
  <r>
    <d v="2024-08-19T00:00:00"/>
    <n v="819"/>
    <x v="38"/>
    <n v="13"/>
    <n v="0"/>
    <n v="284"/>
    <n v="7"/>
    <n v="1244"/>
    <x v="87"/>
  </r>
  <r>
    <d v="2024-08-20T00:00:00"/>
    <n v="820"/>
    <x v="38"/>
    <n v="58"/>
    <n v="4"/>
    <n v="214"/>
    <n v="9"/>
    <n v="1458"/>
    <x v="88"/>
  </r>
  <r>
    <d v="2024-08-21T00:00:00"/>
    <n v="821"/>
    <x v="38"/>
    <n v="208"/>
    <n v="14"/>
    <n v="632"/>
    <n v="19"/>
    <n v="2090"/>
    <x v="89"/>
  </r>
  <r>
    <d v="2024-08-22T00:00:00"/>
    <n v="822"/>
    <x v="38"/>
    <n v="231"/>
    <n v="19"/>
    <n v="552"/>
    <n v="18"/>
    <n v="2642"/>
    <x v="90"/>
  </r>
  <r>
    <d v="2024-08-23T00:00:00"/>
    <n v="823"/>
    <x v="38"/>
    <n v="293"/>
    <n v="40"/>
    <n v="429"/>
    <n v="15"/>
    <n v="3071"/>
    <x v="91"/>
  </r>
  <r>
    <d v="2024-08-24T00:00:00"/>
    <n v="824"/>
    <x v="38"/>
    <n v="354"/>
    <n v="61"/>
    <n v="307"/>
    <n v="12"/>
    <n v="3378"/>
    <x v="92"/>
  </r>
  <r>
    <d v="2024-08-25T00:00:00"/>
    <n v="825"/>
    <x v="38"/>
    <n v="416"/>
    <n v="82"/>
    <n v="184"/>
    <n v="10"/>
    <n v="3562"/>
    <x v="93"/>
  </r>
  <r>
    <d v="2024-08-26T00:00:00"/>
    <n v="826"/>
    <x v="38"/>
    <n v="231"/>
    <n v="32"/>
    <n v="142"/>
    <n v="8"/>
    <n v="3704"/>
    <x v="94"/>
  </r>
  <r>
    <d v="2024-08-27T00:00:00"/>
    <n v="827"/>
    <x v="38"/>
    <n v="386"/>
    <n v="69"/>
    <n v="190"/>
    <n v="12"/>
    <n v="3894"/>
    <x v="95"/>
  </r>
  <r>
    <d v="2024-08-28T00:00:00"/>
    <n v="828"/>
    <x v="38"/>
    <n v="388"/>
    <n v="68"/>
    <n v="198"/>
    <n v="12"/>
    <n v="4092"/>
    <x v="96"/>
  </r>
  <r>
    <d v="2024-08-29T00:00:00"/>
    <n v="829"/>
    <x v="38"/>
    <n v="196"/>
    <n v="45"/>
    <n v="266"/>
    <n v="26"/>
    <n v="4358"/>
    <x v="97"/>
  </r>
  <r>
    <d v="2024-08-30T00:00:00"/>
    <n v="830"/>
    <x v="38"/>
    <n v="231"/>
    <n v="58"/>
    <n v="369"/>
    <n v="28"/>
    <n v="4727"/>
    <x v="98"/>
  </r>
  <r>
    <d v="2024-08-31T00:00:00"/>
    <n v="831"/>
    <x v="38"/>
    <n v="188"/>
    <n v="71"/>
    <n v="352"/>
    <n v="47"/>
    <n v="5079"/>
    <x v="81"/>
  </r>
  <r>
    <d v="2024-09-01T00:00:00"/>
    <n v="901"/>
    <x v="38"/>
    <n v="107"/>
    <n v="37"/>
    <n v="726"/>
    <n v="52"/>
    <n v="5805"/>
    <x v="80"/>
  </r>
  <r>
    <d v="2024-09-02T00:00:00"/>
    <n v="902"/>
    <x v="38"/>
    <n v="257"/>
    <n v="53"/>
    <n v="860"/>
    <n v="61"/>
    <n v="6665"/>
    <x v="75"/>
  </r>
  <r>
    <d v="2024-09-03T00:00:00"/>
    <n v="903"/>
    <x v="38"/>
    <n v="89"/>
    <n v="24"/>
    <n v="845"/>
    <n v="85"/>
    <n v="7510"/>
    <x v="76"/>
  </r>
  <r>
    <d v="2024-09-04T00:00:00"/>
    <n v="904"/>
    <x v="38"/>
    <n v="339"/>
    <n v="101"/>
    <n v="605"/>
    <n v="148"/>
    <n v="8115"/>
    <x v="77"/>
  </r>
  <r>
    <d v="2024-09-05T00:00:00"/>
    <n v="905"/>
    <x v="38"/>
    <n v="451"/>
    <n v="119"/>
    <n v="696"/>
    <n v="160"/>
    <n v="8811"/>
    <x v="78"/>
  </r>
  <r>
    <d v="2024-09-06T00:00:00"/>
    <n v="906"/>
    <x v="38"/>
    <n v="222"/>
    <n v="38"/>
    <n v="402"/>
    <n v="53"/>
    <n v="9213"/>
    <x v="79"/>
  </r>
  <r>
    <d v="2024-09-07T00:00:00"/>
    <n v="907"/>
    <x v="38"/>
    <n v="94"/>
    <n v="39"/>
    <n v="164"/>
    <n v="47"/>
    <n v="9377"/>
    <x v="71"/>
  </r>
  <r>
    <d v="2024-09-08T00:00:00"/>
    <n v="908"/>
    <x v="38"/>
    <n v="161"/>
    <n v="81"/>
    <n v="372"/>
    <n v="64"/>
    <n v="9749"/>
    <x v="72"/>
  </r>
  <r>
    <d v="2024-09-09T00:00:00"/>
    <n v="909"/>
    <x v="38"/>
    <n v="117"/>
    <n v="96"/>
    <n v="374"/>
    <n v="58"/>
    <n v="10123"/>
    <x v="73"/>
  </r>
  <r>
    <d v="2024-09-10T00:00:00"/>
    <n v="910"/>
    <x v="38"/>
    <n v="167"/>
    <n v="70"/>
    <n v="386"/>
    <n v="87"/>
    <n v="10509"/>
    <x v="74"/>
  </r>
  <r>
    <d v="2024-09-11T00:00:00"/>
    <n v="911"/>
    <x v="38"/>
    <n v="274"/>
    <n v="123"/>
    <n v="351"/>
    <n v="120"/>
    <n v="10860"/>
    <x v="68"/>
  </r>
  <r>
    <d v="2024-09-12T00:00:00"/>
    <n v="912"/>
    <x v="38"/>
    <n v="193"/>
    <n v="115"/>
    <n v="271"/>
    <n v="92"/>
    <n v="11131"/>
    <x v="69"/>
  </r>
  <r>
    <d v="2024-09-13T00:00:00"/>
    <n v="913"/>
    <x v="38"/>
    <n v="264"/>
    <n v="112"/>
    <n v="250"/>
    <n v="88"/>
    <n v="11381"/>
    <x v="70"/>
  </r>
  <r>
    <d v="2024-09-14T00:00:00"/>
    <n v="914"/>
    <x v="38"/>
    <n v="684"/>
    <n v="219"/>
    <n v="364"/>
    <n v="97"/>
    <n v="11745"/>
    <x v="67"/>
  </r>
  <r>
    <d v="2024-09-15T00:00:00"/>
    <n v="915"/>
    <x v="38"/>
    <n v="628"/>
    <n v="191"/>
    <n v="350"/>
    <n v="116"/>
    <n v="12095"/>
    <x v="63"/>
  </r>
  <r>
    <d v="2024-09-16T00:00:00"/>
    <n v="916"/>
    <x v="38"/>
    <n v="422"/>
    <n v="158"/>
    <n v="256"/>
    <n v="64"/>
    <n v="12351"/>
    <x v="64"/>
  </r>
  <r>
    <d v="2024-09-17T00:00:00"/>
    <n v="917"/>
    <x v="38"/>
    <n v="216"/>
    <n v="91"/>
    <n v="273"/>
    <n v="68"/>
    <n v="12624"/>
    <x v="65"/>
  </r>
  <r>
    <d v="2024-09-18T00:00:00"/>
    <n v="918"/>
    <x v="38"/>
    <n v="329"/>
    <n v="136"/>
    <n v="323"/>
    <n v="74"/>
    <n v="12947"/>
    <x v="0"/>
  </r>
  <r>
    <d v="2024-09-19T00:00:00"/>
    <n v="919"/>
    <x v="38"/>
    <n v="451"/>
    <n v="196"/>
    <n v="387"/>
    <n v="113"/>
    <n v="13334"/>
    <x v="1"/>
  </r>
  <r>
    <d v="2024-09-20T00:00:00"/>
    <n v="920"/>
    <x v="38"/>
    <n v="242"/>
    <n v="87"/>
    <n v="267"/>
    <n v="89"/>
    <n v="13601"/>
    <x v="2"/>
  </r>
  <r>
    <d v="2024-09-21T00:00:00"/>
    <n v="921"/>
    <x v="38"/>
    <n v="247"/>
    <n v="102"/>
    <n v="392"/>
    <n v="69"/>
    <n v="13993"/>
    <x v="3"/>
  </r>
  <r>
    <d v="2024-09-22T00:00:00"/>
    <n v="922"/>
    <x v="38"/>
    <n v="274"/>
    <n v="107"/>
    <n v="462"/>
    <n v="80"/>
    <n v="14455"/>
    <x v="4"/>
  </r>
  <r>
    <d v="2024-09-23T00:00:00"/>
    <n v="923"/>
    <x v="38"/>
    <n v="132"/>
    <n v="75"/>
    <n v="256"/>
    <n v="51"/>
    <n v="14711"/>
    <x v="5"/>
  </r>
  <r>
    <d v="2024-09-24T00:00:00"/>
    <n v="924"/>
    <x v="38"/>
    <n v="222"/>
    <n v="97"/>
    <n v="418"/>
    <n v="83"/>
    <n v="15129"/>
    <x v="6"/>
  </r>
  <r>
    <d v="2024-09-25T00:00:00"/>
    <n v="925"/>
    <x v="38"/>
    <n v="248"/>
    <n v="46"/>
    <n v="400"/>
    <n v="56"/>
    <n v="15529"/>
    <x v="7"/>
  </r>
  <r>
    <d v="2024-09-26T00:00:00"/>
    <n v="926"/>
    <x v="38"/>
    <n v="163"/>
    <n v="15"/>
    <n v="786"/>
    <n v="42"/>
    <n v="16315"/>
    <x v="8"/>
  </r>
  <r>
    <d v="2024-09-27T00:00:00"/>
    <n v="927"/>
    <x v="38"/>
    <n v="153"/>
    <n v="46"/>
    <n v="921"/>
    <n v="54"/>
    <n v="17236"/>
    <x v="9"/>
  </r>
  <r>
    <d v="2024-09-28T00:00:00"/>
    <n v="928"/>
    <x v="38"/>
    <n v="289"/>
    <n v="76"/>
    <n v="956"/>
    <n v="77"/>
    <n v="18192"/>
    <x v="10"/>
  </r>
  <r>
    <d v="2024-09-29T00:00:00"/>
    <n v="929"/>
    <x v="38"/>
    <n v="199"/>
    <n v="77"/>
    <n v="1045"/>
    <n v="77"/>
    <n v="19237"/>
    <x v="11"/>
  </r>
  <r>
    <d v="2024-09-30T00:00:00"/>
    <n v="930"/>
    <x v="38"/>
    <n v="170"/>
    <n v="54"/>
    <n v="1050"/>
    <n v="111"/>
    <n v="20287"/>
    <x v="12"/>
  </r>
  <r>
    <d v="2024-10-01T00:00:00"/>
    <n v="1001"/>
    <x v="38"/>
    <n v="127"/>
    <n v="49"/>
    <n v="880"/>
    <n v="77"/>
    <n v="21167"/>
    <x v="13"/>
  </r>
  <r>
    <d v="2024-10-02T00:00:00"/>
    <n v="1002"/>
    <x v="38"/>
    <n v="126"/>
    <n v="60"/>
    <n v="695"/>
    <n v="35"/>
    <n v="21862"/>
    <x v="14"/>
  </r>
  <r>
    <d v="2024-10-03T00:00:00"/>
    <n v="1003"/>
    <x v="38"/>
    <n v="86"/>
    <n v="32"/>
    <n v="508"/>
    <n v="49"/>
    <n v="22370"/>
    <x v="15"/>
  </r>
  <r>
    <d v="2024-10-04T00:00:00"/>
    <n v="1004"/>
    <x v="38"/>
    <n v="172"/>
    <n v="82"/>
    <n v="678"/>
    <n v="71"/>
    <n v="23048"/>
    <x v="16"/>
  </r>
  <r>
    <d v="2024-10-05T00:00:00"/>
    <n v="1005"/>
    <x v="38"/>
    <n v="179"/>
    <n v="52"/>
    <n v="833"/>
    <n v="60"/>
    <n v="23881"/>
    <x v="17"/>
  </r>
  <r>
    <d v="2024-10-06T00:00:00"/>
    <n v="1006"/>
    <x v="38"/>
    <n v="175"/>
    <n v="54"/>
    <n v="1364"/>
    <n v="98"/>
    <n v="25245"/>
    <x v="18"/>
  </r>
  <r>
    <d v="2024-10-07T00:00:00"/>
    <n v="1007"/>
    <x v="38"/>
    <n v="314"/>
    <n v="70"/>
    <n v="2368"/>
    <n v="96"/>
    <n v="27613"/>
    <x v="19"/>
  </r>
  <r>
    <d v="2024-10-08T00:00:00"/>
    <n v="1008"/>
    <x v="38"/>
    <n v="180"/>
    <n v="45"/>
    <n v="2321"/>
    <n v="197"/>
    <n v="29934"/>
    <x v="20"/>
  </r>
  <r>
    <d v="2024-10-09T00:00:00"/>
    <n v="1009"/>
    <x v="38"/>
    <n v="228"/>
    <n v="37"/>
    <n v="3012"/>
    <n v="364"/>
    <n v="32946"/>
    <x v="21"/>
  </r>
  <r>
    <d v="2024-10-10T00:00:00"/>
    <n v="1010"/>
    <x v="38"/>
    <n v="191"/>
    <n v="43"/>
    <n v="3041"/>
    <n v="208"/>
    <n v="35987"/>
    <x v="22"/>
  </r>
  <r>
    <d v="2024-10-11T00:00:00"/>
    <n v="1011"/>
    <x v="38"/>
    <n v="134"/>
    <n v="22"/>
    <n v="1153"/>
    <n v="123"/>
    <n v="37140"/>
    <x v="23"/>
  </r>
  <r>
    <d v="2024-10-12T00:00:00"/>
    <n v="1012"/>
    <x v="38"/>
    <n v="48"/>
    <n v="17"/>
    <n v="1097"/>
    <n v="102"/>
    <n v="38237"/>
    <x v="24"/>
  </r>
  <r>
    <d v="2024-10-13T00:00:00"/>
    <n v="1013"/>
    <x v="38"/>
    <n v="116"/>
    <n v="36"/>
    <n v="1278"/>
    <n v="102"/>
    <n v="39515"/>
    <x v="25"/>
  </r>
  <r>
    <d v="2024-10-14T00:00:00"/>
    <n v="1014"/>
    <x v="38"/>
    <n v="350"/>
    <n v="39"/>
    <n v="2314"/>
    <n v="222"/>
    <n v="41829"/>
    <x v="26"/>
  </r>
  <r>
    <d v="2024-10-15T00:00:00"/>
    <n v="1015"/>
    <x v="38"/>
    <n v="347"/>
    <n v="37"/>
    <n v="717"/>
    <n v="119"/>
    <n v="42546"/>
    <x v="27"/>
  </r>
  <r>
    <d v="2024-10-16T00:00:00"/>
    <n v="1016"/>
    <x v="38"/>
    <n v="375"/>
    <n v="14"/>
    <n v="534"/>
    <n v="42"/>
    <n v="43080"/>
    <x v="28"/>
  </r>
  <r>
    <d v="2024-10-17T00:00:00"/>
    <n v="1017"/>
    <x v="38"/>
    <n v="33"/>
    <n v="13"/>
    <n v="320"/>
    <n v="86"/>
    <n v="43400"/>
    <x v="29"/>
  </r>
  <r>
    <d v="2024-10-18T00:00:00"/>
    <n v="1018"/>
    <x v="38"/>
    <n v="39"/>
    <n v="12"/>
    <n v="282"/>
    <n v="75"/>
    <n v="43682"/>
    <x v="30"/>
  </r>
  <r>
    <d v="2024-10-19T00:00:00"/>
    <n v="1019"/>
    <x v="38"/>
    <n v="45"/>
    <n v="10"/>
    <n v="244"/>
    <n v="64"/>
    <n v="43926"/>
    <x v="31"/>
  </r>
  <r>
    <d v="2024-10-20T00:00:00"/>
    <n v="1020"/>
    <x v="38"/>
    <n v="51"/>
    <n v="9"/>
    <n v="206"/>
    <n v="53"/>
    <n v="44132"/>
    <x v="32"/>
  </r>
  <r>
    <d v="2024-10-21T00:00:00"/>
    <n v="1021"/>
    <x v="38"/>
    <n v="57"/>
    <n v="8"/>
    <n v="168"/>
    <n v="43"/>
    <n v="44300"/>
    <x v="33"/>
  </r>
  <r>
    <d v="2024-10-22T00:00:00"/>
    <n v="1022"/>
    <x v="38"/>
    <n v="63"/>
    <n v="7"/>
    <n v="129"/>
    <n v="32"/>
    <n v="44429"/>
    <x v="34"/>
  </r>
  <r>
    <d v="2024-10-23T00:00:00"/>
    <n v="1023"/>
    <x v="38"/>
    <n v="69"/>
    <n v="5"/>
    <n v="91"/>
    <n v="21"/>
    <n v="44520"/>
    <x v="35"/>
  </r>
  <r>
    <d v="2024-10-24T00:00:00"/>
    <n v="1024"/>
    <x v="38"/>
    <n v="58"/>
    <n v="1"/>
    <n v="61"/>
    <n v="24"/>
    <n v="44581"/>
    <x v="36"/>
  </r>
  <r>
    <d v="2024-10-25T00:00:00"/>
    <n v="1025"/>
    <x v="38"/>
    <n v="29"/>
    <n v="4"/>
    <n v="53"/>
    <n v="14"/>
    <n v="44634"/>
    <x v="37"/>
  </r>
  <r>
    <d v="2024-10-26T00:00:00"/>
    <n v="1026"/>
    <x v="38"/>
    <n v="8"/>
    <n v="2"/>
    <n v="15"/>
    <n v="8"/>
    <n v="44649"/>
    <x v="38"/>
  </r>
  <r>
    <d v="2024-10-27T00:00:00"/>
    <n v="1027"/>
    <x v="38"/>
    <n v="6"/>
    <n v="6"/>
    <n v="0"/>
    <n v="0"/>
    <n v="44649"/>
    <x v="39"/>
  </r>
  <r>
    <d v="2024-10-28T00:00:00"/>
    <n v="1028"/>
    <x v="38"/>
    <n v="2"/>
    <n v="0"/>
    <n v="2"/>
    <n v="0"/>
    <n v="44651"/>
    <x v="40"/>
  </r>
  <r>
    <d v="2024-10-29T00:00:00"/>
    <n v="1029"/>
    <x v="38"/>
    <n v="10"/>
    <n v="1"/>
    <n v="2"/>
    <n v="1"/>
    <n v="44653"/>
    <x v="41"/>
  </r>
  <r>
    <d v="2025-07-08T00:00:00"/>
    <s v="0708"/>
    <x v="39"/>
    <n v="2"/>
    <n v="0"/>
    <n v="0"/>
    <n v="0"/>
    <n v="0"/>
    <x v="123"/>
  </r>
  <r>
    <d v="2025-07-09T00:00:00"/>
    <s v="0709"/>
    <x v="39"/>
    <n v="0"/>
    <n v="0"/>
    <n v="0"/>
    <n v="0"/>
    <n v="0"/>
    <x v="124"/>
  </r>
  <r>
    <d v="2025-07-10T00:00:00"/>
    <s v="0710"/>
    <x v="39"/>
    <n v="0"/>
    <n v="0"/>
    <n v="0"/>
    <n v="0"/>
    <n v="0"/>
    <x v="125"/>
  </r>
  <r>
    <d v="2025-07-11T00:00:00"/>
    <s v="0711"/>
    <x v="39"/>
    <n v="0"/>
    <n v="0"/>
    <n v="0"/>
    <n v="0"/>
    <n v="0"/>
    <x v="126"/>
  </r>
  <r>
    <d v="2025-07-12T00:00:00"/>
    <s v="0712"/>
    <x v="39"/>
    <n v="0"/>
    <n v="0"/>
    <n v="0"/>
    <n v="0"/>
    <n v="0"/>
    <x v="127"/>
  </r>
  <r>
    <d v="2025-07-13T00:00:00"/>
    <s v="0713"/>
    <x v="39"/>
    <n v="4"/>
    <n v="0"/>
    <n v="0"/>
    <n v="0"/>
    <n v="0"/>
    <x v="128"/>
  </r>
  <r>
    <d v="2025-07-14T00:00:00"/>
    <s v="0714"/>
    <x v="39"/>
    <n v="0"/>
    <n v="0"/>
    <n v="2"/>
    <n v="0"/>
    <n v="2"/>
    <x v="129"/>
  </r>
  <r>
    <d v="2025-07-15T00:00:00"/>
    <s v="0715"/>
    <x v="39"/>
    <n v="0"/>
    <n v="0"/>
    <n v="0"/>
    <n v="0"/>
    <n v="2"/>
    <x v="130"/>
  </r>
  <r>
    <d v="2025-07-16T00:00:00"/>
    <s v="0716"/>
    <x v="39"/>
    <n v="0"/>
    <n v="0"/>
    <n v="0"/>
    <n v="0"/>
    <n v="2"/>
    <x v="131"/>
  </r>
  <r>
    <d v="2025-07-17T00:00:00"/>
    <s v="0717"/>
    <x v="39"/>
    <n v="0"/>
    <n v="0"/>
    <n v="0"/>
    <n v="0"/>
    <n v="2"/>
    <x v="132"/>
  </r>
  <r>
    <d v="2025-07-18T00:00:00"/>
    <s v="0718"/>
    <x v="39"/>
    <n v="1"/>
    <n v="0"/>
    <n v="0"/>
    <n v="0"/>
    <n v="2"/>
    <x v="133"/>
  </r>
  <r>
    <d v="2025-07-19T00:00:00"/>
    <s v="0719"/>
    <x v="39"/>
    <n v="0"/>
    <n v="0"/>
    <n v="0"/>
    <n v="0"/>
    <n v="2"/>
    <x v="134"/>
  </r>
  <r>
    <d v="2025-07-20T00:00:00"/>
    <s v="0720"/>
    <x v="39"/>
    <n v="0"/>
    <n v="0"/>
    <n v="0"/>
    <n v="0"/>
    <n v="2"/>
    <x v="135"/>
  </r>
  <r>
    <d v="2025-07-21T00:00:00"/>
    <s v="0721"/>
    <x v="39"/>
    <n v="3"/>
    <n v="0"/>
    <n v="0"/>
    <n v="0"/>
    <n v="2"/>
    <x v="136"/>
  </r>
  <r>
    <d v="2025-07-22T00:00:00"/>
    <s v="0722"/>
    <x v="39"/>
    <n v="0"/>
    <n v="2"/>
    <n v="3"/>
    <n v="0"/>
    <n v="5"/>
    <x v="137"/>
  </r>
  <r>
    <d v="2025-07-23T00:00:00"/>
    <s v="0723"/>
    <x v="39"/>
    <n v="4"/>
    <n v="2"/>
    <n v="0"/>
    <n v="0"/>
    <n v="5"/>
    <x v="138"/>
  </r>
  <r>
    <d v="2025-07-24T00:00:00"/>
    <s v="0724"/>
    <x v="39"/>
    <n v="8"/>
    <n v="0"/>
    <n v="3"/>
    <n v="0"/>
    <n v="8"/>
    <x v="139"/>
  </r>
  <r>
    <d v="2025-07-25T00:00:00"/>
    <s v="0725"/>
    <x v="39"/>
    <n v="5"/>
    <n v="0"/>
    <n v="1"/>
    <n v="0"/>
    <n v="9"/>
    <x v="140"/>
  </r>
  <r>
    <d v="2025-07-26T00:00:00"/>
    <s v="0726"/>
    <x v="39"/>
    <n v="2"/>
    <n v="0"/>
    <n v="0"/>
    <n v="0"/>
    <n v="9"/>
    <x v="141"/>
  </r>
  <r>
    <d v="2025-07-27T00:00:00"/>
    <s v="0727"/>
    <x v="39"/>
    <n v="1"/>
    <n v="0"/>
    <n v="0"/>
    <n v="0"/>
    <n v="9"/>
    <x v="142"/>
  </r>
  <r>
    <d v="2025-07-28T00:00:00"/>
    <s v="0728"/>
    <x v="39"/>
    <n v="1"/>
    <n v="0"/>
    <n v="0"/>
    <n v="0"/>
    <n v="9"/>
    <x v="143"/>
  </r>
  <r>
    <d v="2025-07-29T00:00:00"/>
    <s v="0729"/>
    <x v="39"/>
    <n v="16"/>
    <n v="0"/>
    <n v="9"/>
    <n v="0"/>
    <n v="18"/>
    <x v="144"/>
  </r>
  <r>
    <d v="2025-07-30T00:00:00"/>
    <s v="0730"/>
    <x v="39"/>
    <n v="6"/>
    <n v="0"/>
    <n v="0"/>
    <n v="0"/>
    <n v="18"/>
    <x v="145"/>
  </r>
  <r>
    <d v="2025-07-31T00:00:00"/>
    <s v="0731"/>
    <x v="39"/>
    <n v="60"/>
    <n v="3"/>
    <n v="0"/>
    <n v="0"/>
    <n v="18"/>
    <x v="99"/>
  </r>
  <r>
    <d v="2025-08-01T00:00:00"/>
    <s v="0801"/>
    <x v="39"/>
    <n v="9"/>
    <n v="0"/>
    <n v="3"/>
    <n v="3"/>
    <n v="21"/>
    <x v="100"/>
  </r>
  <r>
    <d v="2025-08-02T00:00:00"/>
    <s v="0802"/>
    <x v="39"/>
    <n v="27"/>
    <n v="3"/>
    <n v="3"/>
    <n v="0"/>
    <n v="24"/>
    <x v="101"/>
  </r>
  <r>
    <d v="2025-08-03T00:00:00"/>
    <s v="0803"/>
    <x v="39"/>
    <n v="14"/>
    <n v="2"/>
    <n v="4"/>
    <n v="0"/>
    <n v="28"/>
    <x v="102"/>
  </r>
  <r>
    <d v="2025-08-04T00:00:00"/>
    <s v="0804"/>
    <x v="39"/>
    <n v="25"/>
    <n v="0"/>
    <n v="10"/>
    <n v="0"/>
    <n v="38"/>
    <x v="103"/>
  </r>
  <r>
    <d v="2025-08-05T00:00:00"/>
    <s v="0805"/>
    <x v="39"/>
    <n v="26"/>
    <n v="0"/>
    <n v="6"/>
    <n v="0"/>
    <n v="44"/>
    <x v="104"/>
  </r>
  <r>
    <d v="2025-08-06T00:00:00"/>
    <s v="0806"/>
    <x v="39"/>
    <n v="12"/>
    <n v="0"/>
    <n v="15"/>
    <n v="2"/>
    <n v="59"/>
    <x v="105"/>
  </r>
  <r>
    <d v="2025-08-07T00:00:00"/>
    <s v="0807"/>
    <x v="39"/>
    <n v="6"/>
    <n v="4"/>
    <n v="15"/>
    <n v="0"/>
    <n v="74"/>
    <x v="106"/>
  </r>
  <r>
    <d v="2025-08-08T00:00:00"/>
    <s v="0808"/>
    <x v="39"/>
    <n v="19"/>
    <n v="1"/>
    <n v="44"/>
    <n v="1"/>
    <n v="118"/>
    <x v="107"/>
  </r>
  <r>
    <d v="2025-08-09T00:00:00"/>
    <s v="0809"/>
    <x v="39"/>
    <n v="16"/>
    <n v="1"/>
    <n v="29"/>
    <n v="4"/>
    <n v="147"/>
    <x v="108"/>
  </r>
  <r>
    <d v="2025-08-10T00:00:00"/>
    <s v="0810"/>
    <x v="39"/>
    <n v="21"/>
    <n v="2"/>
    <n v="25"/>
    <n v="1"/>
    <n v="172"/>
    <x v="109"/>
  </r>
  <r>
    <d v="2025-08-11T00:00:00"/>
    <s v="0811"/>
    <x v="39"/>
    <n v="14"/>
    <n v="4"/>
    <n v="55"/>
    <n v="3"/>
    <n v="227"/>
    <x v="110"/>
  </r>
  <r>
    <d v="2025-08-12T00:00:00"/>
    <s v="0812"/>
    <x v="39"/>
    <n v="6"/>
    <n v="0"/>
    <n v="29"/>
    <n v="0"/>
    <n v="256"/>
    <x v="111"/>
  </r>
  <r>
    <d v="2025-08-13T00:00:00"/>
    <s v="0813"/>
    <x v="39"/>
    <n v="7"/>
    <n v="2"/>
    <n v="47"/>
    <n v="5"/>
    <n v="303"/>
    <x v="112"/>
  </r>
  <r>
    <d v="2025-08-14T00:00:00"/>
    <s v="0814"/>
    <x v="39"/>
    <n v="7"/>
    <n v="3"/>
    <n v="44"/>
    <n v="6"/>
    <n v="347"/>
    <x v="82"/>
  </r>
  <r>
    <d v="2025-08-15T00:00:00"/>
    <s v="0815"/>
    <x v="39"/>
    <n v="17"/>
    <n v="2"/>
    <n v="68"/>
    <n v="6"/>
    <n v="415"/>
    <x v="83"/>
  </r>
  <r>
    <d v="2025-08-16T00:00:00"/>
    <s v="0816"/>
    <x v="39"/>
    <n v="23"/>
    <n v="0"/>
    <n v="52"/>
    <n v="7"/>
    <n v="467"/>
    <x v="84"/>
  </r>
  <r>
    <d v="2025-08-17T00:00:00"/>
    <s v="0817"/>
    <x v="39"/>
    <n v="28"/>
    <n v="3"/>
    <n v="96"/>
    <n v="8"/>
    <n v="563"/>
    <x v="85"/>
  </r>
  <r>
    <d v="2025-08-18T00:00:00"/>
    <s v="0818"/>
    <x v="39"/>
    <n v="74"/>
    <n v="11"/>
    <n v="185"/>
    <n v="17"/>
    <n v="748"/>
    <x v="86"/>
  </r>
  <r>
    <d v="2025-08-19T00:00:00"/>
    <s v="0819"/>
    <x v="39"/>
    <n v="103"/>
    <n v="11"/>
    <n v="140"/>
    <n v="16"/>
    <n v="888"/>
    <x v="87"/>
  </r>
  <r>
    <d v="2025-08-20T00:00:00"/>
    <s v="0820"/>
    <x v="39"/>
    <n v="183"/>
    <n v="12"/>
    <n v="276"/>
    <n v="47"/>
    <n v="1164"/>
    <x v="88"/>
  </r>
  <r>
    <d v="2025-08-21T00:00:00"/>
    <s v="0821"/>
    <x v="39"/>
    <n v="154"/>
    <n v="50"/>
    <n v="674"/>
    <n v="78"/>
    <n v="1838"/>
    <x v="89"/>
  </r>
  <r>
    <d v="2025-08-22T00:00:00"/>
    <s v="0822"/>
    <x v="39"/>
    <n v="167"/>
    <n v="44"/>
    <n v="437"/>
    <n v="81"/>
    <n v="2275"/>
    <x v="90"/>
  </r>
  <r>
    <d v="2025-08-23T00:00:00"/>
    <s v="0823"/>
    <x v="39"/>
    <n v="65"/>
    <n v="28"/>
    <n v="479"/>
    <n v="79"/>
    <n v="2754"/>
    <x v="91"/>
  </r>
  <r>
    <d v="2025-08-24T00:00:00"/>
    <s v="0824"/>
    <x v="39"/>
    <n v="97"/>
    <n v="34"/>
    <n v="467"/>
    <n v="106"/>
    <n v="3221"/>
    <x v="92"/>
  </r>
  <r>
    <d v="2025-08-25T00:00:00"/>
    <s v="0825"/>
    <x v="39"/>
    <n v="72"/>
    <n v="38"/>
    <n v="356"/>
    <n v="116"/>
    <n v="3577"/>
    <x v="93"/>
  </r>
  <r>
    <d v="2025-08-26T00:00:00"/>
    <s v="0826"/>
    <x v="39"/>
    <n v="52"/>
    <n v="30"/>
    <n v="297"/>
    <n v="100"/>
    <n v="3874"/>
    <x v="94"/>
  </r>
  <r>
    <d v="2025-08-27T00:00:00"/>
    <s v="0827"/>
    <x v="39"/>
    <n v="45"/>
    <n v="21"/>
    <n v="265"/>
    <n v="89"/>
    <n v="4139"/>
    <x v="95"/>
  </r>
  <r>
    <d v="2025-08-28T00:00:00"/>
    <s v="0828"/>
    <x v="39"/>
    <n v="31"/>
    <n v="23"/>
    <n v="140"/>
    <n v="121"/>
    <n v="4279"/>
    <x v="96"/>
  </r>
  <r>
    <d v="2025-08-29T00:00:00"/>
    <s v="0829"/>
    <x v="39"/>
    <n v="36"/>
    <n v="25"/>
    <n v="107"/>
    <n v="130"/>
    <n v="4386"/>
    <x v="97"/>
  </r>
  <r>
    <d v="2025-08-30T00:00:00"/>
    <s v="0830"/>
    <x v="39"/>
    <n v="100"/>
    <n v="57"/>
    <n v="153"/>
    <n v="190"/>
    <n v="4539"/>
    <x v="98"/>
  </r>
  <r>
    <d v="2025-08-31T00:00:00"/>
    <s v="0831"/>
    <x v="39"/>
    <n v="84"/>
    <n v="47"/>
    <n v="177"/>
    <n v="150"/>
    <n v="4716"/>
    <x v="81"/>
  </r>
  <r>
    <d v="2025-09-01T00:00:00"/>
    <s v="0901"/>
    <x v="39"/>
    <n v="176"/>
    <n v="89"/>
    <n v="295"/>
    <n v="232"/>
    <n v="5011"/>
    <x v="80"/>
  </r>
  <r>
    <d v="2025-09-02T00:00:00"/>
    <s v="0902"/>
    <x v="39"/>
    <n v="243"/>
    <n v="95"/>
    <n v="510"/>
    <n v="304"/>
    <n v="5521"/>
    <x v="75"/>
  </r>
  <r>
    <d v="2025-09-03T00:00:00"/>
    <s v="0903"/>
    <x v="39"/>
    <n v="227"/>
    <n v="88"/>
    <n v="418"/>
    <n v="278"/>
    <n v="5939"/>
    <x v="76"/>
  </r>
  <r>
    <d v="2025-09-04T00:00:00"/>
    <s v="0904"/>
    <x v="39"/>
    <n v="226"/>
    <n v="115"/>
    <n v="1205"/>
    <n v="426"/>
    <n v="7144"/>
    <x v="77"/>
  </r>
  <r>
    <d v="2025-09-05T00:00:00"/>
    <s v="0905"/>
    <x v="39"/>
    <n v="199"/>
    <n v="104"/>
    <n v="810"/>
    <n v="280"/>
    <n v="7954"/>
    <x v="78"/>
  </r>
  <r>
    <d v="2025-09-06T00:00:00"/>
    <s v="0906"/>
    <x v="39"/>
    <n v="157"/>
    <n v="89"/>
    <n v="915"/>
    <n v="222"/>
    <n v="8869"/>
    <x v="79"/>
  </r>
  <r>
    <d v="2025-09-07T00:00:00"/>
    <s v="0907"/>
    <x v="39"/>
    <n v="477"/>
    <n v="129"/>
    <n v="1218"/>
    <n v="315"/>
    <n v="10087"/>
    <x v="71"/>
  </r>
  <r>
    <d v="2025-09-08T00:00:00"/>
    <s v="0908"/>
    <x v="39"/>
    <n v="832"/>
    <n v="75"/>
    <n v="1108"/>
    <n v="279"/>
    <n v="11195"/>
    <x v="72"/>
  </r>
  <r>
    <d v="2025-09-09T00:00:00"/>
    <s v="0909"/>
    <x v="39"/>
    <n v="897"/>
    <n v="57"/>
    <n v="1113"/>
    <n v="201"/>
    <n v="12308"/>
    <x v="73"/>
  </r>
  <r>
    <d v="2025-09-10T00:00:00"/>
    <s v="0910"/>
    <x v="39"/>
    <n v="1152"/>
    <n v="170"/>
    <n v="722"/>
    <n v="275"/>
    <n v="13030"/>
    <x v="74"/>
  </r>
  <r>
    <d v="2025-09-11T00:00:00"/>
    <s v="0911"/>
    <x v="39"/>
    <n v="972"/>
    <n v="172"/>
    <n v="754"/>
    <n v="371"/>
    <n v="13784"/>
    <x v="68"/>
  </r>
  <r>
    <d v="2025-09-12T00:00:00"/>
    <s v="0912"/>
    <x v="39"/>
    <n v="833"/>
    <n v="166"/>
    <n v="684"/>
    <n v="331"/>
    <n v="14468"/>
    <x v="69"/>
  </r>
  <r>
    <d v="2025-09-13T00:00:00"/>
    <s v="0913"/>
    <x v="39"/>
    <n v="879"/>
    <n v="173"/>
    <n v="575"/>
    <n v="263"/>
    <n v="15043"/>
    <x v="70"/>
  </r>
  <r>
    <d v="2025-09-14T00:00:00"/>
    <s v="0914"/>
    <x v="39"/>
    <n v="694"/>
    <n v="139"/>
    <n v="741"/>
    <n v="398"/>
    <n v="15784"/>
    <x v="67"/>
  </r>
  <r>
    <d v="2025-09-15T00:00:00"/>
    <s v="0915"/>
    <x v="39"/>
    <n v="541"/>
    <n v="156"/>
    <n v="606"/>
    <n v="380"/>
    <n v="16390"/>
    <x v="63"/>
  </r>
  <r>
    <d v="2025-09-16T00:00:00"/>
    <s v="0916"/>
    <x v="39"/>
    <n v="757"/>
    <n v="246"/>
    <n v="634"/>
    <n v="427"/>
    <n v="17024"/>
    <x v="64"/>
  </r>
  <r>
    <d v="2025-09-17T00:00:00"/>
    <s v="0917"/>
    <x v="39"/>
    <n v="1247"/>
    <n v="261"/>
    <n v="745"/>
    <n v="418"/>
    <n v="17769"/>
    <x v="65"/>
  </r>
  <r>
    <d v="2025-09-18T00:00:00"/>
    <s v="0918"/>
    <x v="39"/>
    <n v="967"/>
    <n v="214"/>
    <n v="824"/>
    <n v="394"/>
    <n v="18593"/>
    <x v="0"/>
  </r>
  <r>
    <d v="2025-09-19T00:00:00"/>
    <s v="0919"/>
    <x v="39"/>
    <n v="767"/>
    <n v="221"/>
    <n v="488"/>
    <n v="170"/>
    <n v="19081"/>
    <x v="1"/>
  </r>
  <r>
    <d v="2025-09-20T00:00:00"/>
    <s v="0920"/>
    <x v="39"/>
    <n v="1125"/>
    <n v="204"/>
    <n v="504"/>
    <n v="96"/>
    <n v="19585"/>
    <x v="2"/>
  </r>
  <r>
    <d v="2025-09-21T00:00:00"/>
    <s v="0921"/>
    <x v="39"/>
    <n v="1111"/>
    <n v="334"/>
    <n v="764"/>
    <n v="288"/>
    <n v="20349"/>
    <x v="3"/>
  </r>
  <r>
    <d v="2025-09-22T00:00:00"/>
    <s v="0922"/>
    <x v="39"/>
    <n v="474"/>
    <n v="186"/>
    <n v="842"/>
    <n v="260"/>
    <n v="21191"/>
    <x v="4"/>
  </r>
  <r>
    <d v="2025-09-23T00:00:00"/>
    <s v="0923"/>
    <x v="39"/>
    <n v="237"/>
    <n v="106"/>
    <n v="565"/>
    <n v="170"/>
    <n v="21756"/>
    <x v="5"/>
  </r>
  <r>
    <d v="2025-09-24T00:00:00"/>
    <s v="0924"/>
    <x v="39"/>
    <n v="228"/>
    <n v="91"/>
    <n v="667"/>
    <n v="188"/>
    <n v="22423"/>
    <x v="6"/>
  </r>
  <r>
    <d v="2025-09-25T00:00:00"/>
    <s v="0925"/>
    <x v="39"/>
    <n v="278"/>
    <n v="132"/>
    <n v="979"/>
    <n v="234"/>
    <n v="23402"/>
    <x v="7"/>
  </r>
  <r>
    <d v="2025-09-26T00:00:00"/>
    <s v="0926"/>
    <x v="39"/>
    <n v="257"/>
    <n v="132"/>
    <n v="533"/>
    <n v="112"/>
    <n v="23935"/>
    <x v="8"/>
  </r>
  <r>
    <d v="2025-09-27T00:00:00"/>
    <s v="0927"/>
    <x v="39"/>
    <n v="544"/>
    <n v="214"/>
    <n v="836"/>
    <n v="186"/>
    <n v="24771"/>
    <x v="9"/>
  </r>
  <r>
    <d v="2025-09-28T00:00:00"/>
    <s v="0928"/>
    <x v="39"/>
    <n v="433"/>
    <n v="166"/>
    <n v="1276"/>
    <n v="192"/>
    <n v="26047"/>
    <x v="10"/>
  </r>
  <r>
    <d v="2025-09-29T00:00:00"/>
    <s v="0929"/>
    <x v="39"/>
    <n v="506"/>
    <n v="183"/>
    <n v="1723"/>
    <n v="243"/>
    <n v="27770"/>
    <x v="11"/>
  </r>
  <r>
    <d v="2025-09-30T00:00:00"/>
    <s v="0930"/>
    <x v="39"/>
    <n v="334"/>
    <n v="122"/>
    <n v="1551"/>
    <n v="209"/>
    <n v="29321"/>
    <x v="12"/>
  </r>
  <r>
    <d v="2025-10-01T00:00:00"/>
    <s v="1001"/>
    <x v="39"/>
    <n v="618"/>
    <n v="143"/>
    <n v="3368"/>
    <n v="415"/>
    <n v="32689"/>
    <x v="13"/>
  </r>
  <r>
    <d v="2025-10-02T00:00:00"/>
    <s v="1002"/>
    <x v="39"/>
    <n v="187"/>
    <n v="33"/>
    <n v="1864"/>
    <n v="190"/>
    <n v="34553"/>
    <x v="14"/>
  </r>
  <r>
    <d v="2025-10-03T00:00:00"/>
    <s v="1003"/>
    <x v="39"/>
    <n v="159"/>
    <n v="56"/>
    <n v="1599"/>
    <n v="301"/>
    <n v="36152"/>
    <x v="15"/>
  </r>
  <r>
    <d v="2025-10-04T00:00:00"/>
    <s v="1004"/>
    <x v="39"/>
    <n v="115"/>
    <n v="43"/>
    <n v="1053"/>
    <n v="355"/>
    <n v="37205"/>
    <x v="16"/>
  </r>
  <r>
    <d v="2025-10-05T00:00:00"/>
    <s v="1005"/>
    <x v="39"/>
    <n v="237"/>
    <n v="48"/>
    <n v="1901"/>
    <n v="314"/>
    <n v="39106"/>
    <x v="17"/>
  </r>
  <r>
    <d v="2025-10-06T00:00:00"/>
    <s v="1006"/>
    <x v="39"/>
    <n v="142"/>
    <n v="50"/>
    <n v="573"/>
    <n v="84"/>
    <n v="39679"/>
    <x v="18"/>
  </r>
  <r>
    <d v="2025-10-07T00:00:00"/>
    <s v="1007"/>
    <x v="39"/>
    <n v="235"/>
    <n v="50"/>
    <n v="700"/>
    <n v="150"/>
    <n v="40379"/>
    <x v="19"/>
  </r>
  <r>
    <d v="2025-10-08T00:00:00"/>
    <s v="1008"/>
    <x v="39"/>
    <n v="214"/>
    <n v="45"/>
    <n v="859"/>
    <n v="161"/>
    <n v="41238"/>
    <x v="20"/>
  </r>
  <r>
    <d v="2025-10-09T00:00:00"/>
    <s v="1009"/>
    <x v="39"/>
    <n v="105"/>
    <n v="35"/>
    <n v="780"/>
    <n v="156"/>
    <n v="42018"/>
    <x v="21"/>
  </r>
  <r>
    <d v="2025-10-10T00:00:00"/>
    <s v="1010"/>
    <x v="39"/>
    <n v="66"/>
    <n v="12"/>
    <n v="523"/>
    <n v="64"/>
    <n v="42541"/>
    <x v="22"/>
  </r>
  <r>
    <d v="2025-10-11T00:00:00"/>
    <s v="1011"/>
    <x v="39"/>
    <n v="238"/>
    <n v="57"/>
    <n v="558"/>
    <n v="80"/>
    <n v="43099"/>
    <x v="23"/>
  </r>
  <r>
    <d v="2025-10-12T00:00:00"/>
    <s v="1012"/>
    <x v="39"/>
    <n v="160"/>
    <n v="34"/>
    <n v="566"/>
    <n v="108"/>
    <n v="43665"/>
    <x v="24"/>
  </r>
  <r>
    <d v="2025-10-13T00:00:00"/>
    <s v="1013"/>
    <x v="39"/>
    <n v="41"/>
    <n v="18"/>
    <n v="291"/>
    <n v="20"/>
    <n v="43956"/>
    <x v="25"/>
  </r>
  <r>
    <d v="2025-10-14T00:00:00"/>
    <s v="1014"/>
    <x v="39"/>
    <n v="37"/>
    <n v="21"/>
    <n v="326"/>
    <n v="73"/>
    <n v="44282"/>
    <x v="26"/>
  </r>
  <r>
    <d v="2025-10-15T00:00:00"/>
    <s v="1015"/>
    <x v="39"/>
    <n v="36"/>
    <n v="7"/>
    <n v="247"/>
    <n v="45"/>
    <n v="44529"/>
    <x v="27"/>
  </r>
  <r>
    <d v="2025-10-16T00:00:00"/>
    <s v="1016"/>
    <x v="39"/>
    <n v="33"/>
    <n v="11"/>
    <n v="325"/>
    <n v="61"/>
    <n v="44854"/>
    <x v="28"/>
  </r>
  <r>
    <d v="2025-10-17T00:00:00"/>
    <s v="1017"/>
    <x v="39"/>
    <n v="54"/>
    <n v="13"/>
    <n v="305"/>
    <n v="49"/>
    <n v="45159"/>
    <x v="29"/>
  </r>
  <r>
    <d v="2025-10-18T00:00:00"/>
    <s v="1018"/>
    <x v="39"/>
    <n v="16"/>
    <n v="4"/>
    <n v="150"/>
    <n v="25"/>
    <n v="45309"/>
    <x v="30"/>
  </r>
  <r>
    <d v="2025-10-19T00:00:00"/>
    <s v="1019"/>
    <x v="39"/>
    <n v="50"/>
    <n v="13"/>
    <n v="122"/>
    <n v="27"/>
    <n v="45431"/>
    <x v="31"/>
  </r>
  <r>
    <d v="2025-10-20T00:00:00"/>
    <s v="1020"/>
    <x v="39"/>
    <n v="69"/>
    <n v="10"/>
    <n v="49"/>
    <n v="26"/>
    <n v="45480"/>
    <x v="32"/>
  </r>
  <r>
    <d v="2025-10-21T00:00:00"/>
    <s v="1021"/>
    <x v="39"/>
    <n v="46"/>
    <n v="11"/>
    <n v="63"/>
    <n v="30"/>
    <n v="45543"/>
    <x v="33"/>
  </r>
  <r>
    <d v="2025-10-22T00:00:00"/>
    <s v="1022"/>
    <x v="39"/>
    <n v="16"/>
    <n v="5"/>
    <n v="71"/>
    <n v="29"/>
    <n v="45614"/>
    <x v="34"/>
  </r>
  <r>
    <d v="2025-10-23T00:00:00"/>
    <s v="1023"/>
    <x v="39"/>
    <n v="22"/>
    <n v="4"/>
    <n v="24"/>
    <n v="9"/>
    <n v="45638"/>
    <x v="35"/>
  </r>
  <r>
    <m/>
    <m/>
    <x v="40"/>
    <m/>
    <m/>
    <m/>
    <m/>
    <m/>
    <x v="146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C337EB3-5A59-4106-878F-9663CFDBC40A}" name="PivotTable2" cacheId="14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outline="1" outlineData="1" multipleFieldFilters="0" chartFormat="5">
  <location ref="A2:D99" firstHeaderRow="1" firstDataRow="2" firstDataCol="1"/>
  <pivotFields count="9">
    <pivotField showAll="0"/>
    <pivotField showAll="0"/>
    <pivotField axis="axisCol" showAll="0">
      <items count="42">
        <item h="1" x="0"/>
        <item h="1" x="1"/>
        <item h="1" x="2"/>
        <item h="1" x="3"/>
        <item h="1" x="4"/>
        <item h="1" x="5"/>
        <item h="1" x="6"/>
        <item h="1" x="7"/>
        <item h="1" x="8"/>
        <item h="1" x="9"/>
        <item h="1" x="10"/>
        <item h="1" x="11"/>
        <item h="1" x="12"/>
        <item h="1" x="13"/>
        <item h="1" x="14"/>
        <item h="1" x="15"/>
        <item h="1" x="16"/>
        <item h="1" x="17"/>
        <item h="1" x="18"/>
        <item h="1" x="19"/>
        <item h="1" x="20"/>
        <item h="1" x="21"/>
        <item h="1" x="22"/>
        <item h="1" x="23"/>
        <item h="1" x="24"/>
        <item h="1" x="25"/>
        <item h="1" x="26"/>
        <item h="1" x="27"/>
        <item h="1" x="28"/>
        <item h="1" x="29"/>
        <item h="1" x="30"/>
        <item h="1" x="31"/>
        <item h="1" x="32"/>
        <item h="1" x="33"/>
        <item h="1" x="34"/>
        <item h="1" x="35"/>
        <item h="1" x="36"/>
        <item x="37"/>
        <item x="38"/>
        <item x="39"/>
        <item h="1" x="40"/>
        <item t="default"/>
      </items>
    </pivotField>
    <pivotField showAll="0"/>
    <pivotField showAll="0"/>
    <pivotField showAll="0"/>
    <pivotField showAll="0"/>
    <pivotField dataField="1" showAll="0"/>
    <pivotField axis="axisRow" numFmtId="1" showAll="0">
      <items count="148">
        <item h="1" x="146"/>
        <item h="1" x="123"/>
        <item h="1" x="124"/>
        <item h="1" x="125"/>
        <item h="1" x="126"/>
        <item h="1" x="127"/>
        <item h="1" x="128"/>
        <item h="1" x="129"/>
        <item h="1" x="130"/>
        <item h="1" x="131"/>
        <item h="1" x="132"/>
        <item h="1" x="133"/>
        <item h="1" x="134"/>
        <item h="1" x="135"/>
        <item h="1" x="136"/>
        <item h="1" x="137"/>
        <item h="1" x="138"/>
        <item h="1" x="139"/>
        <item h="1" x="140"/>
        <item h="1" x="141"/>
        <item h="1" x="142"/>
        <item h="1" x="143"/>
        <item h="1" x="144"/>
        <item h="1" x="145"/>
        <item h="1"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81"/>
        <item x="80"/>
        <item x="75"/>
        <item x="76"/>
        <item x="77"/>
        <item x="78"/>
        <item x="79"/>
        <item x="71"/>
        <item x="72"/>
        <item x="73"/>
        <item x="74"/>
        <item x="68"/>
        <item x="69"/>
        <item x="70"/>
        <item x="67"/>
        <item x="63"/>
        <item x="64"/>
        <item x="65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6"/>
        <item x="113"/>
        <item x="114"/>
        <item x="115"/>
        <item x="116"/>
        <item x="117"/>
        <item x="118"/>
        <item x="119"/>
        <item x="120"/>
        <item x="121"/>
        <item x="122"/>
        <item t="default"/>
      </items>
    </pivotField>
  </pivotFields>
  <rowFields count="1">
    <field x="8"/>
  </rowFields>
  <rowItems count="96"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>
      <x v="99"/>
    </i>
    <i>
      <x v="100"/>
    </i>
    <i>
      <x v="101"/>
    </i>
    <i>
      <x v="102"/>
    </i>
    <i>
      <x v="103"/>
    </i>
    <i>
      <x v="104"/>
    </i>
    <i>
      <x v="105"/>
    </i>
    <i>
      <x v="106"/>
    </i>
    <i>
      <x v="107"/>
    </i>
    <i>
      <x v="108"/>
    </i>
    <i>
      <x v="109"/>
    </i>
    <i>
      <x v="110"/>
    </i>
    <i>
      <x v="111"/>
    </i>
    <i>
      <x v="112"/>
    </i>
    <i>
      <x v="113"/>
    </i>
    <i>
      <x v="114"/>
    </i>
    <i>
      <x v="115"/>
    </i>
    <i>
      <x v="116"/>
    </i>
    <i>
      <x v="117"/>
    </i>
    <i>
      <x v="118"/>
    </i>
    <i>
      <x v="119"/>
    </i>
    <i>
      <x v="120"/>
    </i>
  </rowItems>
  <colFields count="1">
    <field x="2"/>
  </colFields>
  <colItems count="3">
    <i>
      <x v="37"/>
    </i>
    <i>
      <x v="38"/>
    </i>
    <i>
      <x v="39"/>
    </i>
  </colItems>
  <dataFields count="1">
    <dataField name="Sum of RunningCNTotal" fld="7" baseField="0" baseItem="0"/>
  </dataFields>
  <chartFormats count="86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2"/>
          </reference>
        </references>
      </pivotArea>
    </chartFormat>
    <chartFormat chart="0" format="3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3"/>
          </reference>
        </references>
      </pivotArea>
    </chartFormat>
    <chartFormat chart="0" format="4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4"/>
          </reference>
        </references>
      </pivotArea>
    </chartFormat>
    <chartFormat chart="0" format="5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5"/>
          </reference>
        </references>
      </pivotArea>
    </chartFormat>
    <chartFormat chart="0" format="6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6"/>
          </reference>
        </references>
      </pivotArea>
    </chartFormat>
    <chartFormat chart="0" format="7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7"/>
          </reference>
        </references>
      </pivotArea>
    </chartFormat>
    <chartFormat chart="0" format="8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8"/>
          </reference>
        </references>
      </pivotArea>
    </chartFormat>
    <chartFormat chart="0" format="9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9"/>
          </reference>
        </references>
      </pivotArea>
    </chartFormat>
    <chartFormat chart="0" format="10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10"/>
          </reference>
        </references>
      </pivotArea>
    </chartFormat>
    <chartFormat chart="0" format="11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11"/>
          </reference>
        </references>
      </pivotArea>
    </chartFormat>
    <chartFormat chart="0" format="12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12"/>
          </reference>
        </references>
      </pivotArea>
    </chartFormat>
    <chartFormat chart="0" format="13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13"/>
          </reference>
        </references>
      </pivotArea>
    </chartFormat>
    <chartFormat chart="0" format="14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14"/>
          </reference>
        </references>
      </pivotArea>
    </chartFormat>
    <chartFormat chart="0" format="15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15"/>
          </reference>
        </references>
      </pivotArea>
    </chartFormat>
    <chartFormat chart="0" format="16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16"/>
          </reference>
        </references>
      </pivotArea>
    </chartFormat>
    <chartFormat chart="0" format="17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17"/>
          </reference>
        </references>
      </pivotArea>
    </chartFormat>
    <chartFormat chart="0" format="18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18"/>
          </reference>
        </references>
      </pivotArea>
    </chartFormat>
    <chartFormat chart="0" format="19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19"/>
          </reference>
        </references>
      </pivotArea>
    </chartFormat>
    <chartFormat chart="0" format="20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20"/>
          </reference>
        </references>
      </pivotArea>
    </chartFormat>
    <chartFormat chart="0" format="21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21"/>
          </reference>
        </references>
      </pivotArea>
    </chartFormat>
    <chartFormat chart="0" format="22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22"/>
          </reference>
        </references>
      </pivotArea>
    </chartFormat>
    <chartFormat chart="0" format="23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23"/>
          </reference>
        </references>
      </pivotArea>
    </chartFormat>
    <chartFormat chart="0" format="24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24"/>
          </reference>
        </references>
      </pivotArea>
    </chartFormat>
    <chartFormat chart="0" format="25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25"/>
          </reference>
        </references>
      </pivotArea>
    </chartFormat>
    <chartFormat chart="0" format="26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26"/>
          </reference>
        </references>
      </pivotArea>
    </chartFormat>
    <chartFormat chart="0" format="27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27"/>
          </reference>
        </references>
      </pivotArea>
    </chartFormat>
    <chartFormat chart="0" format="28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28"/>
          </reference>
        </references>
      </pivotArea>
    </chartFormat>
    <chartFormat chart="0" format="29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29"/>
          </reference>
        </references>
      </pivotArea>
    </chartFormat>
    <chartFormat chart="0" format="30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30"/>
          </reference>
        </references>
      </pivotArea>
    </chartFormat>
    <chartFormat chart="0" format="31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31"/>
          </reference>
        </references>
      </pivotArea>
    </chartFormat>
    <chartFormat chart="0" format="32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32"/>
          </reference>
        </references>
      </pivotArea>
    </chartFormat>
    <chartFormat chart="0" format="33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33"/>
          </reference>
        </references>
      </pivotArea>
    </chartFormat>
    <chartFormat chart="0" format="34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34"/>
          </reference>
        </references>
      </pivotArea>
    </chartFormat>
    <chartFormat chart="0" format="35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35"/>
          </reference>
        </references>
      </pivotArea>
    </chartFormat>
    <chartFormat chart="0" format="36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36"/>
          </reference>
        </references>
      </pivotArea>
    </chartFormat>
    <chartFormat chart="0" format="37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37"/>
          </reference>
        </references>
      </pivotArea>
    </chartFormat>
    <chartFormat chart="0" format="38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38"/>
          </reference>
        </references>
      </pivotArea>
    </chartFormat>
    <chartFormat chart="0" format="39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39"/>
          </reference>
        </references>
      </pivotArea>
    </chartFormat>
    <chartFormat chart="2" format="80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2" format="81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2" format="82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2"/>
          </reference>
        </references>
      </pivotArea>
    </chartFormat>
    <chartFormat chart="2" format="83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3"/>
          </reference>
        </references>
      </pivotArea>
    </chartFormat>
    <chartFormat chart="2" format="84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4"/>
          </reference>
        </references>
      </pivotArea>
    </chartFormat>
    <chartFormat chart="2" format="85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5"/>
          </reference>
        </references>
      </pivotArea>
    </chartFormat>
    <chartFormat chart="2" format="86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6"/>
          </reference>
        </references>
      </pivotArea>
    </chartFormat>
    <chartFormat chart="2" format="87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7"/>
          </reference>
        </references>
      </pivotArea>
    </chartFormat>
    <chartFormat chart="2" format="88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8"/>
          </reference>
        </references>
      </pivotArea>
    </chartFormat>
    <chartFormat chart="2" format="89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9"/>
          </reference>
        </references>
      </pivotArea>
    </chartFormat>
    <chartFormat chart="2" format="90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10"/>
          </reference>
        </references>
      </pivotArea>
    </chartFormat>
    <chartFormat chart="2" format="91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11"/>
          </reference>
        </references>
      </pivotArea>
    </chartFormat>
    <chartFormat chart="2" format="92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12"/>
          </reference>
        </references>
      </pivotArea>
    </chartFormat>
    <chartFormat chart="2" format="93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13"/>
          </reference>
        </references>
      </pivotArea>
    </chartFormat>
    <chartFormat chart="2" format="94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14"/>
          </reference>
        </references>
      </pivotArea>
    </chartFormat>
    <chartFormat chart="2" format="95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15"/>
          </reference>
        </references>
      </pivotArea>
    </chartFormat>
    <chartFormat chart="2" format="96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16"/>
          </reference>
        </references>
      </pivotArea>
    </chartFormat>
    <chartFormat chart="2" format="97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17"/>
          </reference>
        </references>
      </pivotArea>
    </chartFormat>
    <chartFormat chart="2" format="98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18"/>
          </reference>
        </references>
      </pivotArea>
    </chartFormat>
    <chartFormat chart="2" format="99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19"/>
          </reference>
        </references>
      </pivotArea>
    </chartFormat>
    <chartFormat chart="2" format="100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20"/>
          </reference>
        </references>
      </pivotArea>
    </chartFormat>
    <chartFormat chart="2" format="101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21"/>
          </reference>
        </references>
      </pivotArea>
    </chartFormat>
    <chartFormat chart="2" format="102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22"/>
          </reference>
        </references>
      </pivotArea>
    </chartFormat>
    <chartFormat chart="2" format="103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23"/>
          </reference>
        </references>
      </pivotArea>
    </chartFormat>
    <chartFormat chart="2" format="104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24"/>
          </reference>
        </references>
      </pivotArea>
    </chartFormat>
    <chartFormat chart="2" format="105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25"/>
          </reference>
        </references>
      </pivotArea>
    </chartFormat>
    <chartFormat chart="2" format="106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26"/>
          </reference>
        </references>
      </pivotArea>
    </chartFormat>
    <chartFormat chart="2" format="107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27"/>
          </reference>
        </references>
      </pivotArea>
    </chartFormat>
    <chartFormat chart="2" format="108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28"/>
          </reference>
        </references>
      </pivotArea>
    </chartFormat>
    <chartFormat chart="2" format="109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29"/>
          </reference>
        </references>
      </pivotArea>
    </chartFormat>
    <chartFormat chart="2" format="110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30"/>
          </reference>
        </references>
      </pivotArea>
    </chartFormat>
    <chartFormat chart="2" format="111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31"/>
          </reference>
        </references>
      </pivotArea>
    </chartFormat>
    <chartFormat chart="2" format="112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32"/>
          </reference>
        </references>
      </pivotArea>
    </chartFormat>
    <chartFormat chart="2" format="113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33"/>
          </reference>
        </references>
      </pivotArea>
    </chartFormat>
    <chartFormat chart="2" format="114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34"/>
          </reference>
        </references>
      </pivotArea>
    </chartFormat>
    <chartFormat chart="2" format="115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35"/>
          </reference>
        </references>
      </pivotArea>
    </chartFormat>
    <chartFormat chart="2" format="116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36"/>
          </reference>
        </references>
      </pivotArea>
    </chartFormat>
    <chartFormat chart="2" format="117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37"/>
          </reference>
        </references>
      </pivotArea>
    </chartFormat>
    <chartFormat chart="2" format="118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38"/>
          </reference>
        </references>
      </pivotArea>
    </chartFormat>
    <chartFormat chart="2" format="119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39"/>
          </reference>
        </references>
      </pivotArea>
    </chartFormat>
    <chartFormat chart="3" format="120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37"/>
          </reference>
        </references>
      </pivotArea>
    </chartFormat>
    <chartFormat chart="3" format="121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38"/>
          </reference>
        </references>
      </pivotArea>
    </chartFormat>
    <chartFormat chart="3" format="122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39"/>
          </reference>
        </references>
      </pivotArea>
    </chartFormat>
    <chartFormat chart="4" format="123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37"/>
          </reference>
        </references>
      </pivotArea>
    </chartFormat>
    <chartFormat chart="4" format="124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38"/>
          </reference>
        </references>
      </pivotArea>
    </chartFormat>
    <chartFormat chart="4" format="125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39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" xr16:uid="{CDFEA228-2992-4AE2-B5BE-A00A2EB878D8}" autoFormatId="16" applyNumberFormats="0" applyBorderFormats="0" applyFontFormats="0" applyPatternFormats="0" applyAlignmentFormats="0" applyWidthHeightFormats="0">
  <queryTableRefresh nextId="11" unboundColumnsRight="2">
    <queryTableFields count="9">
      <queryTableField id="1" name="DATE" tableColumnId="1"/>
      <queryTableField id="2" name="STDATE" tableColumnId="2"/>
      <queryTableField id="3" name="YEAR" tableColumnId="3"/>
      <queryTableField id="4" name="CO" tableColumnId="4"/>
      <queryTableField id="5" name="JCO" tableColumnId="5"/>
      <queryTableField id="6" name="CN" tableColumnId="6"/>
      <queryTableField id="7" name="JCN" tableColumnId="7"/>
      <queryTableField id="8" dataBound="0" tableColumnId="8"/>
      <queryTableField id="10" dataBound="0" tableColumnId="9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6A0C0ED-212E-47BF-8532-C96B454896E5}" name="STAMP_Escapement_Data" displayName="STAMP_Escapement_Data" ref="A1:I3066" tableType="queryTable" totalsRowShown="0">
  <autoFilter ref="A1:I3066" xr:uid="{B6A0C0ED-212E-47BF-8532-C96B454896E5}"/>
  <sortState xmlns:xlrd2="http://schemas.microsoft.com/office/spreadsheetml/2017/richdata2" ref="A2:H3000">
    <sortCondition ref="C2:C3000"/>
  </sortState>
  <tableColumns count="9">
    <tableColumn id="1" xr3:uid="{5B101CD6-D89E-48FD-A76B-95EC6568F805}" uniqueName="1" name="DATE" queryTableFieldId="1" dataDxfId="10"/>
    <tableColumn id="2" xr3:uid="{9BA80568-AAD5-4CD7-B542-9AAF7A9F8130}" uniqueName="2" name="STDATE" queryTableFieldId="2"/>
    <tableColumn id="3" xr3:uid="{65C7A5A9-DBCD-4C58-A7DE-0E8BC604C203}" uniqueName="3" name="YEAR" queryTableFieldId="3"/>
    <tableColumn id="4" xr3:uid="{3B4384BA-35AB-4D36-B6A5-CD6D3C0B6A69}" uniqueName="4" name="CO" queryTableFieldId="4"/>
    <tableColumn id="5" xr3:uid="{7A69662D-F7B5-4C7B-8CE9-9DDBA715A0C4}" uniqueName="5" name="JCO" queryTableFieldId="5"/>
    <tableColumn id="6" xr3:uid="{F7A7F3A1-7E22-48F0-AF92-BEF7685F0ECC}" uniqueName="6" name="CN" queryTableFieldId="6"/>
    <tableColumn id="7" xr3:uid="{95A50CD2-1A59-4EF4-8ACE-72D7962F60B4}" uniqueName="7" name="JCN" queryTableFieldId="7"/>
    <tableColumn id="8" xr3:uid="{B093CF9D-A5D1-47FA-9143-187E8C5F925E}" uniqueName="8" name="RunningCNTotal" queryTableFieldId="8" dataDxfId="1">
      <calculatedColumnFormula>SUMIFS($F$2:F2,$C$2:C2,C2)</calculatedColumnFormula>
    </tableColumn>
    <tableColumn id="9" xr3:uid="{141241F4-0B81-4A02-9BE1-95413DE338CB}" uniqueName="9" name="SinceAugust" queryTableFieldId="10" dataDxfId="0">
      <calculatedColumnFormula>STAMP_Escapement_Data[[#This Row],[DATE]]-DATE(STAMP_Escapement_Data[[#This Row],[YEAR]],8,1)</calculatedColumnFormula>
    </tableColumn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8E26ED-0CE7-41D9-B479-289B2A441579}">
  <dimension ref="A1:I3066"/>
  <sheetViews>
    <sheetView topLeftCell="A2" zoomScale="68" zoomScaleNormal="68" workbookViewId="0">
      <selection activeCell="D21" sqref="D21"/>
    </sheetView>
  </sheetViews>
  <sheetFormatPr defaultRowHeight="15" x14ac:dyDescent="0.25"/>
  <cols>
    <col min="1" max="1" width="13.7109375" bestFit="1" customWidth="1"/>
    <col min="2" max="2" width="9.42578125" bestFit="1" customWidth="1"/>
    <col min="3" max="3" width="7.42578125" bestFit="1" customWidth="1"/>
    <col min="4" max="4" width="9.28515625" customWidth="1"/>
    <col min="5" max="5" width="6.28515625" bestFit="1" customWidth="1"/>
    <col min="6" max="6" width="6" bestFit="1" customWidth="1"/>
    <col min="7" max="7" width="6.28515625" bestFit="1" customWidth="1"/>
    <col min="8" max="8" width="16.42578125" bestFit="1" customWidth="1"/>
    <col min="9" max="9" width="15.5703125" style="8" customWidth="1"/>
  </cols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9</v>
      </c>
      <c r="I1" s="8" t="s">
        <v>11</v>
      </c>
    </row>
    <row r="2" spans="1:9" x14ac:dyDescent="0.25">
      <c r="A2" s="1">
        <v>31673</v>
      </c>
      <c r="B2">
        <v>918</v>
      </c>
      <c r="C2">
        <v>1986</v>
      </c>
      <c r="D2">
        <v>35</v>
      </c>
      <c r="F2">
        <v>94</v>
      </c>
      <c r="H2">
        <f>SUMIFS($F$2:F2,$C$2:C2,C2)</f>
        <v>94</v>
      </c>
      <c r="I2" s="8">
        <f>STAMP_Escapement_Data[[#This Row],[DATE]]-DATE(STAMP_Escapement_Data[[#This Row],[YEAR]],8,1)</f>
        <v>48</v>
      </c>
    </row>
    <row r="3" spans="1:9" x14ac:dyDescent="0.25">
      <c r="A3" s="1">
        <v>31674</v>
      </c>
      <c r="B3">
        <v>919</v>
      </c>
      <c r="C3">
        <v>1986</v>
      </c>
      <c r="D3">
        <v>448</v>
      </c>
      <c r="F3">
        <v>197</v>
      </c>
      <c r="H3">
        <f>SUMIFS($F$2:F3,$C$2:C3,C3)</f>
        <v>291</v>
      </c>
      <c r="I3" s="8">
        <f>STAMP_Escapement_Data[[#This Row],[DATE]]-DATE(STAMP_Escapement_Data[[#This Row],[YEAR]],8,1)</f>
        <v>49</v>
      </c>
    </row>
    <row r="4" spans="1:9" x14ac:dyDescent="0.25">
      <c r="A4" s="1">
        <v>31675</v>
      </c>
      <c r="B4">
        <v>920</v>
      </c>
      <c r="C4">
        <v>1986</v>
      </c>
      <c r="D4">
        <v>7</v>
      </c>
      <c r="F4">
        <v>438</v>
      </c>
      <c r="H4">
        <f>SUMIFS($F$2:F4,$C$2:C4,C4)</f>
        <v>729</v>
      </c>
      <c r="I4" s="8">
        <f>STAMP_Escapement_Data[[#This Row],[DATE]]-DATE(STAMP_Escapement_Data[[#This Row],[YEAR]],8,1)</f>
        <v>50</v>
      </c>
    </row>
    <row r="5" spans="1:9" x14ac:dyDescent="0.25">
      <c r="A5" s="1">
        <v>31676</v>
      </c>
      <c r="B5">
        <v>921</v>
      </c>
      <c r="C5">
        <v>1986</v>
      </c>
      <c r="D5">
        <v>836</v>
      </c>
      <c r="F5">
        <v>634</v>
      </c>
      <c r="H5">
        <f>SUMIFS($F$2:F5,$C$2:C5,C5)</f>
        <v>1363</v>
      </c>
      <c r="I5" s="8">
        <f>STAMP_Escapement_Data[[#This Row],[DATE]]-DATE(STAMP_Escapement_Data[[#This Row],[YEAR]],8,1)</f>
        <v>51</v>
      </c>
    </row>
    <row r="6" spans="1:9" x14ac:dyDescent="0.25">
      <c r="A6" s="1">
        <v>31677</v>
      </c>
      <c r="B6">
        <v>922</v>
      </c>
      <c r="C6">
        <v>1986</v>
      </c>
      <c r="D6">
        <v>2103</v>
      </c>
      <c r="F6">
        <v>1336</v>
      </c>
      <c r="H6">
        <f>SUMIFS($F$2:F6,$C$2:C6,C6)</f>
        <v>2699</v>
      </c>
      <c r="I6" s="8">
        <f>STAMP_Escapement_Data[[#This Row],[DATE]]-DATE(STAMP_Escapement_Data[[#This Row],[YEAR]],8,1)</f>
        <v>52</v>
      </c>
    </row>
    <row r="7" spans="1:9" x14ac:dyDescent="0.25">
      <c r="A7" s="1">
        <v>31678</v>
      </c>
      <c r="B7">
        <v>923</v>
      </c>
      <c r="C7">
        <v>1986</v>
      </c>
      <c r="D7">
        <v>504</v>
      </c>
      <c r="F7">
        <v>1307</v>
      </c>
      <c r="H7">
        <f>SUMIFS($F$2:F7,$C$2:C7,C7)</f>
        <v>4006</v>
      </c>
      <c r="I7" s="8">
        <f>STAMP_Escapement_Data[[#This Row],[DATE]]-DATE(STAMP_Escapement_Data[[#This Row],[YEAR]],8,1)</f>
        <v>53</v>
      </c>
    </row>
    <row r="8" spans="1:9" x14ac:dyDescent="0.25">
      <c r="A8" s="1">
        <v>31679</v>
      </c>
      <c r="B8">
        <v>924</v>
      </c>
      <c r="C8">
        <v>1986</v>
      </c>
      <c r="D8">
        <v>188</v>
      </c>
      <c r="F8">
        <v>298</v>
      </c>
      <c r="H8">
        <f>SUMIFS($F$2:F8,$C$2:C8,C8)</f>
        <v>4304</v>
      </c>
      <c r="I8" s="8">
        <f>STAMP_Escapement_Data[[#This Row],[DATE]]-DATE(STAMP_Escapement_Data[[#This Row],[YEAR]],8,1)</f>
        <v>54</v>
      </c>
    </row>
    <row r="9" spans="1:9" x14ac:dyDescent="0.25">
      <c r="A9" s="1">
        <v>31680</v>
      </c>
      <c r="B9">
        <v>925</v>
      </c>
      <c r="C9">
        <v>1986</v>
      </c>
      <c r="D9">
        <v>1273</v>
      </c>
      <c r="F9">
        <v>568</v>
      </c>
      <c r="H9">
        <f>SUMIFS($F$2:F9,$C$2:C9,C9)</f>
        <v>4872</v>
      </c>
      <c r="I9" s="8">
        <f>STAMP_Escapement_Data[[#This Row],[DATE]]-DATE(STAMP_Escapement_Data[[#This Row],[YEAR]],8,1)</f>
        <v>55</v>
      </c>
    </row>
    <row r="10" spans="1:9" x14ac:dyDescent="0.25">
      <c r="A10" s="1">
        <v>31681</v>
      </c>
      <c r="B10">
        <v>926</v>
      </c>
      <c r="C10">
        <v>1986</v>
      </c>
      <c r="D10">
        <v>1033</v>
      </c>
      <c r="F10">
        <v>493</v>
      </c>
      <c r="H10">
        <f>SUMIFS($F$2:F10,$C$2:C10,C10)</f>
        <v>5365</v>
      </c>
      <c r="I10" s="8">
        <f>STAMP_Escapement_Data[[#This Row],[DATE]]-DATE(STAMP_Escapement_Data[[#This Row],[YEAR]],8,1)</f>
        <v>56</v>
      </c>
    </row>
    <row r="11" spans="1:9" x14ac:dyDescent="0.25">
      <c r="A11" s="1">
        <v>31682</v>
      </c>
      <c r="B11">
        <v>927</v>
      </c>
      <c r="C11">
        <v>1986</v>
      </c>
      <c r="D11">
        <v>12</v>
      </c>
      <c r="F11">
        <v>86</v>
      </c>
      <c r="H11">
        <f>SUMIFS($F$2:F11,$C$2:C11,C11)</f>
        <v>5451</v>
      </c>
      <c r="I11" s="8">
        <f>STAMP_Escapement_Data[[#This Row],[DATE]]-DATE(STAMP_Escapement_Data[[#This Row],[YEAR]],8,1)</f>
        <v>57</v>
      </c>
    </row>
    <row r="12" spans="1:9" x14ac:dyDescent="0.25">
      <c r="A12" s="1">
        <v>31683</v>
      </c>
      <c r="B12">
        <v>928</v>
      </c>
      <c r="C12">
        <v>1986</v>
      </c>
      <c r="D12">
        <v>302</v>
      </c>
      <c r="F12">
        <v>272</v>
      </c>
      <c r="H12">
        <f>SUMIFS($F$2:F12,$C$2:C12,C12)</f>
        <v>5723</v>
      </c>
      <c r="I12" s="8">
        <f>STAMP_Escapement_Data[[#This Row],[DATE]]-DATE(STAMP_Escapement_Data[[#This Row],[YEAR]],8,1)</f>
        <v>58</v>
      </c>
    </row>
    <row r="13" spans="1:9" x14ac:dyDescent="0.25">
      <c r="A13" s="1">
        <v>31684</v>
      </c>
      <c r="B13">
        <v>929</v>
      </c>
      <c r="C13">
        <v>1986</v>
      </c>
      <c r="D13">
        <v>1442</v>
      </c>
      <c r="F13">
        <v>677</v>
      </c>
      <c r="H13">
        <f>SUMIFS($F$2:F13,$C$2:C13,C13)</f>
        <v>6400</v>
      </c>
      <c r="I13" s="8">
        <f>STAMP_Escapement_Data[[#This Row],[DATE]]-DATE(STAMP_Escapement_Data[[#This Row],[YEAR]],8,1)</f>
        <v>59</v>
      </c>
    </row>
    <row r="14" spans="1:9" x14ac:dyDescent="0.25">
      <c r="A14" s="1">
        <v>31685</v>
      </c>
      <c r="B14">
        <v>930</v>
      </c>
      <c r="C14">
        <v>1986</v>
      </c>
      <c r="D14">
        <v>830</v>
      </c>
      <c r="F14">
        <v>643</v>
      </c>
      <c r="H14">
        <f>SUMIFS($F$2:F14,$C$2:C14,C14)</f>
        <v>7043</v>
      </c>
      <c r="I14" s="8">
        <f>STAMP_Escapement_Data[[#This Row],[DATE]]-DATE(STAMP_Escapement_Data[[#This Row],[YEAR]],8,1)</f>
        <v>60</v>
      </c>
    </row>
    <row r="15" spans="1:9" x14ac:dyDescent="0.25">
      <c r="A15" s="1">
        <v>31686</v>
      </c>
      <c r="B15">
        <v>1001</v>
      </c>
      <c r="C15">
        <v>1986</v>
      </c>
      <c r="D15">
        <v>1816</v>
      </c>
      <c r="F15">
        <v>561</v>
      </c>
      <c r="H15">
        <f>SUMIFS($F$2:F15,$C$2:C15,C15)</f>
        <v>7604</v>
      </c>
      <c r="I15" s="8">
        <f>STAMP_Escapement_Data[[#This Row],[DATE]]-DATE(STAMP_Escapement_Data[[#This Row],[YEAR]],8,1)</f>
        <v>61</v>
      </c>
    </row>
    <row r="16" spans="1:9" x14ac:dyDescent="0.25">
      <c r="A16" s="1">
        <v>31687</v>
      </c>
      <c r="B16">
        <v>1002</v>
      </c>
      <c r="C16">
        <v>1986</v>
      </c>
      <c r="D16">
        <v>1514</v>
      </c>
      <c r="F16">
        <v>682</v>
      </c>
      <c r="H16">
        <f>SUMIFS($F$2:F16,$C$2:C16,C16)</f>
        <v>8286</v>
      </c>
      <c r="I16" s="8">
        <f>STAMP_Escapement_Data[[#This Row],[DATE]]-DATE(STAMP_Escapement_Data[[#This Row],[YEAR]],8,1)</f>
        <v>62</v>
      </c>
    </row>
    <row r="17" spans="1:9" x14ac:dyDescent="0.25">
      <c r="A17" s="1">
        <v>31688</v>
      </c>
      <c r="B17">
        <v>1003</v>
      </c>
      <c r="C17">
        <v>1986</v>
      </c>
      <c r="D17">
        <v>1754</v>
      </c>
      <c r="F17">
        <v>596</v>
      </c>
      <c r="H17">
        <f>SUMIFS($F$2:F17,$C$2:C17,C17)</f>
        <v>8882</v>
      </c>
      <c r="I17" s="8">
        <f>STAMP_Escapement_Data[[#This Row],[DATE]]-DATE(STAMP_Escapement_Data[[#This Row],[YEAR]],8,1)</f>
        <v>63</v>
      </c>
    </row>
    <row r="18" spans="1:9" x14ac:dyDescent="0.25">
      <c r="A18" s="1">
        <v>31689</v>
      </c>
      <c r="B18">
        <v>1004</v>
      </c>
      <c r="C18">
        <v>1986</v>
      </c>
      <c r="D18">
        <v>2363</v>
      </c>
      <c r="F18">
        <v>1203</v>
      </c>
      <c r="H18">
        <f>SUMIFS($F$2:F18,$C$2:C18,C18)</f>
        <v>10085</v>
      </c>
      <c r="I18" s="8">
        <f>STAMP_Escapement_Data[[#This Row],[DATE]]-DATE(STAMP_Escapement_Data[[#This Row],[YEAR]],8,1)</f>
        <v>64</v>
      </c>
    </row>
    <row r="19" spans="1:9" x14ac:dyDescent="0.25">
      <c r="A19" s="1">
        <v>31690</v>
      </c>
      <c r="B19">
        <v>1005</v>
      </c>
      <c r="C19">
        <v>1986</v>
      </c>
      <c r="D19">
        <v>1831</v>
      </c>
      <c r="F19">
        <v>1722</v>
      </c>
      <c r="H19">
        <f>SUMIFS($F$2:F19,$C$2:C19,C19)</f>
        <v>11807</v>
      </c>
      <c r="I19" s="8">
        <f>STAMP_Escapement_Data[[#This Row],[DATE]]-DATE(STAMP_Escapement_Data[[#This Row],[YEAR]],8,1)</f>
        <v>65</v>
      </c>
    </row>
    <row r="20" spans="1:9" x14ac:dyDescent="0.25">
      <c r="A20" s="1">
        <v>31691</v>
      </c>
      <c r="B20">
        <v>1006</v>
      </c>
      <c r="C20">
        <v>1986</v>
      </c>
      <c r="D20">
        <v>955</v>
      </c>
      <c r="F20">
        <v>1014</v>
      </c>
      <c r="H20">
        <f>SUMIFS($F$2:F20,$C$2:C20,C20)</f>
        <v>12821</v>
      </c>
      <c r="I20" s="8">
        <f>STAMP_Escapement_Data[[#This Row],[DATE]]-DATE(STAMP_Escapement_Data[[#This Row],[YEAR]],8,1)</f>
        <v>66</v>
      </c>
    </row>
    <row r="21" spans="1:9" x14ac:dyDescent="0.25">
      <c r="A21" s="1">
        <v>31692</v>
      </c>
      <c r="B21">
        <v>1007</v>
      </c>
      <c r="C21">
        <v>1986</v>
      </c>
      <c r="D21">
        <v>804</v>
      </c>
      <c r="F21">
        <v>1796</v>
      </c>
      <c r="H21">
        <f>SUMIFS($F$2:F21,$C$2:C21,C21)</f>
        <v>14617</v>
      </c>
      <c r="I21" s="8">
        <f>STAMP_Escapement_Data[[#This Row],[DATE]]-DATE(STAMP_Escapement_Data[[#This Row],[YEAR]],8,1)</f>
        <v>67</v>
      </c>
    </row>
    <row r="22" spans="1:9" x14ac:dyDescent="0.25">
      <c r="A22" s="1">
        <v>31693</v>
      </c>
      <c r="B22">
        <v>1008</v>
      </c>
      <c r="C22">
        <v>1986</v>
      </c>
      <c r="D22">
        <v>607</v>
      </c>
      <c r="F22">
        <v>2448</v>
      </c>
      <c r="H22">
        <f>SUMIFS($F$2:F22,$C$2:C22,C22)</f>
        <v>17065</v>
      </c>
      <c r="I22" s="8">
        <f>STAMP_Escapement_Data[[#This Row],[DATE]]-DATE(STAMP_Escapement_Data[[#This Row],[YEAR]],8,1)</f>
        <v>68</v>
      </c>
    </row>
    <row r="23" spans="1:9" x14ac:dyDescent="0.25">
      <c r="A23" s="1">
        <v>31694</v>
      </c>
      <c r="B23">
        <v>1009</v>
      </c>
      <c r="C23">
        <v>1986</v>
      </c>
      <c r="D23">
        <v>489</v>
      </c>
      <c r="F23">
        <v>2268</v>
      </c>
      <c r="H23">
        <f>SUMIFS($F$2:F23,$C$2:C23,C23)</f>
        <v>19333</v>
      </c>
      <c r="I23" s="8">
        <f>STAMP_Escapement_Data[[#This Row],[DATE]]-DATE(STAMP_Escapement_Data[[#This Row],[YEAR]],8,1)</f>
        <v>69</v>
      </c>
    </row>
    <row r="24" spans="1:9" x14ac:dyDescent="0.25">
      <c r="A24" s="1">
        <v>31695</v>
      </c>
      <c r="B24">
        <v>1010</v>
      </c>
      <c r="C24">
        <v>1986</v>
      </c>
      <c r="D24">
        <v>368</v>
      </c>
      <c r="F24">
        <v>1394</v>
      </c>
      <c r="H24">
        <f>SUMIFS($F$2:F24,$C$2:C24,C24)</f>
        <v>20727</v>
      </c>
      <c r="I24" s="8">
        <f>STAMP_Escapement_Data[[#This Row],[DATE]]-DATE(STAMP_Escapement_Data[[#This Row],[YEAR]],8,1)</f>
        <v>70</v>
      </c>
    </row>
    <row r="25" spans="1:9" x14ac:dyDescent="0.25">
      <c r="A25" s="1">
        <v>31696</v>
      </c>
      <c r="B25">
        <v>1011</v>
      </c>
      <c r="C25">
        <v>1986</v>
      </c>
      <c r="D25">
        <v>265</v>
      </c>
      <c r="F25">
        <v>928</v>
      </c>
      <c r="H25">
        <f>SUMIFS($F$2:F25,$C$2:C25,C25)</f>
        <v>21655</v>
      </c>
      <c r="I25" s="8">
        <f>STAMP_Escapement_Data[[#This Row],[DATE]]-DATE(STAMP_Escapement_Data[[#This Row],[YEAR]],8,1)</f>
        <v>71</v>
      </c>
    </row>
    <row r="26" spans="1:9" x14ac:dyDescent="0.25">
      <c r="A26" s="1">
        <v>31697</v>
      </c>
      <c r="B26">
        <v>1012</v>
      </c>
      <c r="C26">
        <v>1986</v>
      </c>
      <c r="D26">
        <v>248</v>
      </c>
      <c r="F26">
        <v>892</v>
      </c>
      <c r="H26">
        <f>SUMIFS($F$2:F26,$C$2:C26,C26)</f>
        <v>22547</v>
      </c>
      <c r="I26" s="8">
        <f>STAMP_Escapement_Data[[#This Row],[DATE]]-DATE(STAMP_Escapement_Data[[#This Row],[YEAR]],8,1)</f>
        <v>72</v>
      </c>
    </row>
    <row r="27" spans="1:9" x14ac:dyDescent="0.25">
      <c r="A27" s="1">
        <v>31698</v>
      </c>
      <c r="B27">
        <v>1013</v>
      </c>
      <c r="C27">
        <v>1986</v>
      </c>
      <c r="D27">
        <v>202</v>
      </c>
      <c r="F27">
        <v>841</v>
      </c>
      <c r="H27">
        <f>SUMIFS($F$2:F27,$C$2:C27,C27)</f>
        <v>23388</v>
      </c>
      <c r="I27" s="8">
        <f>STAMP_Escapement_Data[[#This Row],[DATE]]-DATE(STAMP_Escapement_Data[[#This Row],[YEAR]],8,1)</f>
        <v>73</v>
      </c>
    </row>
    <row r="28" spans="1:9" x14ac:dyDescent="0.25">
      <c r="A28" s="1">
        <v>31699</v>
      </c>
      <c r="B28">
        <v>1014</v>
      </c>
      <c r="C28">
        <v>1986</v>
      </c>
      <c r="D28">
        <v>290</v>
      </c>
      <c r="F28">
        <v>928</v>
      </c>
      <c r="H28">
        <f>SUMIFS($F$2:F28,$C$2:C28,C28)</f>
        <v>24316</v>
      </c>
      <c r="I28" s="8">
        <f>STAMP_Escapement_Data[[#This Row],[DATE]]-DATE(STAMP_Escapement_Data[[#This Row],[YEAR]],8,1)</f>
        <v>74</v>
      </c>
    </row>
    <row r="29" spans="1:9" x14ac:dyDescent="0.25">
      <c r="A29" s="1">
        <v>31700</v>
      </c>
      <c r="B29">
        <v>1015</v>
      </c>
      <c r="C29">
        <v>1986</v>
      </c>
      <c r="D29">
        <v>750</v>
      </c>
      <c r="F29">
        <v>1371</v>
      </c>
      <c r="H29">
        <f>SUMIFS($F$2:F29,$C$2:C29,C29)</f>
        <v>25687</v>
      </c>
      <c r="I29" s="8">
        <f>STAMP_Escapement_Data[[#This Row],[DATE]]-DATE(STAMP_Escapement_Data[[#This Row],[YEAR]],8,1)</f>
        <v>75</v>
      </c>
    </row>
    <row r="30" spans="1:9" x14ac:dyDescent="0.25">
      <c r="A30" s="1">
        <v>31701</v>
      </c>
      <c r="B30">
        <v>1016</v>
      </c>
      <c r="C30">
        <v>1986</v>
      </c>
      <c r="D30">
        <v>236</v>
      </c>
      <c r="F30">
        <v>1798</v>
      </c>
      <c r="H30">
        <f>SUMIFS($F$2:F30,$C$2:C30,C30)</f>
        <v>27485</v>
      </c>
      <c r="I30" s="8">
        <f>STAMP_Escapement_Data[[#This Row],[DATE]]-DATE(STAMP_Escapement_Data[[#This Row],[YEAR]],8,1)</f>
        <v>76</v>
      </c>
    </row>
    <row r="31" spans="1:9" x14ac:dyDescent="0.25">
      <c r="A31" s="1">
        <v>31702</v>
      </c>
      <c r="B31">
        <v>1017</v>
      </c>
      <c r="C31">
        <v>1986</v>
      </c>
      <c r="D31">
        <v>145</v>
      </c>
      <c r="F31">
        <v>650</v>
      </c>
      <c r="H31">
        <f>SUMIFS($F$2:F31,$C$2:C31,C31)</f>
        <v>28135</v>
      </c>
      <c r="I31" s="8">
        <f>STAMP_Escapement_Data[[#This Row],[DATE]]-DATE(STAMP_Escapement_Data[[#This Row],[YEAR]],8,1)</f>
        <v>77</v>
      </c>
    </row>
    <row r="32" spans="1:9" x14ac:dyDescent="0.25">
      <c r="A32" s="1">
        <v>31703</v>
      </c>
      <c r="B32">
        <v>1018</v>
      </c>
      <c r="C32">
        <v>1986</v>
      </c>
      <c r="D32">
        <v>232</v>
      </c>
      <c r="F32">
        <v>1375</v>
      </c>
      <c r="H32">
        <f>SUMIFS($F$2:F32,$C$2:C32,C32)</f>
        <v>29510</v>
      </c>
      <c r="I32" s="8">
        <f>STAMP_Escapement_Data[[#This Row],[DATE]]-DATE(STAMP_Escapement_Data[[#This Row],[YEAR]],8,1)</f>
        <v>78</v>
      </c>
    </row>
    <row r="33" spans="1:9" x14ac:dyDescent="0.25">
      <c r="A33" s="1">
        <v>31704</v>
      </c>
      <c r="B33">
        <v>1019</v>
      </c>
      <c r="C33">
        <v>1986</v>
      </c>
      <c r="D33">
        <v>91</v>
      </c>
      <c r="F33">
        <v>422</v>
      </c>
      <c r="H33">
        <f>SUMIFS($F$2:F33,$C$2:C33,C33)</f>
        <v>29932</v>
      </c>
      <c r="I33" s="8">
        <f>STAMP_Escapement_Data[[#This Row],[DATE]]-DATE(STAMP_Escapement_Data[[#This Row],[YEAR]],8,1)</f>
        <v>79</v>
      </c>
    </row>
    <row r="34" spans="1:9" x14ac:dyDescent="0.25">
      <c r="A34" s="1">
        <v>31705</v>
      </c>
      <c r="B34">
        <v>1020</v>
      </c>
      <c r="C34">
        <v>1986</v>
      </c>
      <c r="D34">
        <v>199</v>
      </c>
      <c r="F34">
        <v>1048</v>
      </c>
      <c r="H34">
        <f>SUMIFS($F$2:F34,$C$2:C34,C34)</f>
        <v>30980</v>
      </c>
      <c r="I34" s="8">
        <f>STAMP_Escapement_Data[[#This Row],[DATE]]-DATE(STAMP_Escapement_Data[[#This Row],[YEAR]],8,1)</f>
        <v>80</v>
      </c>
    </row>
    <row r="35" spans="1:9" x14ac:dyDescent="0.25">
      <c r="A35" s="1">
        <v>31706</v>
      </c>
      <c r="B35">
        <v>1021</v>
      </c>
      <c r="C35">
        <v>1986</v>
      </c>
      <c r="D35">
        <v>187</v>
      </c>
      <c r="F35">
        <v>630</v>
      </c>
      <c r="H35">
        <f>SUMIFS($F$2:F35,$C$2:C35,C35)</f>
        <v>31610</v>
      </c>
      <c r="I35" s="8">
        <f>STAMP_Escapement_Data[[#This Row],[DATE]]-DATE(STAMP_Escapement_Data[[#This Row],[YEAR]],8,1)</f>
        <v>81</v>
      </c>
    </row>
    <row r="36" spans="1:9" x14ac:dyDescent="0.25">
      <c r="A36" s="1">
        <v>31707</v>
      </c>
      <c r="B36">
        <v>1022</v>
      </c>
      <c r="C36">
        <v>1986</v>
      </c>
      <c r="D36">
        <v>321</v>
      </c>
      <c r="F36">
        <v>701</v>
      </c>
      <c r="H36">
        <f>SUMIFS($F$2:F36,$C$2:C36,C36)</f>
        <v>32311</v>
      </c>
      <c r="I36" s="8">
        <f>STAMP_Escapement_Data[[#This Row],[DATE]]-DATE(STAMP_Escapement_Data[[#This Row],[YEAR]],8,1)</f>
        <v>82</v>
      </c>
    </row>
    <row r="37" spans="1:9" x14ac:dyDescent="0.25">
      <c r="A37" s="1">
        <v>31708</v>
      </c>
      <c r="B37">
        <v>1023</v>
      </c>
      <c r="C37">
        <v>1986</v>
      </c>
      <c r="D37">
        <v>452</v>
      </c>
      <c r="F37">
        <v>1136</v>
      </c>
      <c r="H37">
        <f>SUMIFS($F$2:F37,$C$2:C37,C37)</f>
        <v>33447</v>
      </c>
      <c r="I37" s="8">
        <f>STAMP_Escapement_Data[[#This Row],[DATE]]-DATE(STAMP_Escapement_Data[[#This Row],[YEAR]],8,1)</f>
        <v>83</v>
      </c>
    </row>
    <row r="38" spans="1:9" x14ac:dyDescent="0.25">
      <c r="A38" s="1">
        <v>31709</v>
      </c>
      <c r="B38">
        <v>1024</v>
      </c>
      <c r="C38">
        <v>1986</v>
      </c>
      <c r="D38">
        <v>223</v>
      </c>
      <c r="F38">
        <v>481</v>
      </c>
      <c r="H38">
        <f>SUMIFS($F$2:F38,$C$2:C38,C38)</f>
        <v>33928</v>
      </c>
      <c r="I38" s="8">
        <f>STAMP_Escapement_Data[[#This Row],[DATE]]-DATE(STAMP_Escapement_Data[[#This Row],[YEAR]],8,1)</f>
        <v>84</v>
      </c>
    </row>
    <row r="39" spans="1:9" x14ac:dyDescent="0.25">
      <c r="A39" s="1">
        <v>31710</v>
      </c>
      <c r="B39">
        <v>1025</v>
      </c>
      <c r="C39">
        <v>1986</v>
      </c>
      <c r="D39">
        <v>146</v>
      </c>
      <c r="F39">
        <v>261</v>
      </c>
      <c r="H39">
        <f>SUMIFS($F$2:F39,$C$2:C39,C39)</f>
        <v>34189</v>
      </c>
      <c r="I39" s="8">
        <f>STAMP_Escapement_Data[[#This Row],[DATE]]-DATE(STAMP_Escapement_Data[[#This Row],[YEAR]],8,1)</f>
        <v>85</v>
      </c>
    </row>
    <row r="40" spans="1:9" x14ac:dyDescent="0.25">
      <c r="A40" s="1">
        <v>31711</v>
      </c>
      <c r="B40">
        <v>1026</v>
      </c>
      <c r="C40">
        <v>1986</v>
      </c>
      <c r="D40">
        <v>47</v>
      </c>
      <c r="F40">
        <v>104</v>
      </c>
      <c r="H40">
        <f>SUMIFS($F$2:F40,$C$2:C40,C40)</f>
        <v>34293</v>
      </c>
      <c r="I40" s="8">
        <f>STAMP_Escapement_Data[[#This Row],[DATE]]-DATE(STAMP_Escapement_Data[[#This Row],[YEAR]],8,1)</f>
        <v>86</v>
      </c>
    </row>
    <row r="41" spans="1:9" x14ac:dyDescent="0.25">
      <c r="A41" s="1">
        <v>31712</v>
      </c>
      <c r="B41">
        <v>1027</v>
      </c>
      <c r="C41">
        <v>1986</v>
      </c>
      <c r="D41">
        <v>494</v>
      </c>
      <c r="F41">
        <v>289</v>
      </c>
      <c r="H41">
        <f>SUMIFS($F$2:F41,$C$2:C41,C41)</f>
        <v>34582</v>
      </c>
      <c r="I41" s="8">
        <f>STAMP_Escapement_Data[[#This Row],[DATE]]-DATE(STAMP_Escapement_Data[[#This Row],[YEAR]],8,1)</f>
        <v>87</v>
      </c>
    </row>
    <row r="42" spans="1:9" x14ac:dyDescent="0.25">
      <c r="A42" s="1">
        <v>31713</v>
      </c>
      <c r="B42">
        <v>1028</v>
      </c>
      <c r="C42">
        <v>1986</v>
      </c>
      <c r="D42">
        <v>0</v>
      </c>
      <c r="F42">
        <v>0</v>
      </c>
      <c r="H42">
        <f>SUMIFS($F$2:F42,$C$2:C42,C42)</f>
        <v>34582</v>
      </c>
      <c r="I42" s="8">
        <f>STAMP_Escapement_Data[[#This Row],[DATE]]-DATE(STAMP_Escapement_Data[[#This Row],[YEAR]],8,1)</f>
        <v>88</v>
      </c>
    </row>
    <row r="43" spans="1:9" x14ac:dyDescent="0.25">
      <c r="A43" s="1">
        <v>31714</v>
      </c>
      <c r="B43">
        <v>1029</v>
      </c>
      <c r="C43">
        <v>1986</v>
      </c>
      <c r="D43">
        <v>116</v>
      </c>
      <c r="F43">
        <v>75</v>
      </c>
      <c r="H43">
        <f>SUMIFS($F$2:F43,$C$2:C43,C43)</f>
        <v>34657</v>
      </c>
      <c r="I43" s="8">
        <f>STAMP_Escapement_Data[[#This Row],[DATE]]-DATE(STAMP_Escapement_Data[[#This Row],[YEAR]],8,1)</f>
        <v>89</v>
      </c>
    </row>
    <row r="44" spans="1:9" x14ac:dyDescent="0.25">
      <c r="A44" s="1">
        <v>31715</v>
      </c>
      <c r="B44">
        <v>1030</v>
      </c>
      <c r="C44">
        <v>1986</v>
      </c>
      <c r="D44">
        <v>136</v>
      </c>
      <c r="F44">
        <v>10</v>
      </c>
      <c r="H44">
        <f>SUMIFS($F$2:F44,$C$2:C44,C44)</f>
        <v>34667</v>
      </c>
      <c r="I44" s="8">
        <f>STAMP_Escapement_Data[[#This Row],[DATE]]-DATE(STAMP_Escapement_Data[[#This Row],[YEAR]],8,1)</f>
        <v>90</v>
      </c>
    </row>
    <row r="45" spans="1:9" x14ac:dyDescent="0.25">
      <c r="A45" s="1">
        <v>31716</v>
      </c>
      <c r="B45">
        <v>1031</v>
      </c>
      <c r="C45">
        <v>1986</v>
      </c>
      <c r="D45">
        <v>326</v>
      </c>
      <c r="F45">
        <v>5</v>
      </c>
      <c r="H45">
        <f>SUMIFS($F$2:F45,$C$2:C45,C45)</f>
        <v>34672</v>
      </c>
      <c r="I45" s="8">
        <f>STAMP_Escapement_Data[[#This Row],[DATE]]-DATE(STAMP_Escapement_Data[[#This Row],[YEAR]],8,1)</f>
        <v>91</v>
      </c>
    </row>
    <row r="46" spans="1:9" x14ac:dyDescent="0.25">
      <c r="A46" s="1">
        <v>31717</v>
      </c>
      <c r="B46">
        <v>1101</v>
      </c>
      <c r="C46">
        <v>1986</v>
      </c>
      <c r="D46">
        <v>130</v>
      </c>
      <c r="F46">
        <v>1</v>
      </c>
      <c r="H46">
        <f>SUMIFS($F$2:F46,$C$2:C46,C46)</f>
        <v>34673</v>
      </c>
      <c r="I46" s="8">
        <f>STAMP_Escapement_Data[[#This Row],[DATE]]-DATE(STAMP_Escapement_Data[[#This Row],[YEAR]],8,1)</f>
        <v>92</v>
      </c>
    </row>
    <row r="47" spans="1:9" x14ac:dyDescent="0.25">
      <c r="A47" s="1">
        <v>31718</v>
      </c>
      <c r="B47">
        <v>1102</v>
      </c>
      <c r="C47">
        <v>1986</v>
      </c>
      <c r="D47">
        <v>74</v>
      </c>
      <c r="F47">
        <v>5</v>
      </c>
      <c r="H47">
        <f>SUMIFS($F$2:F47,$C$2:C47,C47)</f>
        <v>34678</v>
      </c>
      <c r="I47" s="8">
        <f>STAMP_Escapement_Data[[#This Row],[DATE]]-DATE(STAMP_Escapement_Data[[#This Row],[YEAR]],8,1)</f>
        <v>93</v>
      </c>
    </row>
    <row r="48" spans="1:9" x14ac:dyDescent="0.25">
      <c r="A48" s="1">
        <v>31719</v>
      </c>
      <c r="B48">
        <v>1103</v>
      </c>
      <c r="C48">
        <v>1986</v>
      </c>
      <c r="D48">
        <v>65</v>
      </c>
      <c r="F48">
        <v>31</v>
      </c>
      <c r="H48">
        <f>SUMIFS($F$2:F48,$C$2:C48,C48)</f>
        <v>34709</v>
      </c>
      <c r="I48" s="8">
        <f>STAMP_Escapement_Data[[#This Row],[DATE]]-DATE(STAMP_Escapement_Data[[#This Row],[YEAR]],8,1)</f>
        <v>94</v>
      </c>
    </row>
    <row r="49" spans="1:9" x14ac:dyDescent="0.25">
      <c r="A49" s="1">
        <v>31720</v>
      </c>
      <c r="B49">
        <v>1104</v>
      </c>
      <c r="C49">
        <v>1986</v>
      </c>
      <c r="D49">
        <v>75</v>
      </c>
      <c r="F49">
        <v>44</v>
      </c>
      <c r="H49">
        <f>SUMIFS($F$2:F49,$C$2:C49,C49)</f>
        <v>34753</v>
      </c>
      <c r="I49" s="8">
        <f>STAMP_Escapement_Data[[#This Row],[DATE]]-DATE(STAMP_Escapement_Data[[#This Row],[YEAR]],8,1)</f>
        <v>95</v>
      </c>
    </row>
    <row r="50" spans="1:9" x14ac:dyDescent="0.25">
      <c r="A50" s="1">
        <v>31721</v>
      </c>
      <c r="B50">
        <v>1105</v>
      </c>
      <c r="C50">
        <v>1986</v>
      </c>
      <c r="D50">
        <v>63</v>
      </c>
      <c r="F50">
        <v>33</v>
      </c>
      <c r="H50">
        <f>SUMIFS($F$2:F50,$C$2:C50,C50)</f>
        <v>34786</v>
      </c>
      <c r="I50" s="8">
        <f>STAMP_Escapement_Data[[#This Row],[DATE]]-DATE(STAMP_Escapement_Data[[#This Row],[YEAR]],8,1)</f>
        <v>96</v>
      </c>
    </row>
    <row r="51" spans="1:9" x14ac:dyDescent="0.25">
      <c r="A51" s="1">
        <v>31722</v>
      </c>
      <c r="B51">
        <v>1106</v>
      </c>
      <c r="C51">
        <v>1986</v>
      </c>
      <c r="D51">
        <v>77</v>
      </c>
      <c r="F51">
        <v>14</v>
      </c>
      <c r="H51">
        <f>SUMIFS($F$2:F51,$C$2:C51,C51)</f>
        <v>34800</v>
      </c>
      <c r="I51" s="8">
        <f>STAMP_Escapement_Data[[#This Row],[DATE]]-DATE(STAMP_Escapement_Data[[#This Row],[YEAR]],8,1)</f>
        <v>97</v>
      </c>
    </row>
    <row r="52" spans="1:9" x14ac:dyDescent="0.25">
      <c r="A52" s="1">
        <v>31723</v>
      </c>
      <c r="B52">
        <v>1107</v>
      </c>
      <c r="C52">
        <v>1986</v>
      </c>
      <c r="D52">
        <v>22</v>
      </c>
      <c r="F52">
        <v>1</v>
      </c>
      <c r="H52">
        <f>SUMIFS($F$2:F52,$C$2:C52,C52)</f>
        <v>34801</v>
      </c>
      <c r="I52" s="8">
        <f>STAMP_Escapement_Data[[#This Row],[DATE]]-DATE(STAMP_Escapement_Data[[#This Row],[YEAR]],8,1)</f>
        <v>98</v>
      </c>
    </row>
    <row r="53" spans="1:9" x14ac:dyDescent="0.25">
      <c r="A53" s="1">
        <v>31724</v>
      </c>
      <c r="B53">
        <v>1108</v>
      </c>
      <c r="C53">
        <v>1986</v>
      </c>
      <c r="D53">
        <v>0</v>
      </c>
      <c r="F53">
        <v>0</v>
      </c>
      <c r="H53">
        <f>SUMIFS($F$2:F53,$C$2:C53,C53)</f>
        <v>34801</v>
      </c>
      <c r="I53" s="8">
        <f>STAMP_Escapement_Data[[#This Row],[DATE]]-DATE(STAMP_Escapement_Data[[#This Row],[YEAR]],8,1)</f>
        <v>99</v>
      </c>
    </row>
    <row r="54" spans="1:9" x14ac:dyDescent="0.25">
      <c r="A54" s="1">
        <v>31725</v>
      </c>
      <c r="B54">
        <v>1109</v>
      </c>
      <c r="C54">
        <v>1986</v>
      </c>
      <c r="D54">
        <v>69</v>
      </c>
      <c r="F54">
        <v>320</v>
      </c>
      <c r="H54">
        <f>SUMIFS($F$2:F54,$C$2:C54,C54)</f>
        <v>35121</v>
      </c>
      <c r="I54" s="8">
        <f>STAMP_Escapement_Data[[#This Row],[DATE]]-DATE(STAMP_Escapement_Data[[#This Row],[YEAR]],8,1)</f>
        <v>100</v>
      </c>
    </row>
    <row r="55" spans="1:9" x14ac:dyDescent="0.25">
      <c r="A55" s="1">
        <v>32048</v>
      </c>
      <c r="B55">
        <v>928</v>
      </c>
      <c r="C55">
        <v>1987</v>
      </c>
      <c r="D55">
        <v>1152</v>
      </c>
      <c r="F55">
        <v>293</v>
      </c>
      <c r="H55">
        <f>SUMIFS($F$2:F55,$C$2:C55,C55)</f>
        <v>293</v>
      </c>
      <c r="I55" s="8">
        <f>STAMP_Escapement_Data[[#This Row],[DATE]]-DATE(STAMP_Escapement_Data[[#This Row],[YEAR]],8,1)</f>
        <v>58</v>
      </c>
    </row>
    <row r="56" spans="1:9" x14ac:dyDescent="0.25">
      <c r="A56" s="1">
        <v>32049</v>
      </c>
      <c r="B56">
        <v>929</v>
      </c>
      <c r="C56">
        <v>1987</v>
      </c>
      <c r="D56">
        <v>1701</v>
      </c>
      <c r="F56">
        <v>371</v>
      </c>
      <c r="H56">
        <f>SUMIFS($F$2:F56,$C$2:C56,C56)</f>
        <v>664</v>
      </c>
      <c r="I56" s="8">
        <f>STAMP_Escapement_Data[[#This Row],[DATE]]-DATE(STAMP_Escapement_Data[[#This Row],[YEAR]],8,1)</f>
        <v>59</v>
      </c>
    </row>
    <row r="57" spans="1:9" x14ac:dyDescent="0.25">
      <c r="A57" s="1">
        <v>32050</v>
      </c>
      <c r="B57">
        <v>930</v>
      </c>
      <c r="C57">
        <v>1987</v>
      </c>
      <c r="D57">
        <v>1042</v>
      </c>
      <c r="F57">
        <v>453</v>
      </c>
      <c r="H57">
        <f>SUMIFS($F$2:F57,$C$2:C57,C57)</f>
        <v>1117</v>
      </c>
      <c r="I57" s="8">
        <f>STAMP_Escapement_Data[[#This Row],[DATE]]-DATE(STAMP_Escapement_Data[[#This Row],[YEAR]],8,1)</f>
        <v>60</v>
      </c>
    </row>
    <row r="58" spans="1:9" x14ac:dyDescent="0.25">
      <c r="A58" s="1">
        <v>32051</v>
      </c>
      <c r="B58">
        <v>1001</v>
      </c>
      <c r="C58">
        <v>1987</v>
      </c>
      <c r="D58">
        <v>1484</v>
      </c>
      <c r="F58">
        <v>569</v>
      </c>
      <c r="H58">
        <f>SUMIFS($F$2:F58,$C$2:C58,C58)</f>
        <v>1686</v>
      </c>
      <c r="I58" s="8">
        <f>STAMP_Escapement_Data[[#This Row],[DATE]]-DATE(STAMP_Escapement_Data[[#This Row],[YEAR]],8,1)</f>
        <v>61</v>
      </c>
    </row>
    <row r="59" spans="1:9" x14ac:dyDescent="0.25">
      <c r="A59" s="1">
        <v>32052</v>
      </c>
      <c r="B59">
        <v>1002</v>
      </c>
      <c r="C59">
        <v>1987</v>
      </c>
      <c r="D59">
        <v>1985</v>
      </c>
      <c r="F59">
        <v>785</v>
      </c>
      <c r="H59">
        <f>SUMIFS($F$2:F59,$C$2:C59,C59)</f>
        <v>2471</v>
      </c>
      <c r="I59" s="8">
        <f>STAMP_Escapement_Data[[#This Row],[DATE]]-DATE(STAMP_Escapement_Data[[#This Row],[YEAR]],8,1)</f>
        <v>62</v>
      </c>
    </row>
    <row r="60" spans="1:9" x14ac:dyDescent="0.25">
      <c r="A60" s="1">
        <v>32053</v>
      </c>
      <c r="B60">
        <v>1003</v>
      </c>
      <c r="C60">
        <v>1987</v>
      </c>
      <c r="D60">
        <v>1507</v>
      </c>
      <c r="F60">
        <v>861</v>
      </c>
      <c r="H60">
        <f>SUMIFS($F$2:F60,$C$2:C60,C60)</f>
        <v>3332</v>
      </c>
      <c r="I60" s="8">
        <f>STAMP_Escapement_Data[[#This Row],[DATE]]-DATE(STAMP_Escapement_Data[[#This Row],[YEAR]],8,1)</f>
        <v>63</v>
      </c>
    </row>
    <row r="61" spans="1:9" x14ac:dyDescent="0.25">
      <c r="A61" s="1">
        <v>32054</v>
      </c>
      <c r="B61">
        <v>1004</v>
      </c>
      <c r="C61">
        <v>1987</v>
      </c>
      <c r="D61">
        <v>1423</v>
      </c>
      <c r="F61">
        <v>1052</v>
      </c>
      <c r="H61">
        <f>SUMIFS($F$2:F61,$C$2:C61,C61)</f>
        <v>4384</v>
      </c>
      <c r="I61" s="8">
        <f>STAMP_Escapement_Data[[#This Row],[DATE]]-DATE(STAMP_Escapement_Data[[#This Row],[YEAR]],8,1)</f>
        <v>64</v>
      </c>
    </row>
    <row r="62" spans="1:9" x14ac:dyDescent="0.25">
      <c r="A62" s="1">
        <v>32055</v>
      </c>
      <c r="B62">
        <v>1005</v>
      </c>
      <c r="C62">
        <v>1987</v>
      </c>
      <c r="D62">
        <v>1233</v>
      </c>
      <c r="F62">
        <v>869</v>
      </c>
      <c r="H62">
        <f>SUMIFS($F$2:F62,$C$2:C62,C62)</f>
        <v>5253</v>
      </c>
      <c r="I62" s="8">
        <f>STAMP_Escapement_Data[[#This Row],[DATE]]-DATE(STAMP_Escapement_Data[[#This Row],[YEAR]],8,1)</f>
        <v>65</v>
      </c>
    </row>
    <row r="63" spans="1:9" x14ac:dyDescent="0.25">
      <c r="A63" s="1">
        <v>32056</v>
      </c>
      <c r="B63">
        <v>1006</v>
      </c>
      <c r="C63">
        <v>1987</v>
      </c>
      <c r="D63">
        <v>820</v>
      </c>
      <c r="F63">
        <v>702</v>
      </c>
      <c r="H63">
        <f>SUMIFS($F$2:F63,$C$2:C63,C63)</f>
        <v>5955</v>
      </c>
      <c r="I63" s="8">
        <f>STAMP_Escapement_Data[[#This Row],[DATE]]-DATE(STAMP_Escapement_Data[[#This Row],[YEAR]],8,1)</f>
        <v>66</v>
      </c>
    </row>
    <row r="64" spans="1:9" x14ac:dyDescent="0.25">
      <c r="A64" s="1">
        <v>32057</v>
      </c>
      <c r="B64">
        <v>1007</v>
      </c>
      <c r="C64">
        <v>1987</v>
      </c>
      <c r="D64">
        <v>445</v>
      </c>
      <c r="F64">
        <v>1004</v>
      </c>
      <c r="H64">
        <f>SUMIFS($F$2:F64,$C$2:C64,C64)</f>
        <v>6959</v>
      </c>
      <c r="I64" s="8">
        <f>STAMP_Escapement_Data[[#This Row],[DATE]]-DATE(STAMP_Escapement_Data[[#This Row],[YEAR]],8,1)</f>
        <v>67</v>
      </c>
    </row>
    <row r="65" spans="1:9" x14ac:dyDescent="0.25">
      <c r="A65" s="1">
        <v>32058</v>
      </c>
      <c r="B65">
        <v>1008</v>
      </c>
      <c r="C65">
        <v>1987</v>
      </c>
      <c r="D65">
        <v>484</v>
      </c>
      <c r="F65">
        <v>2030</v>
      </c>
      <c r="H65">
        <f>SUMIFS($F$2:F65,$C$2:C65,C65)</f>
        <v>8989</v>
      </c>
      <c r="I65" s="8">
        <f>STAMP_Escapement_Data[[#This Row],[DATE]]-DATE(STAMP_Escapement_Data[[#This Row],[YEAR]],8,1)</f>
        <v>68</v>
      </c>
    </row>
    <row r="66" spans="1:9" x14ac:dyDescent="0.25">
      <c r="A66" s="1">
        <v>32059</v>
      </c>
      <c r="B66">
        <v>1009</v>
      </c>
      <c r="C66">
        <v>1987</v>
      </c>
      <c r="D66">
        <v>463</v>
      </c>
      <c r="F66">
        <v>5407</v>
      </c>
      <c r="H66">
        <f>SUMIFS($F$2:F66,$C$2:C66,C66)</f>
        <v>14396</v>
      </c>
      <c r="I66" s="8">
        <f>STAMP_Escapement_Data[[#This Row],[DATE]]-DATE(STAMP_Escapement_Data[[#This Row],[YEAR]],8,1)</f>
        <v>69</v>
      </c>
    </row>
    <row r="67" spans="1:9" x14ac:dyDescent="0.25">
      <c r="A67" s="1">
        <v>32060</v>
      </c>
      <c r="B67">
        <v>1010</v>
      </c>
      <c r="C67">
        <v>1987</v>
      </c>
      <c r="D67">
        <v>423</v>
      </c>
      <c r="F67">
        <v>7780</v>
      </c>
      <c r="H67">
        <f>SUMIFS($F$2:F67,$C$2:C67,C67)</f>
        <v>22176</v>
      </c>
      <c r="I67" s="8">
        <f>STAMP_Escapement_Data[[#This Row],[DATE]]-DATE(STAMP_Escapement_Data[[#This Row],[YEAR]],8,1)</f>
        <v>70</v>
      </c>
    </row>
    <row r="68" spans="1:9" x14ac:dyDescent="0.25">
      <c r="A68" s="1">
        <v>32061</v>
      </c>
      <c r="B68">
        <v>1011</v>
      </c>
      <c r="C68">
        <v>1987</v>
      </c>
      <c r="D68">
        <v>319</v>
      </c>
      <c r="F68">
        <v>4238</v>
      </c>
      <c r="H68">
        <f>SUMIFS($F$2:F68,$C$2:C68,C68)</f>
        <v>26414</v>
      </c>
      <c r="I68" s="8">
        <f>STAMP_Escapement_Data[[#This Row],[DATE]]-DATE(STAMP_Escapement_Data[[#This Row],[YEAR]],8,1)</f>
        <v>71</v>
      </c>
    </row>
    <row r="69" spans="1:9" x14ac:dyDescent="0.25">
      <c r="A69" s="1">
        <v>32062</v>
      </c>
      <c r="B69">
        <v>1012</v>
      </c>
      <c r="C69">
        <v>1987</v>
      </c>
      <c r="D69">
        <v>285</v>
      </c>
      <c r="F69">
        <v>4293</v>
      </c>
      <c r="H69">
        <f>SUMIFS($F$2:F69,$C$2:C69,C69)</f>
        <v>30707</v>
      </c>
      <c r="I69" s="8">
        <f>STAMP_Escapement_Data[[#This Row],[DATE]]-DATE(STAMP_Escapement_Data[[#This Row],[YEAR]],8,1)</f>
        <v>72</v>
      </c>
    </row>
    <row r="70" spans="1:9" x14ac:dyDescent="0.25">
      <c r="A70" s="1">
        <v>32063</v>
      </c>
      <c r="B70">
        <v>1013</v>
      </c>
      <c r="C70">
        <v>1987</v>
      </c>
      <c r="D70">
        <v>89</v>
      </c>
      <c r="F70">
        <v>2032</v>
      </c>
      <c r="H70">
        <f>SUMIFS($F$2:F70,$C$2:C70,C70)</f>
        <v>32739</v>
      </c>
      <c r="I70" s="8">
        <f>STAMP_Escapement_Data[[#This Row],[DATE]]-DATE(STAMP_Escapement_Data[[#This Row],[YEAR]],8,1)</f>
        <v>73</v>
      </c>
    </row>
    <row r="71" spans="1:9" x14ac:dyDescent="0.25">
      <c r="A71" s="1">
        <v>32064</v>
      </c>
      <c r="B71">
        <v>1014</v>
      </c>
      <c r="C71">
        <v>1987</v>
      </c>
      <c r="D71">
        <v>119</v>
      </c>
      <c r="F71">
        <v>2958</v>
      </c>
      <c r="H71">
        <f>SUMIFS($F$2:F71,$C$2:C71,C71)</f>
        <v>35697</v>
      </c>
      <c r="I71" s="8">
        <f>STAMP_Escapement_Data[[#This Row],[DATE]]-DATE(STAMP_Escapement_Data[[#This Row],[YEAR]],8,1)</f>
        <v>74</v>
      </c>
    </row>
    <row r="72" spans="1:9" x14ac:dyDescent="0.25">
      <c r="A72" s="1">
        <v>32065</v>
      </c>
      <c r="B72">
        <v>1015</v>
      </c>
      <c r="C72">
        <v>1987</v>
      </c>
      <c r="D72">
        <v>144</v>
      </c>
      <c r="F72">
        <v>2222</v>
      </c>
      <c r="H72">
        <f>SUMIFS($F$2:F72,$C$2:C72,C72)</f>
        <v>37919</v>
      </c>
      <c r="I72" s="8">
        <f>STAMP_Escapement_Data[[#This Row],[DATE]]-DATE(STAMP_Escapement_Data[[#This Row],[YEAR]],8,1)</f>
        <v>75</v>
      </c>
    </row>
    <row r="73" spans="1:9" x14ac:dyDescent="0.25">
      <c r="A73" s="1">
        <v>32066</v>
      </c>
      <c r="B73">
        <v>1016</v>
      </c>
      <c r="C73">
        <v>1987</v>
      </c>
      <c r="D73">
        <v>109</v>
      </c>
      <c r="F73">
        <v>1963</v>
      </c>
      <c r="H73">
        <f>SUMIFS($F$2:F73,$C$2:C73,C73)</f>
        <v>39882</v>
      </c>
      <c r="I73" s="8">
        <f>STAMP_Escapement_Data[[#This Row],[DATE]]-DATE(STAMP_Escapement_Data[[#This Row],[YEAR]],8,1)</f>
        <v>76</v>
      </c>
    </row>
    <row r="74" spans="1:9" x14ac:dyDescent="0.25">
      <c r="A74" s="1">
        <v>32067</v>
      </c>
      <c r="B74">
        <v>1017</v>
      </c>
      <c r="C74">
        <v>1987</v>
      </c>
      <c r="D74">
        <v>268</v>
      </c>
      <c r="F74">
        <v>2989</v>
      </c>
      <c r="H74">
        <f>SUMIFS($F$2:F74,$C$2:C74,C74)</f>
        <v>42871</v>
      </c>
      <c r="I74" s="8">
        <f>STAMP_Escapement_Data[[#This Row],[DATE]]-DATE(STAMP_Escapement_Data[[#This Row],[YEAR]],8,1)</f>
        <v>77</v>
      </c>
    </row>
    <row r="75" spans="1:9" x14ac:dyDescent="0.25">
      <c r="A75" s="1">
        <v>32068</v>
      </c>
      <c r="B75">
        <v>1018</v>
      </c>
      <c r="C75">
        <v>1987</v>
      </c>
      <c r="D75">
        <v>159</v>
      </c>
      <c r="F75">
        <v>1720</v>
      </c>
      <c r="H75">
        <f>SUMIFS($F$2:F75,$C$2:C75,C75)</f>
        <v>44591</v>
      </c>
      <c r="I75" s="8">
        <f>STAMP_Escapement_Data[[#This Row],[DATE]]-DATE(STAMP_Escapement_Data[[#This Row],[YEAR]],8,1)</f>
        <v>78</v>
      </c>
    </row>
    <row r="76" spans="1:9" x14ac:dyDescent="0.25">
      <c r="A76" s="1">
        <v>32069</v>
      </c>
      <c r="B76">
        <v>1019</v>
      </c>
      <c r="C76">
        <v>1987</v>
      </c>
      <c r="D76">
        <v>27</v>
      </c>
      <c r="F76">
        <v>1066</v>
      </c>
      <c r="H76">
        <f>SUMIFS($F$2:F76,$C$2:C76,C76)</f>
        <v>45657</v>
      </c>
      <c r="I76" s="8">
        <f>STAMP_Escapement_Data[[#This Row],[DATE]]-DATE(STAMP_Escapement_Data[[#This Row],[YEAR]],8,1)</f>
        <v>79</v>
      </c>
    </row>
    <row r="77" spans="1:9" x14ac:dyDescent="0.25">
      <c r="A77" s="1">
        <v>32070</v>
      </c>
      <c r="B77">
        <v>1020</v>
      </c>
      <c r="C77">
        <v>1987</v>
      </c>
      <c r="D77">
        <v>61</v>
      </c>
      <c r="F77">
        <v>521</v>
      </c>
      <c r="H77">
        <f>SUMIFS($F$2:F77,$C$2:C77,C77)</f>
        <v>46178</v>
      </c>
      <c r="I77" s="8">
        <f>STAMP_Escapement_Data[[#This Row],[DATE]]-DATE(STAMP_Escapement_Data[[#This Row],[YEAR]],8,1)</f>
        <v>80</v>
      </c>
    </row>
    <row r="78" spans="1:9" x14ac:dyDescent="0.25">
      <c r="A78" s="1">
        <v>32071</v>
      </c>
      <c r="B78">
        <v>1021</v>
      </c>
      <c r="C78">
        <v>1987</v>
      </c>
      <c r="D78">
        <v>26</v>
      </c>
      <c r="F78">
        <v>1118</v>
      </c>
      <c r="H78">
        <f>SUMIFS($F$2:F78,$C$2:C78,C78)</f>
        <v>47296</v>
      </c>
      <c r="I78" s="8">
        <f>STAMP_Escapement_Data[[#This Row],[DATE]]-DATE(STAMP_Escapement_Data[[#This Row],[YEAR]],8,1)</f>
        <v>81</v>
      </c>
    </row>
    <row r="79" spans="1:9" x14ac:dyDescent="0.25">
      <c r="A79" s="1">
        <v>32072</v>
      </c>
      <c r="B79">
        <v>1022</v>
      </c>
      <c r="C79">
        <v>1987</v>
      </c>
      <c r="D79">
        <v>89</v>
      </c>
      <c r="F79">
        <v>1153</v>
      </c>
      <c r="H79">
        <f>SUMIFS($F$2:F79,$C$2:C79,C79)</f>
        <v>48449</v>
      </c>
      <c r="I79" s="8">
        <f>STAMP_Escapement_Data[[#This Row],[DATE]]-DATE(STAMP_Escapement_Data[[#This Row],[YEAR]],8,1)</f>
        <v>82</v>
      </c>
    </row>
    <row r="80" spans="1:9" x14ac:dyDescent="0.25">
      <c r="A80" s="1">
        <v>32073</v>
      </c>
      <c r="B80">
        <v>1023</v>
      </c>
      <c r="C80">
        <v>1987</v>
      </c>
      <c r="D80">
        <v>21</v>
      </c>
      <c r="F80">
        <v>883</v>
      </c>
      <c r="H80">
        <f>SUMIFS($F$2:F80,$C$2:C80,C80)</f>
        <v>49332</v>
      </c>
      <c r="I80" s="8">
        <f>STAMP_Escapement_Data[[#This Row],[DATE]]-DATE(STAMP_Escapement_Data[[#This Row],[YEAR]],8,1)</f>
        <v>83</v>
      </c>
    </row>
    <row r="81" spans="1:9" x14ac:dyDescent="0.25">
      <c r="A81" s="1">
        <v>32074</v>
      </c>
      <c r="B81">
        <v>1024</v>
      </c>
      <c r="C81">
        <v>1987</v>
      </c>
      <c r="D81">
        <v>92</v>
      </c>
      <c r="F81">
        <v>735</v>
      </c>
      <c r="H81">
        <f>SUMIFS($F$2:F81,$C$2:C81,C81)</f>
        <v>50067</v>
      </c>
      <c r="I81" s="8">
        <f>STAMP_Escapement_Data[[#This Row],[DATE]]-DATE(STAMP_Escapement_Data[[#This Row],[YEAR]],8,1)</f>
        <v>84</v>
      </c>
    </row>
    <row r="82" spans="1:9" x14ac:dyDescent="0.25">
      <c r="A82" s="1">
        <v>32075</v>
      </c>
      <c r="B82">
        <v>1025</v>
      </c>
      <c r="C82">
        <v>1987</v>
      </c>
      <c r="D82">
        <v>99</v>
      </c>
      <c r="F82">
        <v>670</v>
      </c>
      <c r="H82">
        <f>SUMIFS($F$2:F82,$C$2:C82,C82)</f>
        <v>50737</v>
      </c>
      <c r="I82" s="8">
        <f>STAMP_Escapement_Data[[#This Row],[DATE]]-DATE(STAMP_Escapement_Data[[#This Row],[YEAR]],8,1)</f>
        <v>85</v>
      </c>
    </row>
    <row r="83" spans="1:9" x14ac:dyDescent="0.25">
      <c r="A83" s="1">
        <v>32076</v>
      </c>
      <c r="B83">
        <v>1026</v>
      </c>
      <c r="C83">
        <v>1987</v>
      </c>
      <c r="D83">
        <v>55</v>
      </c>
      <c r="F83">
        <v>413</v>
      </c>
      <c r="H83">
        <f>SUMIFS($F$2:F83,$C$2:C83,C83)</f>
        <v>51150</v>
      </c>
      <c r="I83" s="8">
        <f>STAMP_Escapement_Data[[#This Row],[DATE]]-DATE(STAMP_Escapement_Data[[#This Row],[YEAR]],8,1)</f>
        <v>86</v>
      </c>
    </row>
    <row r="84" spans="1:9" x14ac:dyDescent="0.25">
      <c r="A84" s="1">
        <v>32077</v>
      </c>
      <c r="B84">
        <v>1027</v>
      </c>
      <c r="C84">
        <v>1987</v>
      </c>
      <c r="D84">
        <v>94</v>
      </c>
      <c r="F84">
        <v>573</v>
      </c>
      <c r="H84">
        <f>SUMIFS($F$2:F84,$C$2:C84,C84)</f>
        <v>51723</v>
      </c>
      <c r="I84" s="8">
        <f>STAMP_Escapement_Data[[#This Row],[DATE]]-DATE(STAMP_Escapement_Data[[#This Row],[YEAR]],8,1)</f>
        <v>87</v>
      </c>
    </row>
    <row r="85" spans="1:9" x14ac:dyDescent="0.25">
      <c r="A85" s="1">
        <v>32078</v>
      </c>
      <c r="B85">
        <v>1028</v>
      </c>
      <c r="C85">
        <v>1987</v>
      </c>
      <c r="D85">
        <v>45</v>
      </c>
      <c r="F85">
        <v>288</v>
      </c>
      <c r="H85">
        <f>SUMIFS($F$2:F85,$C$2:C85,C85)</f>
        <v>52011</v>
      </c>
      <c r="I85" s="8">
        <f>STAMP_Escapement_Data[[#This Row],[DATE]]-DATE(STAMP_Escapement_Data[[#This Row],[YEAR]],8,1)</f>
        <v>88</v>
      </c>
    </row>
    <row r="86" spans="1:9" x14ac:dyDescent="0.25">
      <c r="A86" s="1">
        <v>32079</v>
      </c>
      <c r="B86">
        <v>1029</v>
      </c>
      <c r="C86">
        <v>1987</v>
      </c>
      <c r="D86">
        <v>75</v>
      </c>
      <c r="F86">
        <v>299</v>
      </c>
      <c r="H86">
        <f>SUMIFS($F$2:F86,$C$2:C86,C86)</f>
        <v>52310</v>
      </c>
      <c r="I86" s="8">
        <f>STAMP_Escapement_Data[[#This Row],[DATE]]-DATE(STAMP_Escapement_Data[[#This Row],[YEAR]],8,1)</f>
        <v>89</v>
      </c>
    </row>
    <row r="87" spans="1:9" x14ac:dyDescent="0.25">
      <c r="A87" s="1">
        <v>32080</v>
      </c>
      <c r="B87">
        <v>1030</v>
      </c>
      <c r="C87">
        <v>1987</v>
      </c>
      <c r="D87">
        <v>36</v>
      </c>
      <c r="F87">
        <v>152</v>
      </c>
      <c r="H87">
        <f>SUMIFS($F$2:F87,$C$2:C87,C87)</f>
        <v>52462</v>
      </c>
      <c r="I87" s="8">
        <f>STAMP_Escapement_Data[[#This Row],[DATE]]-DATE(STAMP_Escapement_Data[[#This Row],[YEAR]],8,1)</f>
        <v>90</v>
      </c>
    </row>
    <row r="88" spans="1:9" x14ac:dyDescent="0.25">
      <c r="A88" s="1">
        <v>32081</v>
      </c>
      <c r="B88">
        <v>1031</v>
      </c>
      <c r="C88">
        <v>1987</v>
      </c>
      <c r="D88">
        <v>154</v>
      </c>
      <c r="F88">
        <v>271</v>
      </c>
      <c r="H88">
        <f>SUMIFS($F$2:F88,$C$2:C88,C88)</f>
        <v>52733</v>
      </c>
      <c r="I88" s="8">
        <f>STAMP_Escapement_Data[[#This Row],[DATE]]-DATE(STAMP_Escapement_Data[[#This Row],[YEAR]],8,1)</f>
        <v>91</v>
      </c>
    </row>
    <row r="89" spans="1:9" x14ac:dyDescent="0.25">
      <c r="A89" s="1">
        <v>32082</v>
      </c>
      <c r="B89">
        <v>1101</v>
      </c>
      <c r="C89">
        <v>1987</v>
      </c>
      <c r="D89">
        <v>258</v>
      </c>
      <c r="F89">
        <v>178</v>
      </c>
      <c r="H89">
        <f>SUMIFS($F$2:F89,$C$2:C89,C89)</f>
        <v>52911</v>
      </c>
      <c r="I89" s="8">
        <f>STAMP_Escapement_Data[[#This Row],[DATE]]-DATE(STAMP_Escapement_Data[[#This Row],[YEAR]],8,1)</f>
        <v>92</v>
      </c>
    </row>
    <row r="90" spans="1:9" x14ac:dyDescent="0.25">
      <c r="A90" s="1">
        <v>32083</v>
      </c>
      <c r="B90">
        <v>1102</v>
      </c>
      <c r="C90">
        <v>1987</v>
      </c>
      <c r="D90">
        <v>29</v>
      </c>
      <c r="F90">
        <v>40</v>
      </c>
      <c r="H90">
        <f>SUMIFS($F$2:F90,$C$2:C90,C90)</f>
        <v>52951</v>
      </c>
      <c r="I90" s="8">
        <f>STAMP_Escapement_Data[[#This Row],[DATE]]-DATE(STAMP_Escapement_Data[[#This Row],[YEAR]],8,1)</f>
        <v>93</v>
      </c>
    </row>
    <row r="91" spans="1:9" x14ac:dyDescent="0.25">
      <c r="A91" s="1">
        <v>32084</v>
      </c>
      <c r="B91">
        <v>1103</v>
      </c>
      <c r="C91">
        <v>1987</v>
      </c>
      <c r="D91">
        <v>44</v>
      </c>
      <c r="F91">
        <v>61</v>
      </c>
      <c r="H91">
        <f>SUMIFS($F$2:F91,$C$2:C91,C91)</f>
        <v>53012</v>
      </c>
      <c r="I91" s="8">
        <f>STAMP_Escapement_Data[[#This Row],[DATE]]-DATE(STAMP_Escapement_Data[[#This Row],[YEAR]],8,1)</f>
        <v>94</v>
      </c>
    </row>
    <row r="92" spans="1:9" x14ac:dyDescent="0.25">
      <c r="A92" s="1">
        <v>32085</v>
      </c>
      <c r="B92">
        <v>1104</v>
      </c>
      <c r="C92">
        <v>1987</v>
      </c>
      <c r="D92">
        <v>15</v>
      </c>
      <c r="F92">
        <v>33</v>
      </c>
      <c r="H92">
        <f>SUMIFS($F$2:F92,$C$2:C92,C92)</f>
        <v>53045</v>
      </c>
      <c r="I92" s="8">
        <f>STAMP_Escapement_Data[[#This Row],[DATE]]-DATE(STAMP_Escapement_Data[[#This Row],[YEAR]],8,1)</f>
        <v>95</v>
      </c>
    </row>
    <row r="93" spans="1:9" x14ac:dyDescent="0.25">
      <c r="A93" s="1">
        <v>32086</v>
      </c>
      <c r="B93">
        <v>1105</v>
      </c>
      <c r="C93">
        <v>1987</v>
      </c>
      <c r="D93">
        <v>28</v>
      </c>
      <c r="F93">
        <v>48</v>
      </c>
      <c r="H93">
        <f>SUMIFS($F$2:F93,$C$2:C93,C93)</f>
        <v>53093</v>
      </c>
      <c r="I93" s="8">
        <f>STAMP_Escapement_Data[[#This Row],[DATE]]-DATE(STAMP_Escapement_Data[[#This Row],[YEAR]],8,1)</f>
        <v>96</v>
      </c>
    </row>
    <row r="94" spans="1:9" x14ac:dyDescent="0.25">
      <c r="A94" s="1">
        <v>32087</v>
      </c>
      <c r="B94">
        <v>1106</v>
      </c>
      <c r="C94">
        <v>1987</v>
      </c>
      <c r="D94">
        <v>8</v>
      </c>
      <c r="F94">
        <v>25</v>
      </c>
      <c r="H94">
        <f>SUMIFS($F$2:F94,$C$2:C94,C94)</f>
        <v>53118</v>
      </c>
      <c r="I94" s="8">
        <f>STAMP_Escapement_Data[[#This Row],[DATE]]-DATE(STAMP_Escapement_Data[[#This Row],[YEAR]],8,1)</f>
        <v>97</v>
      </c>
    </row>
    <row r="95" spans="1:9" x14ac:dyDescent="0.25">
      <c r="A95" s="1">
        <v>32088</v>
      </c>
      <c r="B95">
        <v>1107</v>
      </c>
      <c r="C95">
        <v>1987</v>
      </c>
      <c r="D95">
        <v>25</v>
      </c>
      <c r="F95">
        <v>48</v>
      </c>
      <c r="H95">
        <f>SUMIFS($F$2:F95,$C$2:C95,C95)</f>
        <v>53166</v>
      </c>
      <c r="I95" s="8">
        <f>STAMP_Escapement_Data[[#This Row],[DATE]]-DATE(STAMP_Escapement_Data[[#This Row],[YEAR]],8,1)</f>
        <v>98</v>
      </c>
    </row>
    <row r="96" spans="1:9" x14ac:dyDescent="0.25">
      <c r="A96" s="1">
        <v>32089</v>
      </c>
      <c r="B96">
        <v>1108</v>
      </c>
      <c r="C96">
        <v>1987</v>
      </c>
      <c r="D96">
        <v>0</v>
      </c>
      <c r="F96">
        <v>13</v>
      </c>
      <c r="H96">
        <f>SUMIFS($F$2:F96,$C$2:C96,C96)</f>
        <v>53179</v>
      </c>
      <c r="I96" s="8">
        <f>STAMP_Escapement_Data[[#This Row],[DATE]]-DATE(STAMP_Escapement_Data[[#This Row],[YEAR]],8,1)</f>
        <v>99</v>
      </c>
    </row>
    <row r="97" spans="1:9" x14ac:dyDescent="0.25">
      <c r="A97" s="1">
        <v>32090</v>
      </c>
      <c r="B97">
        <v>1109</v>
      </c>
      <c r="C97">
        <v>1987</v>
      </c>
      <c r="D97">
        <v>1</v>
      </c>
      <c r="F97">
        <v>15</v>
      </c>
      <c r="H97">
        <f>SUMIFS($F$2:F97,$C$2:C97,C97)</f>
        <v>53194</v>
      </c>
      <c r="I97" s="8">
        <f>STAMP_Escapement_Data[[#This Row],[DATE]]-DATE(STAMP_Escapement_Data[[#This Row],[YEAR]],8,1)</f>
        <v>100</v>
      </c>
    </row>
    <row r="98" spans="1:9" x14ac:dyDescent="0.25">
      <c r="A98" s="1">
        <v>32091</v>
      </c>
      <c r="B98">
        <v>1110</v>
      </c>
      <c r="C98">
        <v>1987</v>
      </c>
      <c r="D98">
        <v>3</v>
      </c>
      <c r="F98">
        <v>4</v>
      </c>
      <c r="H98">
        <f>SUMIFS($F$2:F98,$C$2:C98,C98)</f>
        <v>53198</v>
      </c>
      <c r="I98" s="8">
        <f>STAMP_Escapement_Data[[#This Row],[DATE]]-DATE(STAMP_Escapement_Data[[#This Row],[YEAR]],8,1)</f>
        <v>101</v>
      </c>
    </row>
    <row r="99" spans="1:9" x14ac:dyDescent="0.25">
      <c r="A99" s="1">
        <v>32092</v>
      </c>
      <c r="B99">
        <v>1111</v>
      </c>
      <c r="C99">
        <v>1987</v>
      </c>
      <c r="D99">
        <v>18</v>
      </c>
      <c r="F99">
        <v>0</v>
      </c>
      <c r="H99">
        <f>SUMIFS($F$2:F99,$C$2:C99,C99)</f>
        <v>53198</v>
      </c>
      <c r="I99" s="8">
        <f>STAMP_Escapement_Data[[#This Row],[DATE]]-DATE(STAMP_Escapement_Data[[#This Row],[YEAR]],8,1)</f>
        <v>102</v>
      </c>
    </row>
    <row r="100" spans="1:9" x14ac:dyDescent="0.25">
      <c r="A100" s="1">
        <v>32093</v>
      </c>
      <c r="B100">
        <v>1112</v>
      </c>
      <c r="C100">
        <v>1987</v>
      </c>
      <c r="D100">
        <v>52</v>
      </c>
      <c r="F100">
        <v>3</v>
      </c>
      <c r="H100">
        <f>SUMIFS($F$2:F100,$C$2:C100,C100)</f>
        <v>53201</v>
      </c>
      <c r="I100" s="8">
        <f>STAMP_Escapement_Data[[#This Row],[DATE]]-DATE(STAMP_Escapement_Data[[#This Row],[YEAR]],8,1)</f>
        <v>103</v>
      </c>
    </row>
    <row r="101" spans="1:9" x14ac:dyDescent="0.25">
      <c r="A101" s="1">
        <v>32094</v>
      </c>
      <c r="B101">
        <v>1113</v>
      </c>
      <c r="C101">
        <v>1987</v>
      </c>
      <c r="D101">
        <v>16</v>
      </c>
      <c r="F101">
        <v>2</v>
      </c>
      <c r="H101">
        <f>SUMIFS($F$2:F101,$C$2:C101,C101)</f>
        <v>53203</v>
      </c>
      <c r="I101" s="8">
        <f>STAMP_Escapement_Data[[#This Row],[DATE]]-DATE(STAMP_Escapement_Data[[#This Row],[YEAR]],8,1)</f>
        <v>104</v>
      </c>
    </row>
    <row r="102" spans="1:9" x14ac:dyDescent="0.25">
      <c r="A102" s="1">
        <v>32095</v>
      </c>
      <c r="B102">
        <v>1114</v>
      </c>
      <c r="C102">
        <v>1987</v>
      </c>
      <c r="D102">
        <v>9</v>
      </c>
      <c r="F102">
        <v>4</v>
      </c>
      <c r="H102">
        <f>SUMIFS($F$2:F102,$C$2:C102,C102)</f>
        <v>53207</v>
      </c>
      <c r="I102" s="8">
        <f>STAMP_Escapement_Data[[#This Row],[DATE]]-DATE(STAMP_Escapement_Data[[#This Row],[YEAR]],8,1)</f>
        <v>105</v>
      </c>
    </row>
    <row r="103" spans="1:9" x14ac:dyDescent="0.25">
      <c r="A103" s="1">
        <v>32096</v>
      </c>
      <c r="B103">
        <v>1115</v>
      </c>
      <c r="C103">
        <v>1987</v>
      </c>
      <c r="D103">
        <v>10</v>
      </c>
      <c r="F103">
        <v>2</v>
      </c>
      <c r="H103">
        <f>SUMIFS($F$2:F103,$C$2:C103,C103)</f>
        <v>53209</v>
      </c>
      <c r="I103" s="8">
        <f>STAMP_Escapement_Data[[#This Row],[DATE]]-DATE(STAMP_Escapement_Data[[#This Row],[YEAR]],8,1)</f>
        <v>106</v>
      </c>
    </row>
    <row r="104" spans="1:9" x14ac:dyDescent="0.25">
      <c r="A104" s="1">
        <v>32097</v>
      </c>
      <c r="B104">
        <v>1116</v>
      </c>
      <c r="C104">
        <v>1987</v>
      </c>
      <c r="D104">
        <v>0</v>
      </c>
      <c r="F104">
        <v>0</v>
      </c>
      <c r="H104">
        <f>SUMIFS($F$2:F104,$C$2:C104,C104)</f>
        <v>53209</v>
      </c>
      <c r="I104" s="8">
        <f>STAMP_Escapement_Data[[#This Row],[DATE]]-DATE(STAMP_Escapement_Data[[#This Row],[YEAR]],8,1)</f>
        <v>107</v>
      </c>
    </row>
    <row r="105" spans="1:9" x14ac:dyDescent="0.25">
      <c r="A105" s="1">
        <v>32098</v>
      </c>
      <c r="B105">
        <v>1117</v>
      </c>
      <c r="C105">
        <v>1987</v>
      </c>
      <c r="D105">
        <v>5</v>
      </c>
      <c r="F105">
        <v>6</v>
      </c>
      <c r="H105">
        <f>SUMIFS($F$2:F105,$C$2:C105,C105)</f>
        <v>53215</v>
      </c>
      <c r="I105" s="8">
        <f>STAMP_Escapement_Data[[#This Row],[DATE]]-DATE(STAMP_Escapement_Data[[#This Row],[YEAR]],8,1)</f>
        <v>108</v>
      </c>
    </row>
    <row r="106" spans="1:9" x14ac:dyDescent="0.25">
      <c r="A106" s="1">
        <v>32099</v>
      </c>
      <c r="B106">
        <v>1118</v>
      </c>
      <c r="C106">
        <v>1987</v>
      </c>
      <c r="D106">
        <v>1</v>
      </c>
      <c r="F106">
        <v>1</v>
      </c>
      <c r="H106">
        <f>SUMIFS($F$2:F106,$C$2:C106,C106)</f>
        <v>53216</v>
      </c>
      <c r="I106" s="8">
        <f>STAMP_Escapement_Data[[#This Row],[DATE]]-DATE(STAMP_Escapement_Data[[#This Row],[YEAR]],8,1)</f>
        <v>109</v>
      </c>
    </row>
    <row r="107" spans="1:9" x14ac:dyDescent="0.25">
      <c r="A107" s="1">
        <v>32100</v>
      </c>
      <c r="B107">
        <v>1119</v>
      </c>
      <c r="C107">
        <v>1987</v>
      </c>
      <c r="D107">
        <v>0</v>
      </c>
      <c r="F107">
        <v>0</v>
      </c>
      <c r="H107">
        <f>SUMIFS($F$2:F107,$C$2:C107,C107)</f>
        <v>53216</v>
      </c>
      <c r="I107" s="8">
        <f>STAMP_Escapement_Data[[#This Row],[DATE]]-DATE(STAMP_Escapement_Data[[#This Row],[YEAR]],8,1)</f>
        <v>110</v>
      </c>
    </row>
    <row r="108" spans="1:9" x14ac:dyDescent="0.25">
      <c r="A108" s="1">
        <v>32401</v>
      </c>
      <c r="B108">
        <v>915</v>
      </c>
      <c r="C108">
        <v>1988</v>
      </c>
      <c r="D108">
        <v>25</v>
      </c>
      <c r="E108">
        <v>0</v>
      </c>
      <c r="F108">
        <v>684</v>
      </c>
      <c r="G108">
        <v>20</v>
      </c>
      <c r="H108">
        <f>SUMIFS($F$2:F108,$C$2:C108,C108)</f>
        <v>684</v>
      </c>
      <c r="I108" s="8">
        <f>STAMP_Escapement_Data[[#This Row],[DATE]]-DATE(STAMP_Escapement_Data[[#This Row],[YEAR]],8,1)</f>
        <v>45</v>
      </c>
    </row>
    <row r="109" spans="1:9" x14ac:dyDescent="0.25">
      <c r="A109" s="1">
        <v>32402</v>
      </c>
      <c r="B109">
        <v>916</v>
      </c>
      <c r="C109">
        <v>1988</v>
      </c>
      <c r="D109">
        <v>53</v>
      </c>
      <c r="E109">
        <v>23</v>
      </c>
      <c r="F109">
        <v>1574</v>
      </c>
      <c r="G109">
        <v>241</v>
      </c>
      <c r="H109">
        <f>SUMIFS($F$2:F109,$C$2:C109,C109)</f>
        <v>2258</v>
      </c>
      <c r="I109" s="8">
        <f>STAMP_Escapement_Data[[#This Row],[DATE]]-DATE(STAMP_Escapement_Data[[#This Row],[YEAR]],8,1)</f>
        <v>46</v>
      </c>
    </row>
    <row r="110" spans="1:9" x14ac:dyDescent="0.25">
      <c r="A110" s="1">
        <v>32403</v>
      </c>
      <c r="B110">
        <v>917</v>
      </c>
      <c r="C110">
        <v>1988</v>
      </c>
      <c r="D110">
        <v>431</v>
      </c>
      <c r="E110">
        <v>77</v>
      </c>
      <c r="F110">
        <v>1789</v>
      </c>
      <c r="G110">
        <v>414</v>
      </c>
      <c r="H110">
        <f>SUMIFS($F$2:F110,$C$2:C110,C110)</f>
        <v>4047</v>
      </c>
      <c r="I110" s="8">
        <f>STAMP_Escapement_Data[[#This Row],[DATE]]-DATE(STAMP_Escapement_Data[[#This Row],[YEAR]],8,1)</f>
        <v>47</v>
      </c>
    </row>
    <row r="111" spans="1:9" x14ac:dyDescent="0.25">
      <c r="A111" s="1">
        <v>32404</v>
      </c>
      <c r="B111">
        <v>918</v>
      </c>
      <c r="C111">
        <v>1988</v>
      </c>
      <c r="D111">
        <v>582</v>
      </c>
      <c r="E111">
        <v>160</v>
      </c>
      <c r="F111">
        <v>1165</v>
      </c>
      <c r="G111">
        <v>157</v>
      </c>
      <c r="H111">
        <f>SUMIFS($F$2:F111,$C$2:C111,C111)</f>
        <v>5212</v>
      </c>
      <c r="I111" s="8">
        <f>STAMP_Escapement_Data[[#This Row],[DATE]]-DATE(STAMP_Escapement_Data[[#This Row],[YEAR]],8,1)</f>
        <v>48</v>
      </c>
    </row>
    <row r="112" spans="1:9" x14ac:dyDescent="0.25">
      <c r="A112" s="1">
        <v>32405</v>
      </c>
      <c r="B112">
        <v>919</v>
      </c>
      <c r="C112">
        <v>1988</v>
      </c>
      <c r="D112">
        <v>682</v>
      </c>
      <c r="E112">
        <v>216</v>
      </c>
      <c r="F112">
        <v>1864</v>
      </c>
      <c r="G112">
        <v>533</v>
      </c>
      <c r="H112">
        <f>SUMIFS($F$2:F112,$C$2:C112,C112)</f>
        <v>7076</v>
      </c>
      <c r="I112" s="8">
        <f>STAMP_Escapement_Data[[#This Row],[DATE]]-DATE(STAMP_Escapement_Data[[#This Row],[YEAR]],8,1)</f>
        <v>49</v>
      </c>
    </row>
    <row r="113" spans="1:9" x14ac:dyDescent="0.25">
      <c r="A113" s="1">
        <v>32406</v>
      </c>
      <c r="B113">
        <v>920</v>
      </c>
      <c r="C113">
        <v>1988</v>
      </c>
      <c r="D113">
        <v>952</v>
      </c>
      <c r="E113">
        <v>58</v>
      </c>
      <c r="F113">
        <v>1554</v>
      </c>
      <c r="G113">
        <v>617</v>
      </c>
      <c r="H113">
        <f>SUMIFS($F$2:F113,$C$2:C113,C113)</f>
        <v>8630</v>
      </c>
      <c r="I113" s="8">
        <f>STAMP_Escapement_Data[[#This Row],[DATE]]-DATE(STAMP_Escapement_Data[[#This Row],[YEAR]],8,1)</f>
        <v>50</v>
      </c>
    </row>
    <row r="114" spans="1:9" x14ac:dyDescent="0.25">
      <c r="A114" s="1">
        <v>32407</v>
      </c>
      <c r="B114">
        <v>921</v>
      </c>
      <c r="C114">
        <v>1988</v>
      </c>
      <c r="D114">
        <v>987</v>
      </c>
      <c r="E114">
        <v>152</v>
      </c>
      <c r="F114">
        <v>1059</v>
      </c>
      <c r="G114">
        <v>457</v>
      </c>
      <c r="H114">
        <f>SUMIFS($F$2:F114,$C$2:C114,C114)</f>
        <v>9689</v>
      </c>
      <c r="I114" s="8">
        <f>STAMP_Escapement_Data[[#This Row],[DATE]]-DATE(STAMP_Escapement_Data[[#This Row],[YEAR]],8,1)</f>
        <v>51</v>
      </c>
    </row>
    <row r="115" spans="1:9" x14ac:dyDescent="0.25">
      <c r="A115" s="1">
        <v>32408</v>
      </c>
      <c r="B115">
        <v>922</v>
      </c>
      <c r="C115">
        <v>1988</v>
      </c>
      <c r="D115">
        <v>761</v>
      </c>
      <c r="E115">
        <v>34</v>
      </c>
      <c r="F115">
        <v>3968</v>
      </c>
      <c r="G115">
        <v>967</v>
      </c>
      <c r="H115">
        <f>SUMIFS($F$2:F115,$C$2:C115,C115)</f>
        <v>13657</v>
      </c>
      <c r="I115" s="8">
        <f>STAMP_Escapement_Data[[#This Row],[DATE]]-DATE(STAMP_Escapement_Data[[#This Row],[YEAR]],8,1)</f>
        <v>52</v>
      </c>
    </row>
    <row r="116" spans="1:9" x14ac:dyDescent="0.25">
      <c r="A116" s="1">
        <v>32409</v>
      </c>
      <c r="B116">
        <v>923</v>
      </c>
      <c r="C116">
        <v>1988</v>
      </c>
      <c r="D116">
        <v>577</v>
      </c>
      <c r="E116">
        <v>67</v>
      </c>
      <c r="F116">
        <v>1392</v>
      </c>
      <c r="G116">
        <v>653</v>
      </c>
      <c r="H116">
        <f>SUMIFS($F$2:F116,$C$2:C116,C116)</f>
        <v>15049</v>
      </c>
      <c r="I116" s="8">
        <f>STAMP_Escapement_Data[[#This Row],[DATE]]-DATE(STAMP_Escapement_Data[[#This Row],[YEAR]],8,1)</f>
        <v>53</v>
      </c>
    </row>
    <row r="117" spans="1:9" x14ac:dyDescent="0.25">
      <c r="A117" s="1">
        <v>32410</v>
      </c>
      <c r="B117">
        <v>924</v>
      </c>
      <c r="C117">
        <v>1988</v>
      </c>
      <c r="D117">
        <v>362</v>
      </c>
      <c r="E117">
        <v>38</v>
      </c>
      <c r="F117">
        <v>775</v>
      </c>
      <c r="G117">
        <v>277</v>
      </c>
      <c r="H117">
        <f>SUMIFS($F$2:F117,$C$2:C117,C117)</f>
        <v>15824</v>
      </c>
      <c r="I117" s="8">
        <f>STAMP_Escapement_Data[[#This Row],[DATE]]-DATE(STAMP_Escapement_Data[[#This Row],[YEAR]],8,1)</f>
        <v>54</v>
      </c>
    </row>
    <row r="118" spans="1:9" x14ac:dyDescent="0.25">
      <c r="A118" s="1">
        <v>32411</v>
      </c>
      <c r="B118">
        <v>925</v>
      </c>
      <c r="C118">
        <v>1988</v>
      </c>
      <c r="D118">
        <v>556</v>
      </c>
      <c r="E118">
        <v>57</v>
      </c>
      <c r="F118">
        <v>1499</v>
      </c>
      <c r="G118">
        <v>413</v>
      </c>
      <c r="H118">
        <f>SUMIFS($F$2:F118,$C$2:C118,C118)</f>
        <v>17323</v>
      </c>
      <c r="I118" s="8">
        <f>STAMP_Escapement_Data[[#This Row],[DATE]]-DATE(STAMP_Escapement_Data[[#This Row],[YEAR]],8,1)</f>
        <v>55</v>
      </c>
    </row>
    <row r="119" spans="1:9" x14ac:dyDescent="0.25">
      <c r="A119" s="1">
        <v>32412</v>
      </c>
      <c r="B119">
        <v>926</v>
      </c>
      <c r="C119">
        <v>1988</v>
      </c>
      <c r="D119">
        <v>282</v>
      </c>
      <c r="E119">
        <v>8</v>
      </c>
      <c r="F119">
        <v>1176</v>
      </c>
      <c r="G119">
        <v>257</v>
      </c>
      <c r="H119">
        <f>SUMIFS($F$2:F119,$C$2:C119,C119)</f>
        <v>18499</v>
      </c>
      <c r="I119" s="8">
        <f>STAMP_Escapement_Data[[#This Row],[DATE]]-DATE(STAMP_Escapement_Data[[#This Row],[YEAR]],8,1)</f>
        <v>56</v>
      </c>
    </row>
    <row r="120" spans="1:9" x14ac:dyDescent="0.25">
      <c r="A120" s="1">
        <v>32413</v>
      </c>
      <c r="B120">
        <v>927</v>
      </c>
      <c r="C120">
        <v>1988</v>
      </c>
      <c r="D120">
        <v>164</v>
      </c>
      <c r="E120">
        <v>0</v>
      </c>
      <c r="F120">
        <v>1496</v>
      </c>
      <c r="G120">
        <v>268</v>
      </c>
      <c r="H120">
        <f>SUMIFS($F$2:F120,$C$2:C120,C120)</f>
        <v>19995</v>
      </c>
      <c r="I120" s="8">
        <f>STAMP_Escapement_Data[[#This Row],[DATE]]-DATE(STAMP_Escapement_Data[[#This Row],[YEAR]],8,1)</f>
        <v>57</v>
      </c>
    </row>
    <row r="121" spans="1:9" x14ac:dyDescent="0.25">
      <c r="A121" s="1">
        <v>32414</v>
      </c>
      <c r="B121">
        <v>928</v>
      </c>
      <c r="C121">
        <v>1988</v>
      </c>
      <c r="D121">
        <v>67</v>
      </c>
      <c r="E121">
        <v>4</v>
      </c>
      <c r="F121">
        <v>844</v>
      </c>
      <c r="G121">
        <v>189</v>
      </c>
      <c r="H121">
        <f>SUMIFS($F$2:F121,$C$2:C121,C121)</f>
        <v>20839</v>
      </c>
      <c r="I121" s="8">
        <f>STAMP_Escapement_Data[[#This Row],[DATE]]-DATE(STAMP_Escapement_Data[[#This Row],[YEAR]],8,1)</f>
        <v>58</v>
      </c>
    </row>
    <row r="122" spans="1:9" x14ac:dyDescent="0.25">
      <c r="A122" s="1">
        <v>32415</v>
      </c>
      <c r="B122">
        <v>929</v>
      </c>
      <c r="C122">
        <v>1988</v>
      </c>
      <c r="D122">
        <v>76</v>
      </c>
      <c r="E122">
        <v>3</v>
      </c>
      <c r="F122">
        <v>1105</v>
      </c>
      <c r="G122">
        <v>263</v>
      </c>
      <c r="H122">
        <f>SUMIFS($F$2:F122,$C$2:C122,C122)</f>
        <v>21944</v>
      </c>
      <c r="I122" s="8">
        <f>STAMP_Escapement_Data[[#This Row],[DATE]]-DATE(STAMP_Escapement_Data[[#This Row],[YEAR]],8,1)</f>
        <v>59</v>
      </c>
    </row>
    <row r="123" spans="1:9" x14ac:dyDescent="0.25">
      <c r="A123" s="1">
        <v>32416</v>
      </c>
      <c r="B123">
        <v>930</v>
      </c>
      <c r="C123">
        <v>1988</v>
      </c>
      <c r="D123">
        <v>36</v>
      </c>
      <c r="E123">
        <v>6</v>
      </c>
      <c r="F123">
        <v>1360</v>
      </c>
      <c r="G123">
        <v>275</v>
      </c>
      <c r="H123">
        <f>SUMIFS($F$2:F123,$C$2:C123,C123)</f>
        <v>23304</v>
      </c>
      <c r="I123" s="8">
        <f>STAMP_Escapement_Data[[#This Row],[DATE]]-DATE(STAMP_Escapement_Data[[#This Row],[YEAR]],8,1)</f>
        <v>60</v>
      </c>
    </row>
    <row r="124" spans="1:9" x14ac:dyDescent="0.25">
      <c r="A124" s="1">
        <v>32417</v>
      </c>
      <c r="B124">
        <v>1001</v>
      </c>
      <c r="C124">
        <v>1988</v>
      </c>
      <c r="D124">
        <v>22</v>
      </c>
      <c r="E124">
        <v>1</v>
      </c>
      <c r="F124">
        <v>705</v>
      </c>
      <c r="G124">
        <v>332</v>
      </c>
      <c r="H124">
        <f>SUMIFS($F$2:F124,$C$2:C124,C124)</f>
        <v>24009</v>
      </c>
      <c r="I124" s="8">
        <f>STAMP_Escapement_Data[[#This Row],[DATE]]-DATE(STAMP_Escapement_Data[[#This Row],[YEAR]],8,1)</f>
        <v>61</v>
      </c>
    </row>
    <row r="125" spans="1:9" x14ac:dyDescent="0.25">
      <c r="A125" s="1">
        <v>32418</v>
      </c>
      <c r="B125">
        <v>1002</v>
      </c>
      <c r="C125">
        <v>1988</v>
      </c>
      <c r="D125">
        <v>41</v>
      </c>
      <c r="E125">
        <v>2</v>
      </c>
      <c r="F125">
        <v>858</v>
      </c>
      <c r="G125">
        <v>461</v>
      </c>
      <c r="H125">
        <f>SUMIFS($F$2:F125,$C$2:C125,C125)</f>
        <v>24867</v>
      </c>
      <c r="I125" s="8">
        <f>STAMP_Escapement_Data[[#This Row],[DATE]]-DATE(STAMP_Escapement_Data[[#This Row],[YEAR]],8,1)</f>
        <v>62</v>
      </c>
    </row>
    <row r="126" spans="1:9" x14ac:dyDescent="0.25">
      <c r="A126" s="1">
        <v>32419</v>
      </c>
      <c r="B126">
        <v>1003</v>
      </c>
      <c r="C126">
        <v>1988</v>
      </c>
      <c r="D126">
        <v>11</v>
      </c>
      <c r="E126">
        <v>3</v>
      </c>
      <c r="F126">
        <v>329</v>
      </c>
      <c r="G126">
        <v>232</v>
      </c>
      <c r="H126">
        <f>SUMIFS($F$2:F126,$C$2:C126,C126)</f>
        <v>25196</v>
      </c>
      <c r="I126" s="8">
        <f>STAMP_Escapement_Data[[#This Row],[DATE]]-DATE(STAMP_Escapement_Data[[#This Row],[YEAR]],8,1)</f>
        <v>63</v>
      </c>
    </row>
    <row r="127" spans="1:9" x14ac:dyDescent="0.25">
      <c r="A127" s="1">
        <v>32420</v>
      </c>
      <c r="B127">
        <v>1004</v>
      </c>
      <c r="C127">
        <v>1988</v>
      </c>
      <c r="D127">
        <v>170</v>
      </c>
      <c r="E127">
        <v>11</v>
      </c>
      <c r="F127">
        <v>1371</v>
      </c>
      <c r="G127">
        <v>334</v>
      </c>
      <c r="H127">
        <f>SUMIFS($F$2:F127,$C$2:C127,C127)</f>
        <v>26567</v>
      </c>
      <c r="I127" s="8">
        <f>STAMP_Escapement_Data[[#This Row],[DATE]]-DATE(STAMP_Escapement_Data[[#This Row],[YEAR]],8,1)</f>
        <v>64</v>
      </c>
    </row>
    <row r="128" spans="1:9" x14ac:dyDescent="0.25">
      <c r="A128" s="1">
        <v>32421</v>
      </c>
      <c r="B128">
        <v>1005</v>
      </c>
      <c r="C128">
        <v>1988</v>
      </c>
      <c r="D128">
        <v>482</v>
      </c>
      <c r="E128">
        <v>11</v>
      </c>
      <c r="F128">
        <v>1863</v>
      </c>
      <c r="G128">
        <v>273</v>
      </c>
      <c r="H128">
        <f>SUMIFS($F$2:F128,$C$2:C128,C128)</f>
        <v>28430</v>
      </c>
      <c r="I128" s="8">
        <f>STAMP_Escapement_Data[[#This Row],[DATE]]-DATE(STAMP_Escapement_Data[[#This Row],[YEAR]],8,1)</f>
        <v>65</v>
      </c>
    </row>
    <row r="129" spans="1:9" x14ac:dyDescent="0.25">
      <c r="A129" s="1">
        <v>32422</v>
      </c>
      <c r="B129">
        <v>1006</v>
      </c>
      <c r="C129">
        <v>1988</v>
      </c>
      <c r="D129">
        <v>132</v>
      </c>
      <c r="E129">
        <v>14</v>
      </c>
      <c r="F129">
        <v>1487</v>
      </c>
      <c r="G129">
        <v>94</v>
      </c>
      <c r="H129">
        <f>SUMIFS($F$2:F129,$C$2:C129,C129)</f>
        <v>29917</v>
      </c>
      <c r="I129" s="8">
        <f>STAMP_Escapement_Data[[#This Row],[DATE]]-DATE(STAMP_Escapement_Data[[#This Row],[YEAR]],8,1)</f>
        <v>66</v>
      </c>
    </row>
    <row r="130" spans="1:9" x14ac:dyDescent="0.25">
      <c r="A130" s="1">
        <v>32423</v>
      </c>
      <c r="B130">
        <v>1007</v>
      </c>
      <c r="C130">
        <v>1988</v>
      </c>
      <c r="D130">
        <v>269</v>
      </c>
      <c r="E130">
        <v>7</v>
      </c>
      <c r="F130">
        <v>1721</v>
      </c>
      <c r="G130">
        <v>215</v>
      </c>
      <c r="H130">
        <f>SUMIFS($F$2:F130,$C$2:C130,C130)</f>
        <v>31638</v>
      </c>
      <c r="I130" s="8">
        <f>STAMP_Escapement_Data[[#This Row],[DATE]]-DATE(STAMP_Escapement_Data[[#This Row],[YEAR]],8,1)</f>
        <v>67</v>
      </c>
    </row>
    <row r="131" spans="1:9" x14ac:dyDescent="0.25">
      <c r="A131" s="1">
        <v>32424</v>
      </c>
      <c r="B131">
        <v>1008</v>
      </c>
      <c r="C131">
        <v>1988</v>
      </c>
      <c r="D131">
        <v>192</v>
      </c>
      <c r="E131">
        <v>42</v>
      </c>
      <c r="F131">
        <v>2070</v>
      </c>
      <c r="G131">
        <v>153</v>
      </c>
      <c r="H131">
        <f>SUMIFS($F$2:F131,$C$2:C131,C131)</f>
        <v>33708</v>
      </c>
      <c r="I131" s="8">
        <f>STAMP_Escapement_Data[[#This Row],[DATE]]-DATE(STAMP_Escapement_Data[[#This Row],[YEAR]],8,1)</f>
        <v>68</v>
      </c>
    </row>
    <row r="132" spans="1:9" x14ac:dyDescent="0.25">
      <c r="A132" s="1">
        <v>32425</v>
      </c>
      <c r="B132">
        <v>1009</v>
      </c>
      <c r="C132">
        <v>1988</v>
      </c>
      <c r="D132">
        <v>144</v>
      </c>
      <c r="E132">
        <v>56</v>
      </c>
      <c r="F132">
        <v>1277</v>
      </c>
      <c r="G132">
        <v>178</v>
      </c>
      <c r="H132">
        <f>SUMIFS($F$2:F132,$C$2:C132,C132)</f>
        <v>34985</v>
      </c>
      <c r="I132" s="8">
        <f>STAMP_Escapement_Data[[#This Row],[DATE]]-DATE(STAMP_Escapement_Data[[#This Row],[YEAR]],8,1)</f>
        <v>69</v>
      </c>
    </row>
    <row r="133" spans="1:9" x14ac:dyDescent="0.25">
      <c r="A133" s="1">
        <v>32426</v>
      </c>
      <c r="B133">
        <v>1010</v>
      </c>
      <c r="C133">
        <v>1988</v>
      </c>
      <c r="D133">
        <v>61</v>
      </c>
      <c r="E133">
        <v>37</v>
      </c>
      <c r="F133">
        <v>1044</v>
      </c>
      <c r="G133">
        <v>127</v>
      </c>
      <c r="H133">
        <f>SUMIFS($F$2:F133,$C$2:C133,C133)</f>
        <v>36029</v>
      </c>
      <c r="I133" s="8">
        <f>STAMP_Escapement_Data[[#This Row],[DATE]]-DATE(STAMP_Escapement_Data[[#This Row],[YEAR]],8,1)</f>
        <v>70</v>
      </c>
    </row>
    <row r="134" spans="1:9" x14ac:dyDescent="0.25">
      <c r="A134" s="1">
        <v>32427</v>
      </c>
      <c r="B134">
        <v>1011</v>
      </c>
      <c r="C134">
        <v>1988</v>
      </c>
      <c r="D134">
        <v>27</v>
      </c>
      <c r="E134">
        <v>35</v>
      </c>
      <c r="F134">
        <v>1513</v>
      </c>
      <c r="G134">
        <v>73</v>
      </c>
      <c r="H134">
        <f>SUMIFS($F$2:F134,$C$2:C134,C134)</f>
        <v>37542</v>
      </c>
      <c r="I134" s="8">
        <f>STAMP_Escapement_Data[[#This Row],[DATE]]-DATE(STAMP_Escapement_Data[[#This Row],[YEAR]],8,1)</f>
        <v>71</v>
      </c>
    </row>
    <row r="135" spans="1:9" x14ac:dyDescent="0.25">
      <c r="A135" s="1">
        <v>32428</v>
      </c>
      <c r="B135">
        <v>1012</v>
      </c>
      <c r="C135">
        <v>1988</v>
      </c>
      <c r="D135">
        <v>38</v>
      </c>
      <c r="E135">
        <v>17</v>
      </c>
      <c r="F135">
        <v>1001</v>
      </c>
      <c r="G135">
        <v>45</v>
      </c>
      <c r="H135">
        <f>SUMIFS($F$2:F135,$C$2:C135,C135)</f>
        <v>38543</v>
      </c>
      <c r="I135" s="8">
        <f>STAMP_Escapement_Data[[#This Row],[DATE]]-DATE(STAMP_Escapement_Data[[#This Row],[YEAR]],8,1)</f>
        <v>72</v>
      </c>
    </row>
    <row r="136" spans="1:9" x14ac:dyDescent="0.25">
      <c r="A136" s="1">
        <v>32429</v>
      </c>
      <c r="B136">
        <v>1013</v>
      </c>
      <c r="C136">
        <v>1988</v>
      </c>
      <c r="D136">
        <v>115</v>
      </c>
      <c r="E136">
        <v>39</v>
      </c>
      <c r="F136">
        <v>1225</v>
      </c>
      <c r="G136">
        <v>26</v>
      </c>
      <c r="H136">
        <f>SUMIFS($F$2:F136,$C$2:C136,C136)</f>
        <v>39768</v>
      </c>
      <c r="I136" s="8">
        <f>STAMP_Escapement_Data[[#This Row],[DATE]]-DATE(STAMP_Escapement_Data[[#This Row],[YEAR]],8,1)</f>
        <v>73</v>
      </c>
    </row>
    <row r="137" spans="1:9" x14ac:dyDescent="0.25">
      <c r="A137" s="1">
        <v>32430</v>
      </c>
      <c r="B137">
        <v>1014</v>
      </c>
      <c r="C137">
        <v>1988</v>
      </c>
      <c r="D137">
        <v>279</v>
      </c>
      <c r="E137">
        <v>35</v>
      </c>
      <c r="F137">
        <v>2206</v>
      </c>
      <c r="G137">
        <v>39</v>
      </c>
      <c r="H137">
        <f>SUMIFS($F$2:F137,$C$2:C137,C137)</f>
        <v>41974</v>
      </c>
      <c r="I137" s="8">
        <f>STAMP_Escapement_Data[[#This Row],[DATE]]-DATE(STAMP_Escapement_Data[[#This Row],[YEAR]],8,1)</f>
        <v>74</v>
      </c>
    </row>
    <row r="138" spans="1:9" x14ac:dyDescent="0.25">
      <c r="A138" s="1">
        <v>32431</v>
      </c>
      <c r="B138">
        <v>1015</v>
      </c>
      <c r="C138">
        <v>1988</v>
      </c>
      <c r="D138">
        <v>214</v>
      </c>
      <c r="E138">
        <v>46</v>
      </c>
      <c r="F138">
        <v>2284</v>
      </c>
      <c r="G138">
        <v>111</v>
      </c>
      <c r="H138">
        <f>SUMIFS($F$2:F138,$C$2:C138,C138)</f>
        <v>44258</v>
      </c>
      <c r="I138" s="8">
        <f>STAMP_Escapement_Data[[#This Row],[DATE]]-DATE(STAMP_Escapement_Data[[#This Row],[YEAR]],8,1)</f>
        <v>75</v>
      </c>
    </row>
    <row r="139" spans="1:9" x14ac:dyDescent="0.25">
      <c r="A139" s="1">
        <v>32432</v>
      </c>
      <c r="B139">
        <v>1016</v>
      </c>
      <c r="C139">
        <v>1988</v>
      </c>
      <c r="D139">
        <v>186</v>
      </c>
      <c r="E139">
        <v>79</v>
      </c>
      <c r="F139">
        <v>2321</v>
      </c>
      <c r="G139">
        <v>101</v>
      </c>
      <c r="H139">
        <f>SUMIFS($F$2:F139,$C$2:C139,C139)</f>
        <v>46579</v>
      </c>
      <c r="I139" s="8">
        <f>STAMP_Escapement_Data[[#This Row],[DATE]]-DATE(STAMP_Escapement_Data[[#This Row],[YEAR]],8,1)</f>
        <v>76</v>
      </c>
    </row>
    <row r="140" spans="1:9" x14ac:dyDescent="0.25">
      <c r="A140" s="1">
        <v>32433</v>
      </c>
      <c r="B140">
        <v>1017</v>
      </c>
      <c r="C140">
        <v>1988</v>
      </c>
      <c r="D140">
        <v>171</v>
      </c>
      <c r="E140">
        <v>36</v>
      </c>
      <c r="F140">
        <v>2362</v>
      </c>
      <c r="G140">
        <v>104</v>
      </c>
      <c r="H140">
        <f>SUMIFS($F$2:F140,$C$2:C140,C140)</f>
        <v>48941</v>
      </c>
      <c r="I140" s="8">
        <f>STAMP_Escapement_Data[[#This Row],[DATE]]-DATE(STAMP_Escapement_Data[[#This Row],[YEAR]],8,1)</f>
        <v>77</v>
      </c>
    </row>
    <row r="141" spans="1:9" x14ac:dyDescent="0.25">
      <c r="A141" s="1">
        <v>32434</v>
      </c>
      <c r="B141">
        <v>1018</v>
      </c>
      <c r="C141">
        <v>1988</v>
      </c>
      <c r="D141">
        <v>47</v>
      </c>
      <c r="E141">
        <v>10</v>
      </c>
      <c r="F141">
        <v>1352</v>
      </c>
      <c r="G141">
        <v>45</v>
      </c>
      <c r="H141">
        <f>SUMIFS($F$2:F141,$C$2:C141,C141)</f>
        <v>50293</v>
      </c>
      <c r="I141" s="8">
        <f>STAMP_Escapement_Data[[#This Row],[DATE]]-DATE(STAMP_Escapement_Data[[#This Row],[YEAR]],8,1)</f>
        <v>78</v>
      </c>
    </row>
    <row r="142" spans="1:9" x14ac:dyDescent="0.25">
      <c r="A142" s="1">
        <v>32435</v>
      </c>
      <c r="B142">
        <v>1019</v>
      </c>
      <c r="C142">
        <v>1988</v>
      </c>
      <c r="D142">
        <v>162</v>
      </c>
      <c r="E142">
        <v>34</v>
      </c>
      <c r="F142">
        <v>1690</v>
      </c>
      <c r="G142">
        <v>91</v>
      </c>
      <c r="H142">
        <f>SUMIFS($F$2:F142,$C$2:C142,C142)</f>
        <v>51983</v>
      </c>
      <c r="I142" s="8">
        <f>STAMP_Escapement_Data[[#This Row],[DATE]]-DATE(STAMP_Escapement_Data[[#This Row],[YEAR]],8,1)</f>
        <v>79</v>
      </c>
    </row>
    <row r="143" spans="1:9" x14ac:dyDescent="0.25">
      <c r="A143" s="1">
        <v>32436</v>
      </c>
      <c r="B143">
        <v>1020</v>
      </c>
      <c r="C143">
        <v>1988</v>
      </c>
      <c r="D143">
        <v>118</v>
      </c>
      <c r="E143">
        <v>20</v>
      </c>
      <c r="F143">
        <v>1776</v>
      </c>
      <c r="G143">
        <v>137</v>
      </c>
      <c r="H143">
        <f>SUMIFS($F$2:F143,$C$2:C143,C143)</f>
        <v>53759</v>
      </c>
      <c r="I143" s="8">
        <f>STAMP_Escapement_Data[[#This Row],[DATE]]-DATE(STAMP_Escapement_Data[[#This Row],[YEAR]],8,1)</f>
        <v>80</v>
      </c>
    </row>
    <row r="144" spans="1:9" x14ac:dyDescent="0.25">
      <c r="A144" s="1">
        <v>32437</v>
      </c>
      <c r="B144">
        <v>1021</v>
      </c>
      <c r="C144">
        <v>1988</v>
      </c>
      <c r="D144">
        <v>214</v>
      </c>
      <c r="E144">
        <v>70</v>
      </c>
      <c r="F144">
        <v>1979</v>
      </c>
      <c r="G144">
        <v>271</v>
      </c>
      <c r="H144">
        <f>SUMIFS($F$2:F144,$C$2:C144,C144)</f>
        <v>55738</v>
      </c>
      <c r="I144" s="8">
        <f>STAMP_Escapement_Data[[#This Row],[DATE]]-DATE(STAMP_Escapement_Data[[#This Row],[YEAR]],8,1)</f>
        <v>81</v>
      </c>
    </row>
    <row r="145" spans="1:9" x14ac:dyDescent="0.25">
      <c r="A145" s="1">
        <v>32438</v>
      </c>
      <c r="B145">
        <v>1022</v>
      </c>
      <c r="C145">
        <v>1988</v>
      </c>
      <c r="D145">
        <v>159</v>
      </c>
      <c r="E145">
        <v>55</v>
      </c>
      <c r="F145">
        <v>2029</v>
      </c>
      <c r="G145">
        <v>129</v>
      </c>
      <c r="H145">
        <f>SUMIFS($F$2:F145,$C$2:C145,C145)</f>
        <v>57767</v>
      </c>
      <c r="I145" s="8">
        <f>STAMP_Escapement_Data[[#This Row],[DATE]]-DATE(STAMP_Escapement_Data[[#This Row],[YEAR]],8,1)</f>
        <v>82</v>
      </c>
    </row>
    <row r="146" spans="1:9" x14ac:dyDescent="0.25">
      <c r="A146" s="1">
        <v>32439</v>
      </c>
      <c r="B146">
        <v>1023</v>
      </c>
      <c r="C146">
        <v>1988</v>
      </c>
      <c r="D146">
        <v>123</v>
      </c>
      <c r="E146">
        <v>17</v>
      </c>
      <c r="F146">
        <v>1583</v>
      </c>
      <c r="G146">
        <v>111</v>
      </c>
      <c r="H146">
        <f>SUMIFS($F$2:F146,$C$2:C146,C146)</f>
        <v>59350</v>
      </c>
      <c r="I146" s="8">
        <f>STAMP_Escapement_Data[[#This Row],[DATE]]-DATE(STAMP_Escapement_Data[[#This Row],[YEAR]],8,1)</f>
        <v>83</v>
      </c>
    </row>
    <row r="147" spans="1:9" x14ac:dyDescent="0.25">
      <c r="A147" s="1">
        <v>32440</v>
      </c>
      <c r="B147">
        <v>1024</v>
      </c>
      <c r="C147">
        <v>1988</v>
      </c>
      <c r="D147">
        <v>92</v>
      </c>
      <c r="E147">
        <v>32</v>
      </c>
      <c r="F147">
        <v>1226</v>
      </c>
      <c r="G147">
        <v>77</v>
      </c>
      <c r="H147">
        <f>SUMIFS($F$2:F147,$C$2:C147,C147)</f>
        <v>60576</v>
      </c>
      <c r="I147" s="8">
        <f>STAMP_Escapement_Data[[#This Row],[DATE]]-DATE(STAMP_Escapement_Data[[#This Row],[YEAR]],8,1)</f>
        <v>84</v>
      </c>
    </row>
    <row r="148" spans="1:9" x14ac:dyDescent="0.25">
      <c r="A148" s="1">
        <v>32441</v>
      </c>
      <c r="B148">
        <v>1025</v>
      </c>
      <c r="C148">
        <v>1988</v>
      </c>
      <c r="D148">
        <v>70</v>
      </c>
      <c r="E148">
        <v>20</v>
      </c>
      <c r="F148">
        <v>1167</v>
      </c>
      <c r="G148">
        <v>56</v>
      </c>
      <c r="H148">
        <f>SUMIFS($F$2:F148,$C$2:C148,C148)</f>
        <v>61743</v>
      </c>
      <c r="I148" s="8">
        <f>STAMP_Escapement_Data[[#This Row],[DATE]]-DATE(STAMP_Escapement_Data[[#This Row],[YEAR]],8,1)</f>
        <v>85</v>
      </c>
    </row>
    <row r="149" spans="1:9" x14ac:dyDescent="0.25">
      <c r="A149" s="1">
        <v>32442</v>
      </c>
      <c r="B149">
        <v>1026</v>
      </c>
      <c r="C149">
        <v>1988</v>
      </c>
      <c r="D149">
        <v>54</v>
      </c>
      <c r="E149">
        <v>17</v>
      </c>
      <c r="F149">
        <v>1224</v>
      </c>
      <c r="G149">
        <v>53</v>
      </c>
      <c r="H149">
        <f>SUMIFS($F$2:F149,$C$2:C149,C149)</f>
        <v>62967</v>
      </c>
      <c r="I149" s="8">
        <f>STAMP_Escapement_Data[[#This Row],[DATE]]-DATE(STAMP_Escapement_Data[[#This Row],[YEAR]],8,1)</f>
        <v>86</v>
      </c>
    </row>
    <row r="150" spans="1:9" x14ac:dyDescent="0.25">
      <c r="A150" s="1">
        <v>32443</v>
      </c>
      <c r="B150">
        <v>1027</v>
      </c>
      <c r="C150">
        <v>1988</v>
      </c>
      <c r="D150">
        <v>29</v>
      </c>
      <c r="E150">
        <v>15</v>
      </c>
      <c r="F150">
        <v>682</v>
      </c>
      <c r="G150">
        <v>27</v>
      </c>
      <c r="H150">
        <f>SUMIFS($F$2:F150,$C$2:C150,C150)</f>
        <v>63649</v>
      </c>
      <c r="I150" s="8">
        <f>STAMP_Escapement_Data[[#This Row],[DATE]]-DATE(STAMP_Escapement_Data[[#This Row],[YEAR]],8,1)</f>
        <v>87</v>
      </c>
    </row>
    <row r="151" spans="1:9" x14ac:dyDescent="0.25">
      <c r="A151" s="1">
        <v>32444</v>
      </c>
      <c r="B151">
        <v>1028</v>
      </c>
      <c r="C151">
        <v>1988</v>
      </c>
      <c r="D151">
        <v>27</v>
      </c>
      <c r="E151">
        <v>10</v>
      </c>
      <c r="F151">
        <v>666</v>
      </c>
      <c r="G151">
        <v>54</v>
      </c>
      <c r="H151">
        <f>SUMIFS($F$2:F151,$C$2:C151,C151)</f>
        <v>64315</v>
      </c>
      <c r="I151" s="8">
        <f>STAMP_Escapement_Data[[#This Row],[DATE]]-DATE(STAMP_Escapement_Data[[#This Row],[YEAR]],8,1)</f>
        <v>88</v>
      </c>
    </row>
    <row r="152" spans="1:9" x14ac:dyDescent="0.25">
      <c r="A152" s="1">
        <v>32445</v>
      </c>
      <c r="B152">
        <v>1029</v>
      </c>
      <c r="C152">
        <v>1988</v>
      </c>
      <c r="D152">
        <v>42</v>
      </c>
      <c r="E152">
        <v>20</v>
      </c>
      <c r="F152">
        <v>605</v>
      </c>
      <c r="G152">
        <v>35</v>
      </c>
      <c r="H152">
        <f>SUMIFS($F$2:F152,$C$2:C152,C152)</f>
        <v>64920</v>
      </c>
      <c r="I152" s="8">
        <f>STAMP_Escapement_Data[[#This Row],[DATE]]-DATE(STAMP_Escapement_Data[[#This Row],[YEAR]],8,1)</f>
        <v>89</v>
      </c>
    </row>
    <row r="153" spans="1:9" x14ac:dyDescent="0.25">
      <c r="A153" s="1">
        <v>32446</v>
      </c>
      <c r="B153">
        <v>1030</v>
      </c>
      <c r="C153">
        <v>1988</v>
      </c>
      <c r="D153">
        <v>34</v>
      </c>
      <c r="E153">
        <v>25</v>
      </c>
      <c r="F153">
        <v>553</v>
      </c>
      <c r="G153">
        <v>41</v>
      </c>
      <c r="H153">
        <f>SUMIFS($F$2:F153,$C$2:C153,C153)</f>
        <v>65473</v>
      </c>
      <c r="I153" s="8">
        <f>STAMP_Escapement_Data[[#This Row],[DATE]]-DATE(STAMP_Escapement_Data[[#This Row],[YEAR]],8,1)</f>
        <v>90</v>
      </c>
    </row>
    <row r="154" spans="1:9" x14ac:dyDescent="0.25">
      <c r="A154" s="1">
        <v>32447</v>
      </c>
      <c r="B154">
        <v>1031</v>
      </c>
      <c r="C154">
        <v>1988</v>
      </c>
      <c r="D154">
        <v>58</v>
      </c>
      <c r="E154">
        <v>9</v>
      </c>
      <c r="F154">
        <v>315</v>
      </c>
      <c r="G154">
        <v>27</v>
      </c>
      <c r="H154">
        <f>SUMIFS($F$2:F154,$C$2:C154,C154)</f>
        <v>65788</v>
      </c>
      <c r="I154" s="8">
        <f>STAMP_Escapement_Data[[#This Row],[DATE]]-DATE(STAMP_Escapement_Data[[#This Row],[YEAR]],8,1)</f>
        <v>91</v>
      </c>
    </row>
    <row r="155" spans="1:9" x14ac:dyDescent="0.25">
      <c r="A155" s="1">
        <v>32448</v>
      </c>
      <c r="B155">
        <v>1101</v>
      </c>
      <c r="C155">
        <v>1988</v>
      </c>
      <c r="D155">
        <v>1</v>
      </c>
      <c r="E155">
        <v>0</v>
      </c>
      <c r="F155">
        <v>41</v>
      </c>
      <c r="G155">
        <v>6</v>
      </c>
      <c r="H155">
        <f>SUMIFS($F$2:F155,$C$2:C155,C155)</f>
        <v>65829</v>
      </c>
      <c r="I155" s="8">
        <f>STAMP_Escapement_Data[[#This Row],[DATE]]-DATE(STAMP_Escapement_Data[[#This Row],[YEAR]],8,1)</f>
        <v>92</v>
      </c>
    </row>
    <row r="156" spans="1:9" x14ac:dyDescent="0.25">
      <c r="A156" s="1">
        <v>32449</v>
      </c>
      <c r="B156">
        <v>1102</v>
      </c>
      <c r="C156">
        <v>1988</v>
      </c>
      <c r="D156">
        <v>55</v>
      </c>
      <c r="E156">
        <v>4</v>
      </c>
      <c r="F156">
        <v>126</v>
      </c>
      <c r="G156">
        <v>35</v>
      </c>
      <c r="H156">
        <f>SUMIFS($F$2:F156,$C$2:C156,C156)</f>
        <v>65955</v>
      </c>
      <c r="I156" s="8">
        <f>STAMP_Escapement_Data[[#This Row],[DATE]]-DATE(STAMP_Escapement_Data[[#This Row],[YEAR]],8,1)</f>
        <v>93</v>
      </c>
    </row>
    <row r="157" spans="1:9" x14ac:dyDescent="0.25">
      <c r="A157" s="1">
        <v>32450</v>
      </c>
      <c r="B157">
        <v>1103</v>
      </c>
      <c r="C157">
        <v>1988</v>
      </c>
      <c r="D157">
        <v>8</v>
      </c>
      <c r="E157">
        <v>1</v>
      </c>
      <c r="F157">
        <v>97</v>
      </c>
      <c r="G157">
        <v>13</v>
      </c>
      <c r="H157">
        <f>SUMIFS($F$2:F157,$C$2:C157,C157)</f>
        <v>66052</v>
      </c>
      <c r="I157" s="8">
        <f>STAMP_Escapement_Data[[#This Row],[DATE]]-DATE(STAMP_Escapement_Data[[#This Row],[YEAR]],8,1)</f>
        <v>94</v>
      </c>
    </row>
    <row r="158" spans="1:9" x14ac:dyDescent="0.25">
      <c r="A158" s="1">
        <v>32451</v>
      </c>
      <c r="B158">
        <v>1104</v>
      </c>
      <c r="C158">
        <v>1988</v>
      </c>
      <c r="D158">
        <v>0</v>
      </c>
      <c r="E158">
        <v>0</v>
      </c>
      <c r="F158">
        <v>7</v>
      </c>
      <c r="G158">
        <v>4</v>
      </c>
      <c r="H158">
        <f>SUMIFS($F$2:F158,$C$2:C158,C158)</f>
        <v>66059</v>
      </c>
      <c r="I158" s="8">
        <f>STAMP_Escapement_Data[[#This Row],[DATE]]-DATE(STAMP_Escapement_Data[[#This Row],[YEAR]],8,1)</f>
        <v>95</v>
      </c>
    </row>
    <row r="159" spans="1:9" x14ac:dyDescent="0.25">
      <c r="A159" s="1">
        <v>32452</v>
      </c>
      <c r="B159">
        <v>1105</v>
      </c>
      <c r="C159">
        <v>1988</v>
      </c>
      <c r="D159">
        <v>0</v>
      </c>
      <c r="E159">
        <v>0</v>
      </c>
      <c r="F159">
        <v>0</v>
      </c>
      <c r="G159">
        <v>0</v>
      </c>
      <c r="H159">
        <f>SUMIFS($F$2:F159,$C$2:C159,C159)</f>
        <v>66059</v>
      </c>
      <c r="I159" s="8">
        <f>STAMP_Escapement_Data[[#This Row],[DATE]]-DATE(STAMP_Escapement_Data[[#This Row],[YEAR]],8,1)</f>
        <v>96</v>
      </c>
    </row>
    <row r="160" spans="1:9" x14ac:dyDescent="0.25">
      <c r="A160" s="1">
        <v>32453</v>
      </c>
      <c r="B160">
        <v>1106</v>
      </c>
      <c r="C160">
        <v>1988</v>
      </c>
      <c r="D160">
        <v>0</v>
      </c>
      <c r="E160">
        <v>0</v>
      </c>
      <c r="F160">
        <v>0</v>
      </c>
      <c r="G160">
        <v>0</v>
      </c>
      <c r="H160">
        <f>SUMIFS($F$2:F160,$C$2:C160,C160)</f>
        <v>66059</v>
      </c>
      <c r="I160" s="8">
        <f>STAMP_Escapement_Data[[#This Row],[DATE]]-DATE(STAMP_Escapement_Data[[#This Row],[YEAR]],8,1)</f>
        <v>97</v>
      </c>
    </row>
    <row r="161" spans="1:9" x14ac:dyDescent="0.25">
      <c r="A161" s="1">
        <v>32454</v>
      </c>
      <c r="B161">
        <v>1107</v>
      </c>
      <c r="C161">
        <v>1988</v>
      </c>
      <c r="D161">
        <v>0</v>
      </c>
      <c r="E161">
        <v>0</v>
      </c>
      <c r="F161">
        <v>0</v>
      </c>
      <c r="G161">
        <v>0</v>
      </c>
      <c r="H161">
        <f>SUMIFS($F$2:F161,$C$2:C161,C161)</f>
        <v>66059</v>
      </c>
      <c r="I161" s="8">
        <f>STAMP_Escapement_Data[[#This Row],[DATE]]-DATE(STAMP_Escapement_Data[[#This Row],[YEAR]],8,1)</f>
        <v>98</v>
      </c>
    </row>
    <row r="162" spans="1:9" x14ac:dyDescent="0.25">
      <c r="A162" s="1">
        <v>32455</v>
      </c>
      <c r="B162">
        <v>1108</v>
      </c>
      <c r="C162">
        <v>1988</v>
      </c>
      <c r="D162">
        <v>0</v>
      </c>
      <c r="E162">
        <v>0</v>
      </c>
      <c r="F162">
        <v>0</v>
      </c>
      <c r="G162">
        <v>0</v>
      </c>
      <c r="H162">
        <f>SUMIFS($F$2:F162,$C$2:C162,C162)</f>
        <v>66059</v>
      </c>
      <c r="I162" s="8">
        <f>STAMP_Escapement_Data[[#This Row],[DATE]]-DATE(STAMP_Escapement_Data[[#This Row],[YEAR]],8,1)</f>
        <v>99</v>
      </c>
    </row>
    <row r="163" spans="1:9" x14ac:dyDescent="0.25">
      <c r="A163" s="1">
        <v>32456</v>
      </c>
      <c r="B163">
        <v>1109</v>
      </c>
      <c r="C163">
        <v>1988</v>
      </c>
      <c r="D163">
        <v>0</v>
      </c>
      <c r="E163">
        <v>0</v>
      </c>
      <c r="F163">
        <v>0</v>
      </c>
      <c r="G163">
        <v>0</v>
      </c>
      <c r="H163">
        <f>SUMIFS($F$2:F163,$C$2:C163,C163)</f>
        <v>66059</v>
      </c>
      <c r="I163" s="8">
        <f>STAMP_Escapement_Data[[#This Row],[DATE]]-DATE(STAMP_Escapement_Data[[#This Row],[YEAR]],8,1)</f>
        <v>100</v>
      </c>
    </row>
    <row r="164" spans="1:9" x14ac:dyDescent="0.25">
      <c r="A164" s="1">
        <v>32457</v>
      </c>
      <c r="B164">
        <v>1110</v>
      </c>
      <c r="C164">
        <v>1988</v>
      </c>
      <c r="D164">
        <v>45</v>
      </c>
      <c r="E164">
        <v>0</v>
      </c>
      <c r="F164">
        <v>15</v>
      </c>
      <c r="G164">
        <v>5</v>
      </c>
      <c r="H164">
        <f>SUMIFS($F$2:F164,$C$2:C164,C164)</f>
        <v>66074</v>
      </c>
      <c r="I164" s="8">
        <f>STAMP_Escapement_Data[[#This Row],[DATE]]-DATE(STAMP_Escapement_Data[[#This Row],[YEAR]],8,1)</f>
        <v>101</v>
      </c>
    </row>
    <row r="165" spans="1:9" x14ac:dyDescent="0.25">
      <c r="A165" s="1">
        <v>32458</v>
      </c>
      <c r="B165">
        <v>1111</v>
      </c>
      <c r="C165">
        <v>1988</v>
      </c>
      <c r="D165">
        <v>21</v>
      </c>
      <c r="E165">
        <v>0</v>
      </c>
      <c r="F165">
        <v>17</v>
      </c>
      <c r="G165">
        <v>6</v>
      </c>
      <c r="H165">
        <f>SUMIFS($F$2:F165,$C$2:C165,C165)</f>
        <v>66091</v>
      </c>
      <c r="I165" s="8">
        <f>STAMP_Escapement_Data[[#This Row],[DATE]]-DATE(STAMP_Escapement_Data[[#This Row],[YEAR]],8,1)</f>
        <v>102</v>
      </c>
    </row>
    <row r="166" spans="1:9" x14ac:dyDescent="0.25">
      <c r="A166" s="1">
        <v>32459</v>
      </c>
      <c r="B166">
        <v>1112</v>
      </c>
      <c r="C166">
        <v>1988</v>
      </c>
      <c r="D166">
        <v>19</v>
      </c>
      <c r="E166">
        <v>0</v>
      </c>
      <c r="F166">
        <v>19</v>
      </c>
      <c r="G166">
        <v>2</v>
      </c>
      <c r="H166">
        <f>SUMIFS($F$2:F166,$C$2:C166,C166)</f>
        <v>66110</v>
      </c>
      <c r="I166" s="8">
        <f>STAMP_Escapement_Data[[#This Row],[DATE]]-DATE(STAMP_Escapement_Data[[#This Row],[YEAR]],8,1)</f>
        <v>103</v>
      </c>
    </row>
    <row r="167" spans="1:9" x14ac:dyDescent="0.25">
      <c r="A167" s="1">
        <v>32460</v>
      </c>
      <c r="B167">
        <v>1113</v>
      </c>
      <c r="C167">
        <v>1988</v>
      </c>
      <c r="D167">
        <v>21</v>
      </c>
      <c r="E167">
        <v>1</v>
      </c>
      <c r="F167">
        <v>11</v>
      </c>
      <c r="G167">
        <v>2</v>
      </c>
      <c r="H167">
        <f>SUMIFS($F$2:F167,$C$2:C167,C167)</f>
        <v>66121</v>
      </c>
      <c r="I167" s="8">
        <f>STAMP_Escapement_Data[[#This Row],[DATE]]-DATE(STAMP_Escapement_Data[[#This Row],[YEAR]],8,1)</f>
        <v>104</v>
      </c>
    </row>
    <row r="168" spans="1:9" x14ac:dyDescent="0.25">
      <c r="A168" s="1">
        <v>32461</v>
      </c>
      <c r="B168">
        <v>1114</v>
      </c>
      <c r="C168">
        <v>1988</v>
      </c>
      <c r="D168">
        <v>10</v>
      </c>
      <c r="E168">
        <v>1</v>
      </c>
      <c r="F168">
        <v>12</v>
      </c>
      <c r="G168">
        <v>12</v>
      </c>
      <c r="H168">
        <f>SUMIFS($F$2:F168,$C$2:C168,C168)</f>
        <v>66133</v>
      </c>
      <c r="I168" s="8">
        <f>STAMP_Escapement_Data[[#This Row],[DATE]]-DATE(STAMP_Escapement_Data[[#This Row],[YEAR]],8,1)</f>
        <v>105</v>
      </c>
    </row>
    <row r="169" spans="1:9" x14ac:dyDescent="0.25">
      <c r="A169" s="1">
        <v>32462</v>
      </c>
      <c r="B169">
        <v>1115</v>
      </c>
      <c r="C169">
        <v>1988</v>
      </c>
      <c r="D169">
        <v>16</v>
      </c>
      <c r="E169">
        <v>0</v>
      </c>
      <c r="F169">
        <v>12</v>
      </c>
      <c r="G169">
        <v>4</v>
      </c>
      <c r="H169">
        <f>SUMIFS($F$2:F169,$C$2:C169,C169)</f>
        <v>66145</v>
      </c>
      <c r="I169" s="8">
        <f>STAMP_Escapement_Data[[#This Row],[DATE]]-DATE(STAMP_Escapement_Data[[#This Row],[YEAR]],8,1)</f>
        <v>106</v>
      </c>
    </row>
    <row r="170" spans="1:9" x14ac:dyDescent="0.25">
      <c r="A170" s="1">
        <v>32463</v>
      </c>
      <c r="B170">
        <v>1116</v>
      </c>
      <c r="C170">
        <v>1988</v>
      </c>
      <c r="D170">
        <v>5</v>
      </c>
      <c r="E170">
        <v>0</v>
      </c>
      <c r="F170">
        <v>10</v>
      </c>
      <c r="G170">
        <v>3</v>
      </c>
      <c r="H170">
        <f>SUMIFS($F$2:F170,$C$2:C170,C170)</f>
        <v>66155</v>
      </c>
      <c r="I170" s="8">
        <f>STAMP_Escapement_Data[[#This Row],[DATE]]-DATE(STAMP_Escapement_Data[[#This Row],[YEAR]],8,1)</f>
        <v>107</v>
      </c>
    </row>
    <row r="171" spans="1:9" x14ac:dyDescent="0.25">
      <c r="A171" s="1">
        <v>32464</v>
      </c>
      <c r="B171">
        <v>1117</v>
      </c>
      <c r="C171">
        <v>1988</v>
      </c>
      <c r="D171">
        <v>5</v>
      </c>
      <c r="E171">
        <v>0</v>
      </c>
      <c r="F171">
        <v>7</v>
      </c>
      <c r="G171">
        <v>1</v>
      </c>
      <c r="H171">
        <f>SUMIFS($F$2:F171,$C$2:C171,C171)</f>
        <v>66162</v>
      </c>
      <c r="I171" s="8">
        <f>STAMP_Escapement_Data[[#This Row],[DATE]]-DATE(STAMP_Escapement_Data[[#This Row],[YEAR]],8,1)</f>
        <v>108</v>
      </c>
    </row>
    <row r="172" spans="1:9" x14ac:dyDescent="0.25">
      <c r="A172" s="1">
        <v>32465</v>
      </c>
      <c r="B172">
        <v>1118</v>
      </c>
      <c r="C172">
        <v>1988</v>
      </c>
      <c r="D172">
        <v>7</v>
      </c>
      <c r="E172">
        <v>0</v>
      </c>
      <c r="F172">
        <v>6</v>
      </c>
      <c r="G172">
        <v>1</v>
      </c>
      <c r="H172">
        <f>SUMIFS($F$2:F172,$C$2:C172,C172)</f>
        <v>66168</v>
      </c>
      <c r="I172" s="8">
        <f>STAMP_Escapement_Data[[#This Row],[DATE]]-DATE(STAMP_Escapement_Data[[#This Row],[YEAR]],8,1)</f>
        <v>109</v>
      </c>
    </row>
    <row r="173" spans="1:9" x14ac:dyDescent="0.25">
      <c r="A173" s="1">
        <v>32466</v>
      </c>
      <c r="B173">
        <v>1119</v>
      </c>
      <c r="C173">
        <v>1988</v>
      </c>
      <c r="D173">
        <v>0</v>
      </c>
      <c r="E173">
        <v>0</v>
      </c>
      <c r="F173">
        <v>0</v>
      </c>
      <c r="G173">
        <v>0</v>
      </c>
      <c r="H173">
        <f>SUMIFS($F$2:F173,$C$2:C173,C173)</f>
        <v>66168</v>
      </c>
      <c r="I173" s="8">
        <f>STAMP_Escapement_Data[[#This Row],[DATE]]-DATE(STAMP_Escapement_Data[[#This Row],[YEAR]],8,1)</f>
        <v>110</v>
      </c>
    </row>
    <row r="174" spans="1:9" x14ac:dyDescent="0.25">
      <c r="A174" s="1">
        <v>32467</v>
      </c>
      <c r="B174">
        <v>1120</v>
      </c>
      <c r="C174">
        <v>1988</v>
      </c>
      <c r="D174">
        <v>5</v>
      </c>
      <c r="E174">
        <v>0</v>
      </c>
      <c r="F174">
        <v>3</v>
      </c>
      <c r="G174">
        <v>2</v>
      </c>
      <c r="H174">
        <f>SUMIFS($F$2:F174,$C$2:C174,C174)</f>
        <v>66171</v>
      </c>
      <c r="I174" s="8">
        <f>STAMP_Escapement_Data[[#This Row],[DATE]]-DATE(STAMP_Escapement_Data[[#This Row],[YEAR]],8,1)</f>
        <v>111</v>
      </c>
    </row>
    <row r="175" spans="1:9" x14ac:dyDescent="0.25">
      <c r="A175" s="1">
        <v>32765</v>
      </c>
      <c r="B175">
        <v>914</v>
      </c>
      <c r="C175">
        <v>1989</v>
      </c>
      <c r="D175">
        <v>1</v>
      </c>
      <c r="E175">
        <v>8</v>
      </c>
      <c r="F175">
        <v>85</v>
      </c>
      <c r="G175">
        <v>10</v>
      </c>
      <c r="H175">
        <f>SUMIFS($F$2:F175,$C$2:C175,C175)</f>
        <v>85</v>
      </c>
      <c r="I175" s="8">
        <f>STAMP_Escapement_Data[[#This Row],[DATE]]-DATE(STAMP_Escapement_Data[[#This Row],[YEAR]],8,1)</f>
        <v>44</v>
      </c>
    </row>
    <row r="176" spans="1:9" x14ac:dyDescent="0.25">
      <c r="A176" s="1">
        <v>32766</v>
      </c>
      <c r="B176">
        <v>915</v>
      </c>
      <c r="C176">
        <v>1989</v>
      </c>
      <c r="D176">
        <v>10</v>
      </c>
      <c r="E176">
        <v>7</v>
      </c>
      <c r="F176">
        <v>969</v>
      </c>
      <c r="G176">
        <v>40</v>
      </c>
      <c r="H176">
        <f>SUMIFS($F$2:F176,$C$2:C176,C176)</f>
        <v>1054</v>
      </c>
      <c r="I176" s="8">
        <f>STAMP_Escapement_Data[[#This Row],[DATE]]-DATE(STAMP_Escapement_Data[[#This Row],[YEAR]],8,1)</f>
        <v>45</v>
      </c>
    </row>
    <row r="177" spans="1:9" x14ac:dyDescent="0.25">
      <c r="A177" s="1">
        <v>32767</v>
      </c>
      <c r="B177">
        <v>916</v>
      </c>
      <c r="C177">
        <v>1989</v>
      </c>
      <c r="D177">
        <v>162</v>
      </c>
      <c r="E177">
        <v>47</v>
      </c>
      <c r="F177">
        <v>1433</v>
      </c>
      <c r="G177">
        <v>121</v>
      </c>
      <c r="H177">
        <f>SUMIFS($F$2:F177,$C$2:C177,C177)</f>
        <v>2487</v>
      </c>
      <c r="I177" s="8">
        <f>STAMP_Escapement_Data[[#This Row],[DATE]]-DATE(STAMP_Escapement_Data[[#This Row],[YEAR]],8,1)</f>
        <v>46</v>
      </c>
    </row>
    <row r="178" spans="1:9" x14ac:dyDescent="0.25">
      <c r="A178" s="1">
        <v>32768</v>
      </c>
      <c r="B178">
        <v>917</v>
      </c>
      <c r="C178">
        <v>1989</v>
      </c>
      <c r="D178">
        <v>533</v>
      </c>
      <c r="E178">
        <v>85</v>
      </c>
      <c r="F178">
        <v>2143</v>
      </c>
      <c r="G178">
        <v>265</v>
      </c>
      <c r="H178">
        <f>SUMIFS($F$2:F178,$C$2:C178,C178)</f>
        <v>4630</v>
      </c>
      <c r="I178" s="8">
        <f>STAMP_Escapement_Data[[#This Row],[DATE]]-DATE(STAMP_Escapement_Data[[#This Row],[YEAR]],8,1)</f>
        <v>47</v>
      </c>
    </row>
    <row r="179" spans="1:9" x14ac:dyDescent="0.25">
      <c r="A179" s="1">
        <v>32769</v>
      </c>
      <c r="B179">
        <v>918</v>
      </c>
      <c r="C179">
        <v>1989</v>
      </c>
      <c r="D179">
        <v>755</v>
      </c>
      <c r="E179">
        <v>95</v>
      </c>
      <c r="F179">
        <v>1344</v>
      </c>
      <c r="G179">
        <v>255</v>
      </c>
      <c r="H179">
        <f>SUMIFS($F$2:F179,$C$2:C179,C179)</f>
        <v>5974</v>
      </c>
      <c r="I179" s="8">
        <f>STAMP_Escapement_Data[[#This Row],[DATE]]-DATE(STAMP_Escapement_Data[[#This Row],[YEAR]],8,1)</f>
        <v>48</v>
      </c>
    </row>
    <row r="180" spans="1:9" x14ac:dyDescent="0.25">
      <c r="A180" s="1">
        <v>32770</v>
      </c>
      <c r="B180">
        <v>919</v>
      </c>
      <c r="C180">
        <v>1989</v>
      </c>
      <c r="D180">
        <v>895</v>
      </c>
      <c r="E180">
        <v>155</v>
      </c>
      <c r="F180">
        <v>1260</v>
      </c>
      <c r="G180">
        <v>431</v>
      </c>
      <c r="H180">
        <f>SUMIFS($F$2:F180,$C$2:C180,C180)</f>
        <v>7234</v>
      </c>
      <c r="I180" s="8">
        <f>STAMP_Escapement_Data[[#This Row],[DATE]]-DATE(STAMP_Escapement_Data[[#This Row],[YEAR]],8,1)</f>
        <v>49</v>
      </c>
    </row>
    <row r="181" spans="1:9" x14ac:dyDescent="0.25">
      <c r="A181" s="1">
        <v>32771</v>
      </c>
      <c r="B181">
        <v>920</v>
      </c>
      <c r="C181">
        <v>1989</v>
      </c>
      <c r="D181">
        <v>1383</v>
      </c>
      <c r="E181">
        <v>213</v>
      </c>
      <c r="F181">
        <v>875</v>
      </c>
      <c r="G181">
        <v>535</v>
      </c>
      <c r="H181">
        <f>SUMIFS($F$2:F181,$C$2:C181,C181)</f>
        <v>8109</v>
      </c>
      <c r="I181" s="8">
        <f>STAMP_Escapement_Data[[#This Row],[DATE]]-DATE(STAMP_Escapement_Data[[#This Row],[YEAR]],8,1)</f>
        <v>50</v>
      </c>
    </row>
    <row r="182" spans="1:9" x14ac:dyDescent="0.25">
      <c r="A182" s="1">
        <v>32772</v>
      </c>
      <c r="B182">
        <v>921</v>
      </c>
      <c r="C182">
        <v>1989</v>
      </c>
      <c r="D182">
        <v>1257</v>
      </c>
      <c r="E182">
        <v>253</v>
      </c>
      <c r="F182">
        <v>549</v>
      </c>
      <c r="G182">
        <v>543</v>
      </c>
      <c r="H182">
        <f>SUMIFS($F$2:F182,$C$2:C182,C182)</f>
        <v>8658</v>
      </c>
      <c r="I182" s="8">
        <f>STAMP_Escapement_Data[[#This Row],[DATE]]-DATE(STAMP_Escapement_Data[[#This Row],[YEAR]],8,1)</f>
        <v>51</v>
      </c>
    </row>
    <row r="183" spans="1:9" x14ac:dyDescent="0.25">
      <c r="A183" s="1">
        <v>32773</v>
      </c>
      <c r="B183">
        <v>922</v>
      </c>
      <c r="C183">
        <v>1989</v>
      </c>
      <c r="D183">
        <v>729</v>
      </c>
      <c r="E183">
        <v>128</v>
      </c>
      <c r="F183">
        <v>884</v>
      </c>
      <c r="G183">
        <v>225</v>
      </c>
      <c r="H183">
        <f>SUMIFS($F$2:F183,$C$2:C183,C183)</f>
        <v>9542</v>
      </c>
      <c r="I183" s="8">
        <f>STAMP_Escapement_Data[[#This Row],[DATE]]-DATE(STAMP_Escapement_Data[[#This Row],[YEAR]],8,1)</f>
        <v>52</v>
      </c>
    </row>
    <row r="184" spans="1:9" x14ac:dyDescent="0.25">
      <c r="A184" s="1">
        <v>32774</v>
      </c>
      <c r="B184">
        <v>923</v>
      </c>
      <c r="C184">
        <v>1989</v>
      </c>
      <c r="D184">
        <v>573</v>
      </c>
      <c r="E184">
        <v>88</v>
      </c>
      <c r="F184">
        <v>525</v>
      </c>
      <c r="G184">
        <v>151</v>
      </c>
      <c r="H184">
        <f>SUMIFS($F$2:F184,$C$2:C184,C184)</f>
        <v>10067</v>
      </c>
      <c r="I184" s="8">
        <f>STAMP_Escapement_Data[[#This Row],[DATE]]-DATE(STAMP_Escapement_Data[[#This Row],[YEAR]],8,1)</f>
        <v>53</v>
      </c>
    </row>
    <row r="185" spans="1:9" x14ac:dyDescent="0.25">
      <c r="A185" s="1">
        <v>32775</v>
      </c>
      <c r="B185">
        <v>924</v>
      </c>
      <c r="C185">
        <v>1989</v>
      </c>
      <c r="D185">
        <v>454</v>
      </c>
      <c r="E185">
        <v>87</v>
      </c>
      <c r="F185">
        <v>450</v>
      </c>
      <c r="G185">
        <v>184</v>
      </c>
      <c r="H185">
        <f>SUMIFS($F$2:F185,$C$2:C185,C185)</f>
        <v>10517</v>
      </c>
      <c r="I185" s="8">
        <f>STAMP_Escapement_Data[[#This Row],[DATE]]-DATE(STAMP_Escapement_Data[[#This Row],[YEAR]],8,1)</f>
        <v>54</v>
      </c>
    </row>
    <row r="186" spans="1:9" x14ac:dyDescent="0.25">
      <c r="A186" s="1">
        <v>32776</v>
      </c>
      <c r="B186">
        <v>925</v>
      </c>
      <c r="C186">
        <v>1989</v>
      </c>
      <c r="D186">
        <v>606</v>
      </c>
      <c r="E186">
        <v>317</v>
      </c>
      <c r="F186">
        <v>771</v>
      </c>
      <c r="G186">
        <v>657</v>
      </c>
      <c r="H186">
        <f>SUMIFS($F$2:F186,$C$2:C186,C186)</f>
        <v>11288</v>
      </c>
      <c r="I186" s="8">
        <f>STAMP_Escapement_Data[[#This Row],[DATE]]-DATE(STAMP_Escapement_Data[[#This Row],[YEAR]],8,1)</f>
        <v>55</v>
      </c>
    </row>
    <row r="187" spans="1:9" x14ac:dyDescent="0.25">
      <c r="A187" s="1">
        <v>32777</v>
      </c>
      <c r="B187">
        <v>926</v>
      </c>
      <c r="C187">
        <v>1989</v>
      </c>
      <c r="D187">
        <v>717</v>
      </c>
      <c r="E187">
        <v>356</v>
      </c>
      <c r="F187">
        <v>770</v>
      </c>
      <c r="G187">
        <v>666</v>
      </c>
      <c r="H187">
        <f>SUMIFS($F$2:F187,$C$2:C187,C187)</f>
        <v>12058</v>
      </c>
      <c r="I187" s="8">
        <f>STAMP_Escapement_Data[[#This Row],[DATE]]-DATE(STAMP_Escapement_Data[[#This Row],[YEAR]],8,1)</f>
        <v>56</v>
      </c>
    </row>
    <row r="188" spans="1:9" x14ac:dyDescent="0.25">
      <c r="A188" s="1">
        <v>32778</v>
      </c>
      <c r="B188">
        <v>927</v>
      </c>
      <c r="C188">
        <v>1989</v>
      </c>
      <c r="D188">
        <v>1098</v>
      </c>
      <c r="E188">
        <v>374</v>
      </c>
      <c r="F188">
        <v>811</v>
      </c>
      <c r="G188">
        <v>628</v>
      </c>
      <c r="H188">
        <f>SUMIFS($F$2:F188,$C$2:C188,C188)</f>
        <v>12869</v>
      </c>
      <c r="I188" s="8">
        <f>STAMP_Escapement_Data[[#This Row],[DATE]]-DATE(STAMP_Escapement_Data[[#This Row],[YEAR]],8,1)</f>
        <v>57</v>
      </c>
    </row>
    <row r="189" spans="1:9" x14ac:dyDescent="0.25">
      <c r="A189" s="1">
        <v>32779</v>
      </c>
      <c r="B189">
        <v>928</v>
      </c>
      <c r="C189">
        <v>1989</v>
      </c>
      <c r="D189">
        <v>1361</v>
      </c>
      <c r="E189">
        <v>273</v>
      </c>
      <c r="F189">
        <v>823</v>
      </c>
      <c r="G189">
        <v>692</v>
      </c>
      <c r="H189">
        <f>SUMIFS($F$2:F189,$C$2:C189,C189)</f>
        <v>13692</v>
      </c>
      <c r="I189" s="8">
        <f>STAMP_Escapement_Data[[#This Row],[DATE]]-DATE(STAMP_Escapement_Data[[#This Row],[YEAR]],8,1)</f>
        <v>58</v>
      </c>
    </row>
    <row r="190" spans="1:9" x14ac:dyDescent="0.25">
      <c r="A190" s="1">
        <v>32780</v>
      </c>
      <c r="B190">
        <v>929</v>
      </c>
      <c r="C190">
        <v>1989</v>
      </c>
      <c r="D190">
        <v>1222</v>
      </c>
      <c r="E190">
        <v>209</v>
      </c>
      <c r="F190">
        <v>771</v>
      </c>
      <c r="G190">
        <v>549</v>
      </c>
      <c r="H190">
        <f>SUMIFS($F$2:F190,$C$2:C190,C190)</f>
        <v>14463</v>
      </c>
      <c r="I190" s="8">
        <f>STAMP_Escapement_Data[[#This Row],[DATE]]-DATE(STAMP_Escapement_Data[[#This Row],[YEAR]],8,1)</f>
        <v>59</v>
      </c>
    </row>
    <row r="191" spans="1:9" x14ac:dyDescent="0.25">
      <c r="A191" s="1">
        <v>32781</v>
      </c>
      <c r="B191">
        <v>930</v>
      </c>
      <c r="C191">
        <v>1989</v>
      </c>
      <c r="D191">
        <v>1242</v>
      </c>
      <c r="E191">
        <v>266</v>
      </c>
      <c r="F191">
        <v>676</v>
      </c>
      <c r="G191">
        <v>562</v>
      </c>
      <c r="H191">
        <f>SUMIFS($F$2:F191,$C$2:C191,C191)</f>
        <v>15139</v>
      </c>
      <c r="I191" s="8">
        <f>STAMP_Escapement_Data[[#This Row],[DATE]]-DATE(STAMP_Escapement_Data[[#This Row],[YEAR]],8,1)</f>
        <v>60</v>
      </c>
    </row>
    <row r="192" spans="1:9" x14ac:dyDescent="0.25">
      <c r="A192" s="1">
        <v>32782</v>
      </c>
      <c r="B192">
        <v>1001</v>
      </c>
      <c r="C192">
        <v>1989</v>
      </c>
      <c r="D192">
        <v>1039</v>
      </c>
      <c r="E192">
        <v>175</v>
      </c>
      <c r="F192">
        <v>603</v>
      </c>
      <c r="G192">
        <v>477</v>
      </c>
      <c r="H192">
        <f>SUMIFS($F$2:F192,$C$2:C192,C192)</f>
        <v>15742</v>
      </c>
      <c r="I192" s="8">
        <f>STAMP_Escapement_Data[[#This Row],[DATE]]-DATE(STAMP_Escapement_Data[[#This Row],[YEAR]],8,1)</f>
        <v>61</v>
      </c>
    </row>
    <row r="193" spans="1:9" x14ac:dyDescent="0.25">
      <c r="A193" s="1">
        <v>32783</v>
      </c>
      <c r="B193">
        <v>1002</v>
      </c>
      <c r="C193">
        <v>1989</v>
      </c>
      <c r="D193">
        <v>1122</v>
      </c>
      <c r="E193">
        <v>155</v>
      </c>
      <c r="F193">
        <v>802</v>
      </c>
      <c r="G193">
        <v>477</v>
      </c>
      <c r="H193">
        <f>SUMIFS($F$2:F193,$C$2:C193,C193)</f>
        <v>16544</v>
      </c>
      <c r="I193" s="8">
        <f>STAMP_Escapement_Data[[#This Row],[DATE]]-DATE(STAMP_Escapement_Data[[#This Row],[YEAR]],8,1)</f>
        <v>62</v>
      </c>
    </row>
    <row r="194" spans="1:9" x14ac:dyDescent="0.25">
      <c r="A194" s="1">
        <v>32784</v>
      </c>
      <c r="B194">
        <v>1003</v>
      </c>
      <c r="C194">
        <v>1989</v>
      </c>
      <c r="D194">
        <v>1445</v>
      </c>
      <c r="E194">
        <v>183</v>
      </c>
      <c r="F194">
        <v>1362</v>
      </c>
      <c r="G194">
        <v>627</v>
      </c>
      <c r="H194">
        <f>SUMIFS($F$2:F194,$C$2:C194,C194)</f>
        <v>17906</v>
      </c>
      <c r="I194" s="8">
        <f>STAMP_Escapement_Data[[#This Row],[DATE]]-DATE(STAMP_Escapement_Data[[#This Row],[YEAR]],8,1)</f>
        <v>63</v>
      </c>
    </row>
    <row r="195" spans="1:9" x14ac:dyDescent="0.25">
      <c r="A195" s="1">
        <v>32785</v>
      </c>
      <c r="B195">
        <v>1004</v>
      </c>
      <c r="C195">
        <v>1989</v>
      </c>
      <c r="D195">
        <v>950</v>
      </c>
      <c r="E195">
        <v>105</v>
      </c>
      <c r="F195">
        <v>2197</v>
      </c>
      <c r="G195">
        <v>386</v>
      </c>
      <c r="H195">
        <f>SUMIFS($F$2:F195,$C$2:C195,C195)</f>
        <v>20103</v>
      </c>
      <c r="I195" s="8">
        <f>STAMP_Escapement_Data[[#This Row],[DATE]]-DATE(STAMP_Escapement_Data[[#This Row],[YEAR]],8,1)</f>
        <v>64</v>
      </c>
    </row>
    <row r="196" spans="1:9" x14ac:dyDescent="0.25">
      <c r="A196" s="1">
        <v>32786</v>
      </c>
      <c r="B196">
        <v>1005</v>
      </c>
      <c r="C196">
        <v>1989</v>
      </c>
      <c r="D196">
        <v>1249</v>
      </c>
      <c r="E196">
        <v>127</v>
      </c>
      <c r="F196">
        <v>2161</v>
      </c>
      <c r="G196">
        <v>544</v>
      </c>
      <c r="H196">
        <f>SUMIFS($F$2:F196,$C$2:C196,C196)</f>
        <v>22264</v>
      </c>
      <c r="I196" s="8">
        <f>STAMP_Escapement_Data[[#This Row],[DATE]]-DATE(STAMP_Escapement_Data[[#This Row],[YEAR]],8,1)</f>
        <v>65</v>
      </c>
    </row>
    <row r="197" spans="1:9" x14ac:dyDescent="0.25">
      <c r="A197" s="1">
        <v>32787</v>
      </c>
      <c r="B197">
        <v>1006</v>
      </c>
      <c r="C197">
        <v>1989</v>
      </c>
      <c r="D197">
        <v>1465</v>
      </c>
      <c r="E197">
        <v>104</v>
      </c>
      <c r="F197">
        <v>2178</v>
      </c>
      <c r="G197">
        <v>577</v>
      </c>
      <c r="H197">
        <f>SUMIFS($F$2:F197,$C$2:C197,C197)</f>
        <v>24442</v>
      </c>
      <c r="I197" s="8">
        <f>STAMP_Escapement_Data[[#This Row],[DATE]]-DATE(STAMP_Escapement_Data[[#This Row],[YEAR]],8,1)</f>
        <v>66</v>
      </c>
    </row>
    <row r="198" spans="1:9" x14ac:dyDescent="0.25">
      <c r="A198" s="1">
        <v>32788</v>
      </c>
      <c r="B198">
        <v>1007</v>
      </c>
      <c r="C198">
        <v>1989</v>
      </c>
      <c r="D198">
        <v>475</v>
      </c>
      <c r="E198">
        <v>116</v>
      </c>
      <c r="F198">
        <v>2044</v>
      </c>
      <c r="G198">
        <v>615</v>
      </c>
      <c r="H198">
        <f>SUMIFS($F$2:F198,$C$2:C198,C198)</f>
        <v>26486</v>
      </c>
      <c r="I198" s="8">
        <f>STAMP_Escapement_Data[[#This Row],[DATE]]-DATE(STAMP_Escapement_Data[[#This Row],[YEAR]],8,1)</f>
        <v>67</v>
      </c>
    </row>
    <row r="199" spans="1:9" x14ac:dyDescent="0.25">
      <c r="A199" s="1">
        <v>32789</v>
      </c>
      <c r="B199">
        <v>1008</v>
      </c>
      <c r="C199">
        <v>1989</v>
      </c>
      <c r="D199">
        <v>1343</v>
      </c>
      <c r="E199">
        <v>101</v>
      </c>
      <c r="F199">
        <v>2044</v>
      </c>
      <c r="G199">
        <v>484</v>
      </c>
      <c r="H199">
        <f>SUMIFS($F$2:F199,$C$2:C199,C199)</f>
        <v>28530</v>
      </c>
      <c r="I199" s="8">
        <f>STAMP_Escapement_Data[[#This Row],[DATE]]-DATE(STAMP_Escapement_Data[[#This Row],[YEAR]],8,1)</f>
        <v>68</v>
      </c>
    </row>
    <row r="200" spans="1:9" x14ac:dyDescent="0.25">
      <c r="A200" s="1">
        <v>32790</v>
      </c>
      <c r="B200">
        <v>1009</v>
      </c>
      <c r="C200">
        <v>1989</v>
      </c>
      <c r="D200">
        <v>1067</v>
      </c>
      <c r="E200">
        <v>106</v>
      </c>
      <c r="F200">
        <v>2198</v>
      </c>
      <c r="G200">
        <v>519</v>
      </c>
      <c r="H200">
        <f>SUMIFS($F$2:F200,$C$2:C200,C200)</f>
        <v>30728</v>
      </c>
      <c r="I200" s="8">
        <f>STAMP_Escapement_Data[[#This Row],[DATE]]-DATE(STAMP_Escapement_Data[[#This Row],[YEAR]],8,1)</f>
        <v>69</v>
      </c>
    </row>
    <row r="201" spans="1:9" x14ac:dyDescent="0.25">
      <c r="A201" s="1">
        <v>32791</v>
      </c>
      <c r="B201">
        <v>1010</v>
      </c>
      <c r="C201">
        <v>1989</v>
      </c>
      <c r="D201">
        <v>845</v>
      </c>
      <c r="E201">
        <v>91</v>
      </c>
      <c r="F201">
        <v>1948</v>
      </c>
      <c r="G201">
        <v>543</v>
      </c>
      <c r="H201">
        <f>SUMIFS($F$2:F201,$C$2:C201,C201)</f>
        <v>32676</v>
      </c>
      <c r="I201" s="8">
        <f>STAMP_Escapement_Data[[#This Row],[DATE]]-DATE(STAMP_Escapement_Data[[#This Row],[YEAR]],8,1)</f>
        <v>70</v>
      </c>
    </row>
    <row r="202" spans="1:9" x14ac:dyDescent="0.25">
      <c r="A202" s="1">
        <v>32792</v>
      </c>
      <c r="B202">
        <v>1011</v>
      </c>
      <c r="C202">
        <v>1989</v>
      </c>
      <c r="D202">
        <v>254</v>
      </c>
      <c r="E202">
        <v>24</v>
      </c>
      <c r="F202">
        <v>1002</v>
      </c>
      <c r="G202">
        <v>96</v>
      </c>
      <c r="H202">
        <f>SUMIFS($F$2:F202,$C$2:C202,C202)</f>
        <v>33678</v>
      </c>
      <c r="I202" s="8">
        <f>STAMP_Escapement_Data[[#This Row],[DATE]]-DATE(STAMP_Escapement_Data[[#This Row],[YEAR]],8,1)</f>
        <v>71</v>
      </c>
    </row>
    <row r="203" spans="1:9" x14ac:dyDescent="0.25">
      <c r="A203" s="1">
        <v>32793</v>
      </c>
      <c r="B203">
        <v>1012</v>
      </c>
      <c r="C203">
        <v>1989</v>
      </c>
      <c r="D203">
        <v>749</v>
      </c>
      <c r="E203">
        <v>45</v>
      </c>
      <c r="F203">
        <v>2533</v>
      </c>
      <c r="G203">
        <v>249</v>
      </c>
      <c r="H203">
        <f>SUMIFS($F$2:F203,$C$2:C203,C203)</f>
        <v>36211</v>
      </c>
      <c r="I203" s="8">
        <f>STAMP_Escapement_Data[[#This Row],[DATE]]-DATE(STAMP_Escapement_Data[[#This Row],[YEAR]],8,1)</f>
        <v>72</v>
      </c>
    </row>
    <row r="204" spans="1:9" x14ac:dyDescent="0.25">
      <c r="A204" s="1">
        <v>32794</v>
      </c>
      <c r="B204">
        <v>1013</v>
      </c>
      <c r="C204">
        <v>1989</v>
      </c>
      <c r="D204">
        <v>1095</v>
      </c>
      <c r="E204">
        <v>56</v>
      </c>
      <c r="F204">
        <v>2424</v>
      </c>
      <c r="G204">
        <v>434</v>
      </c>
      <c r="H204">
        <f>SUMIFS($F$2:F204,$C$2:C204,C204)</f>
        <v>38635</v>
      </c>
      <c r="I204" s="8">
        <f>STAMP_Escapement_Data[[#This Row],[DATE]]-DATE(STAMP_Escapement_Data[[#This Row],[YEAR]],8,1)</f>
        <v>73</v>
      </c>
    </row>
    <row r="205" spans="1:9" x14ac:dyDescent="0.25">
      <c r="A205" s="1">
        <v>32795</v>
      </c>
      <c r="B205">
        <v>1014</v>
      </c>
      <c r="C205">
        <v>1989</v>
      </c>
      <c r="D205">
        <v>1063</v>
      </c>
      <c r="E205">
        <v>52</v>
      </c>
      <c r="F205">
        <v>2003</v>
      </c>
      <c r="G205">
        <v>404</v>
      </c>
      <c r="H205">
        <f>SUMIFS($F$2:F205,$C$2:C205,C205)</f>
        <v>40638</v>
      </c>
      <c r="I205" s="8">
        <f>STAMP_Escapement_Data[[#This Row],[DATE]]-DATE(STAMP_Escapement_Data[[#This Row],[YEAR]],8,1)</f>
        <v>74</v>
      </c>
    </row>
    <row r="206" spans="1:9" x14ac:dyDescent="0.25">
      <c r="A206" s="1">
        <v>32796</v>
      </c>
      <c r="B206">
        <v>1015</v>
      </c>
      <c r="C206">
        <v>1989</v>
      </c>
      <c r="D206">
        <v>739</v>
      </c>
      <c r="E206">
        <v>31</v>
      </c>
      <c r="F206">
        <v>1560</v>
      </c>
      <c r="G206">
        <v>268</v>
      </c>
      <c r="H206">
        <f>SUMIFS($F$2:F206,$C$2:C206,C206)</f>
        <v>42198</v>
      </c>
      <c r="I206" s="8">
        <f>STAMP_Escapement_Data[[#This Row],[DATE]]-DATE(STAMP_Escapement_Data[[#This Row],[YEAR]],8,1)</f>
        <v>75</v>
      </c>
    </row>
    <row r="207" spans="1:9" x14ac:dyDescent="0.25">
      <c r="A207" s="1">
        <v>32797</v>
      </c>
      <c r="B207">
        <v>1016</v>
      </c>
      <c r="C207">
        <v>1989</v>
      </c>
      <c r="D207">
        <v>643</v>
      </c>
      <c r="E207">
        <v>31</v>
      </c>
      <c r="F207">
        <v>1625</v>
      </c>
      <c r="G207">
        <v>202</v>
      </c>
      <c r="H207">
        <f>SUMIFS($F$2:F207,$C$2:C207,C207)</f>
        <v>43823</v>
      </c>
      <c r="I207" s="8">
        <f>STAMP_Escapement_Data[[#This Row],[DATE]]-DATE(STAMP_Escapement_Data[[#This Row],[YEAR]],8,1)</f>
        <v>76</v>
      </c>
    </row>
    <row r="208" spans="1:9" x14ac:dyDescent="0.25">
      <c r="A208" s="1">
        <v>32798</v>
      </c>
      <c r="B208">
        <v>1017</v>
      </c>
      <c r="C208">
        <v>1989</v>
      </c>
      <c r="D208">
        <v>468</v>
      </c>
      <c r="E208">
        <v>28</v>
      </c>
      <c r="F208">
        <v>1908</v>
      </c>
      <c r="G208">
        <v>158</v>
      </c>
      <c r="H208">
        <f>SUMIFS($F$2:F208,$C$2:C208,C208)</f>
        <v>45731</v>
      </c>
      <c r="I208" s="8">
        <f>STAMP_Escapement_Data[[#This Row],[DATE]]-DATE(STAMP_Escapement_Data[[#This Row],[YEAR]],8,1)</f>
        <v>77</v>
      </c>
    </row>
    <row r="209" spans="1:9" x14ac:dyDescent="0.25">
      <c r="A209" s="1">
        <v>32799</v>
      </c>
      <c r="B209">
        <v>1018</v>
      </c>
      <c r="C209">
        <v>1989</v>
      </c>
      <c r="D209">
        <v>784</v>
      </c>
      <c r="E209">
        <v>29</v>
      </c>
      <c r="F209">
        <v>4677</v>
      </c>
      <c r="G209">
        <v>412</v>
      </c>
      <c r="H209">
        <f>SUMIFS($F$2:F209,$C$2:C209,C209)</f>
        <v>50408</v>
      </c>
      <c r="I209" s="8">
        <f>STAMP_Escapement_Data[[#This Row],[DATE]]-DATE(STAMP_Escapement_Data[[#This Row],[YEAR]],8,1)</f>
        <v>78</v>
      </c>
    </row>
    <row r="210" spans="1:9" x14ac:dyDescent="0.25">
      <c r="A210" s="1">
        <v>32800</v>
      </c>
      <c r="B210">
        <v>1019</v>
      </c>
      <c r="C210">
        <v>1989</v>
      </c>
      <c r="D210">
        <v>364</v>
      </c>
      <c r="E210">
        <v>4</v>
      </c>
      <c r="F210">
        <v>2650</v>
      </c>
      <c r="G210">
        <v>123</v>
      </c>
      <c r="H210">
        <f>SUMIFS($F$2:F210,$C$2:C210,C210)</f>
        <v>53058</v>
      </c>
      <c r="I210" s="8">
        <f>STAMP_Escapement_Data[[#This Row],[DATE]]-DATE(STAMP_Escapement_Data[[#This Row],[YEAR]],8,1)</f>
        <v>79</v>
      </c>
    </row>
    <row r="211" spans="1:9" x14ac:dyDescent="0.25">
      <c r="A211" s="1">
        <v>32801</v>
      </c>
      <c r="B211">
        <v>1020</v>
      </c>
      <c r="C211">
        <v>1989</v>
      </c>
      <c r="D211">
        <v>218</v>
      </c>
      <c r="E211">
        <v>3</v>
      </c>
      <c r="F211">
        <v>1831</v>
      </c>
      <c r="G211">
        <v>200</v>
      </c>
      <c r="H211">
        <f>SUMIFS($F$2:F211,$C$2:C211,C211)</f>
        <v>54889</v>
      </c>
      <c r="I211" s="8">
        <f>STAMP_Escapement_Data[[#This Row],[DATE]]-DATE(STAMP_Escapement_Data[[#This Row],[YEAR]],8,1)</f>
        <v>80</v>
      </c>
    </row>
    <row r="212" spans="1:9" x14ac:dyDescent="0.25">
      <c r="A212" s="1">
        <v>32802</v>
      </c>
      <c r="B212">
        <v>1021</v>
      </c>
      <c r="C212">
        <v>1989</v>
      </c>
      <c r="D212">
        <v>710</v>
      </c>
      <c r="E212">
        <v>39</v>
      </c>
      <c r="F212">
        <v>480</v>
      </c>
      <c r="G212">
        <v>302</v>
      </c>
      <c r="H212">
        <f>SUMIFS($F$2:F212,$C$2:C212,C212)</f>
        <v>55369</v>
      </c>
      <c r="I212" s="8">
        <f>STAMP_Escapement_Data[[#This Row],[DATE]]-DATE(STAMP_Escapement_Data[[#This Row],[YEAR]],8,1)</f>
        <v>81</v>
      </c>
    </row>
    <row r="213" spans="1:9" x14ac:dyDescent="0.25">
      <c r="A213" s="1">
        <v>32803</v>
      </c>
      <c r="B213">
        <v>1022</v>
      </c>
      <c r="C213">
        <v>1989</v>
      </c>
      <c r="D213">
        <v>374</v>
      </c>
      <c r="E213">
        <v>8</v>
      </c>
      <c r="F213">
        <v>559</v>
      </c>
      <c r="G213">
        <v>120</v>
      </c>
      <c r="H213">
        <f>SUMIFS($F$2:F213,$C$2:C213,C213)</f>
        <v>55928</v>
      </c>
      <c r="I213" s="8">
        <f>STAMP_Escapement_Data[[#This Row],[DATE]]-DATE(STAMP_Escapement_Data[[#This Row],[YEAR]],8,1)</f>
        <v>82</v>
      </c>
    </row>
    <row r="214" spans="1:9" x14ac:dyDescent="0.25">
      <c r="A214" s="1">
        <v>32804</v>
      </c>
      <c r="B214">
        <v>1023</v>
      </c>
      <c r="C214">
        <v>1989</v>
      </c>
      <c r="D214">
        <v>208</v>
      </c>
      <c r="E214">
        <v>9</v>
      </c>
      <c r="F214">
        <v>640</v>
      </c>
      <c r="G214">
        <v>62</v>
      </c>
      <c r="H214">
        <f>SUMIFS($F$2:F214,$C$2:C214,C214)</f>
        <v>56568</v>
      </c>
      <c r="I214" s="8">
        <f>STAMP_Escapement_Data[[#This Row],[DATE]]-DATE(STAMP_Escapement_Data[[#This Row],[YEAR]],8,1)</f>
        <v>83</v>
      </c>
    </row>
    <row r="215" spans="1:9" x14ac:dyDescent="0.25">
      <c r="A215" s="1">
        <v>32805</v>
      </c>
      <c r="B215">
        <v>1024</v>
      </c>
      <c r="C215">
        <v>1989</v>
      </c>
      <c r="D215">
        <v>0</v>
      </c>
      <c r="E215">
        <v>0</v>
      </c>
      <c r="F215">
        <v>0</v>
      </c>
      <c r="G215">
        <v>0</v>
      </c>
      <c r="H215">
        <f>SUMIFS($F$2:F215,$C$2:C215,C215)</f>
        <v>56568</v>
      </c>
      <c r="I215" s="8">
        <f>STAMP_Escapement_Data[[#This Row],[DATE]]-DATE(STAMP_Escapement_Data[[#This Row],[YEAR]],8,1)</f>
        <v>84</v>
      </c>
    </row>
    <row r="216" spans="1:9" x14ac:dyDescent="0.25">
      <c r="A216" s="1">
        <v>32806</v>
      </c>
      <c r="B216">
        <v>1025</v>
      </c>
      <c r="C216">
        <v>1989</v>
      </c>
      <c r="D216">
        <v>0</v>
      </c>
      <c r="E216">
        <v>0</v>
      </c>
      <c r="F216">
        <v>0</v>
      </c>
      <c r="G216">
        <v>0</v>
      </c>
      <c r="H216">
        <f>SUMIFS($F$2:F216,$C$2:C216,C216)</f>
        <v>56568</v>
      </c>
      <c r="I216" s="8">
        <f>STAMP_Escapement_Data[[#This Row],[DATE]]-DATE(STAMP_Escapement_Data[[#This Row],[YEAR]],8,1)</f>
        <v>85</v>
      </c>
    </row>
    <row r="217" spans="1:9" x14ac:dyDescent="0.25">
      <c r="A217" s="1">
        <v>32807</v>
      </c>
      <c r="B217">
        <v>1026</v>
      </c>
      <c r="C217">
        <v>1989</v>
      </c>
      <c r="D217">
        <v>0</v>
      </c>
      <c r="E217">
        <v>0</v>
      </c>
      <c r="F217">
        <v>0</v>
      </c>
      <c r="G217">
        <v>0</v>
      </c>
      <c r="H217">
        <f>SUMIFS($F$2:F217,$C$2:C217,C217)</f>
        <v>56568</v>
      </c>
      <c r="I217" s="8">
        <f>STAMP_Escapement_Data[[#This Row],[DATE]]-DATE(STAMP_Escapement_Data[[#This Row],[YEAR]],8,1)</f>
        <v>86</v>
      </c>
    </row>
    <row r="218" spans="1:9" x14ac:dyDescent="0.25">
      <c r="A218" s="1">
        <v>32808</v>
      </c>
      <c r="B218">
        <v>1027</v>
      </c>
      <c r="C218">
        <v>1989</v>
      </c>
      <c r="D218">
        <v>0</v>
      </c>
      <c r="E218">
        <v>0</v>
      </c>
      <c r="F218">
        <v>0</v>
      </c>
      <c r="G218">
        <v>0</v>
      </c>
      <c r="H218">
        <f>SUMIFS($F$2:F218,$C$2:C218,C218)</f>
        <v>56568</v>
      </c>
      <c r="I218" s="8">
        <f>STAMP_Escapement_Data[[#This Row],[DATE]]-DATE(STAMP_Escapement_Data[[#This Row],[YEAR]],8,1)</f>
        <v>87</v>
      </c>
    </row>
    <row r="219" spans="1:9" x14ac:dyDescent="0.25">
      <c r="A219" s="1">
        <v>32809</v>
      </c>
      <c r="B219">
        <v>1028</v>
      </c>
      <c r="C219">
        <v>1989</v>
      </c>
      <c r="D219">
        <v>300</v>
      </c>
      <c r="E219">
        <v>3</v>
      </c>
      <c r="F219">
        <v>468</v>
      </c>
      <c r="G219">
        <v>160</v>
      </c>
      <c r="H219">
        <f>SUMIFS($F$2:F219,$C$2:C219,C219)</f>
        <v>57036</v>
      </c>
      <c r="I219" s="8">
        <f>STAMP_Escapement_Data[[#This Row],[DATE]]-DATE(STAMP_Escapement_Data[[#This Row],[YEAR]],8,1)</f>
        <v>88</v>
      </c>
    </row>
    <row r="220" spans="1:9" x14ac:dyDescent="0.25">
      <c r="A220" s="1">
        <v>32810</v>
      </c>
      <c r="B220">
        <v>1029</v>
      </c>
      <c r="C220">
        <v>1989</v>
      </c>
      <c r="D220">
        <v>453</v>
      </c>
      <c r="E220">
        <v>4</v>
      </c>
      <c r="F220">
        <v>707</v>
      </c>
      <c r="G220">
        <v>232</v>
      </c>
      <c r="H220">
        <f>SUMIFS($F$2:F220,$C$2:C220,C220)</f>
        <v>57743</v>
      </c>
      <c r="I220" s="8">
        <f>STAMP_Escapement_Data[[#This Row],[DATE]]-DATE(STAMP_Escapement_Data[[#This Row],[YEAR]],8,1)</f>
        <v>89</v>
      </c>
    </row>
    <row r="221" spans="1:9" x14ac:dyDescent="0.25">
      <c r="A221" s="1">
        <v>32811</v>
      </c>
      <c r="B221">
        <v>1030</v>
      </c>
      <c r="C221">
        <v>1989</v>
      </c>
      <c r="D221">
        <v>312</v>
      </c>
      <c r="E221">
        <v>8</v>
      </c>
      <c r="F221">
        <v>472</v>
      </c>
      <c r="G221">
        <v>130</v>
      </c>
      <c r="H221">
        <f>SUMIFS($F$2:F221,$C$2:C221,C221)</f>
        <v>58215</v>
      </c>
      <c r="I221" s="8">
        <f>STAMP_Escapement_Data[[#This Row],[DATE]]-DATE(STAMP_Escapement_Data[[#This Row],[YEAR]],8,1)</f>
        <v>90</v>
      </c>
    </row>
    <row r="222" spans="1:9" x14ac:dyDescent="0.25">
      <c r="A222" s="1">
        <v>32812</v>
      </c>
      <c r="B222">
        <v>1031</v>
      </c>
      <c r="C222">
        <v>1989</v>
      </c>
      <c r="D222">
        <v>203</v>
      </c>
      <c r="E222">
        <v>4</v>
      </c>
      <c r="F222">
        <v>553</v>
      </c>
      <c r="G222">
        <v>105</v>
      </c>
      <c r="H222">
        <f>SUMIFS($F$2:F222,$C$2:C222,C222)</f>
        <v>58768</v>
      </c>
      <c r="I222" s="8">
        <f>STAMP_Escapement_Data[[#This Row],[DATE]]-DATE(STAMP_Escapement_Data[[#This Row],[YEAR]],8,1)</f>
        <v>91</v>
      </c>
    </row>
    <row r="223" spans="1:9" x14ac:dyDescent="0.25">
      <c r="A223" s="1">
        <v>32813</v>
      </c>
      <c r="B223">
        <v>1101</v>
      </c>
      <c r="C223">
        <v>1989</v>
      </c>
      <c r="D223">
        <v>45</v>
      </c>
      <c r="E223">
        <v>6</v>
      </c>
      <c r="F223">
        <v>214</v>
      </c>
      <c r="G223">
        <v>56</v>
      </c>
      <c r="H223">
        <f>SUMIFS($F$2:F223,$C$2:C223,C223)</f>
        <v>58982</v>
      </c>
      <c r="I223" s="8">
        <f>STAMP_Escapement_Data[[#This Row],[DATE]]-DATE(STAMP_Escapement_Data[[#This Row],[YEAR]],8,1)</f>
        <v>92</v>
      </c>
    </row>
    <row r="224" spans="1:9" x14ac:dyDescent="0.25">
      <c r="A224" s="1">
        <v>32814</v>
      </c>
      <c r="B224">
        <v>1102</v>
      </c>
      <c r="C224">
        <v>1989</v>
      </c>
      <c r="D224">
        <v>35</v>
      </c>
      <c r="E224">
        <v>0</v>
      </c>
      <c r="F224">
        <v>183</v>
      </c>
      <c r="G224">
        <v>40</v>
      </c>
      <c r="H224">
        <f>SUMIFS($F$2:F224,$C$2:C224,C224)</f>
        <v>59165</v>
      </c>
      <c r="I224" s="8">
        <f>STAMP_Escapement_Data[[#This Row],[DATE]]-DATE(STAMP_Escapement_Data[[#This Row],[YEAR]],8,1)</f>
        <v>93</v>
      </c>
    </row>
    <row r="225" spans="1:9" x14ac:dyDescent="0.25">
      <c r="A225" s="1">
        <v>32815</v>
      </c>
      <c r="B225">
        <v>1103</v>
      </c>
      <c r="C225">
        <v>1989</v>
      </c>
      <c r="D225">
        <v>45</v>
      </c>
      <c r="E225">
        <v>0</v>
      </c>
      <c r="F225">
        <v>228</v>
      </c>
      <c r="G225">
        <v>39</v>
      </c>
      <c r="H225">
        <f>SUMIFS($F$2:F225,$C$2:C225,C225)</f>
        <v>59393</v>
      </c>
      <c r="I225" s="8">
        <f>STAMP_Escapement_Data[[#This Row],[DATE]]-DATE(STAMP_Escapement_Data[[#This Row],[YEAR]],8,1)</f>
        <v>94</v>
      </c>
    </row>
    <row r="226" spans="1:9" x14ac:dyDescent="0.25">
      <c r="A226" s="1">
        <v>32816</v>
      </c>
      <c r="B226">
        <v>1104</v>
      </c>
      <c r="C226">
        <v>1989</v>
      </c>
      <c r="D226">
        <v>42</v>
      </c>
      <c r="E226">
        <v>3</v>
      </c>
      <c r="F226">
        <v>218</v>
      </c>
      <c r="G226">
        <v>27</v>
      </c>
      <c r="H226">
        <f>SUMIFS($F$2:F226,$C$2:C226,C226)</f>
        <v>59611</v>
      </c>
      <c r="I226" s="8">
        <f>STAMP_Escapement_Data[[#This Row],[DATE]]-DATE(STAMP_Escapement_Data[[#This Row],[YEAR]],8,1)</f>
        <v>95</v>
      </c>
    </row>
    <row r="227" spans="1:9" x14ac:dyDescent="0.25">
      <c r="A227" s="1">
        <v>32817</v>
      </c>
      <c r="B227">
        <v>1105</v>
      </c>
      <c r="C227">
        <v>1989</v>
      </c>
      <c r="D227">
        <v>72</v>
      </c>
      <c r="E227">
        <v>1</v>
      </c>
      <c r="F227">
        <v>172</v>
      </c>
      <c r="G227">
        <v>26</v>
      </c>
      <c r="H227">
        <f>SUMIFS($F$2:F227,$C$2:C227,C227)</f>
        <v>59783</v>
      </c>
      <c r="I227" s="8">
        <f>STAMP_Escapement_Data[[#This Row],[DATE]]-DATE(STAMP_Escapement_Data[[#This Row],[YEAR]],8,1)</f>
        <v>96</v>
      </c>
    </row>
    <row r="228" spans="1:9" x14ac:dyDescent="0.25">
      <c r="A228" s="1">
        <v>32818</v>
      </c>
      <c r="B228">
        <v>1106</v>
      </c>
      <c r="C228">
        <v>1989</v>
      </c>
      <c r="D228">
        <v>50</v>
      </c>
      <c r="E228">
        <v>7</v>
      </c>
      <c r="F228">
        <v>101</v>
      </c>
      <c r="G228">
        <v>42</v>
      </c>
      <c r="H228">
        <f>SUMIFS($F$2:F228,$C$2:C228,C228)</f>
        <v>59884</v>
      </c>
      <c r="I228" s="8">
        <f>STAMP_Escapement_Data[[#This Row],[DATE]]-DATE(STAMP_Escapement_Data[[#This Row],[YEAR]],8,1)</f>
        <v>97</v>
      </c>
    </row>
    <row r="229" spans="1:9" x14ac:dyDescent="0.25">
      <c r="A229" s="1">
        <v>32819</v>
      </c>
      <c r="B229">
        <v>1107</v>
      </c>
      <c r="C229">
        <v>1989</v>
      </c>
      <c r="D229">
        <v>21</v>
      </c>
      <c r="E229">
        <v>1</v>
      </c>
      <c r="F229">
        <v>45</v>
      </c>
      <c r="G229">
        <v>27</v>
      </c>
      <c r="H229">
        <f>SUMIFS($F$2:F229,$C$2:C229,C229)</f>
        <v>59929</v>
      </c>
      <c r="I229" s="8">
        <f>STAMP_Escapement_Data[[#This Row],[DATE]]-DATE(STAMP_Escapement_Data[[#This Row],[YEAR]],8,1)</f>
        <v>98</v>
      </c>
    </row>
    <row r="230" spans="1:9" x14ac:dyDescent="0.25">
      <c r="A230" s="1">
        <v>32820</v>
      </c>
      <c r="B230">
        <v>1108</v>
      </c>
      <c r="C230">
        <v>1989</v>
      </c>
      <c r="D230">
        <v>56</v>
      </c>
      <c r="E230">
        <v>4</v>
      </c>
      <c r="F230">
        <v>112</v>
      </c>
      <c r="G230">
        <v>60</v>
      </c>
      <c r="H230">
        <f>SUMIFS($F$2:F230,$C$2:C230,C230)</f>
        <v>60041</v>
      </c>
      <c r="I230" s="8">
        <f>STAMP_Escapement_Data[[#This Row],[DATE]]-DATE(STAMP_Escapement_Data[[#This Row],[YEAR]],8,1)</f>
        <v>99</v>
      </c>
    </row>
    <row r="231" spans="1:9" x14ac:dyDescent="0.25">
      <c r="A231" s="1">
        <v>32821</v>
      </c>
      <c r="B231">
        <v>1109</v>
      </c>
      <c r="C231">
        <v>1989</v>
      </c>
      <c r="D231">
        <v>72</v>
      </c>
      <c r="E231">
        <v>0</v>
      </c>
      <c r="F231">
        <v>99</v>
      </c>
      <c r="G231">
        <v>88</v>
      </c>
      <c r="H231">
        <f>SUMIFS($F$2:F231,$C$2:C231,C231)</f>
        <v>60140</v>
      </c>
      <c r="I231" s="8">
        <f>STAMP_Escapement_Data[[#This Row],[DATE]]-DATE(STAMP_Escapement_Data[[#This Row],[YEAR]],8,1)</f>
        <v>100</v>
      </c>
    </row>
    <row r="232" spans="1:9" x14ac:dyDescent="0.25">
      <c r="A232" s="1">
        <v>32822</v>
      </c>
      <c r="B232">
        <v>1110</v>
      </c>
      <c r="C232">
        <v>1989</v>
      </c>
      <c r="D232">
        <v>34</v>
      </c>
      <c r="E232">
        <v>0</v>
      </c>
      <c r="F232">
        <v>25</v>
      </c>
      <c r="G232">
        <v>50</v>
      </c>
      <c r="H232">
        <f>SUMIFS($F$2:F232,$C$2:C232,C232)</f>
        <v>60165</v>
      </c>
      <c r="I232" s="8">
        <f>STAMP_Escapement_Data[[#This Row],[DATE]]-DATE(STAMP_Escapement_Data[[#This Row],[YEAR]],8,1)</f>
        <v>101</v>
      </c>
    </row>
    <row r="233" spans="1:9" x14ac:dyDescent="0.25">
      <c r="A233" s="1">
        <v>32823</v>
      </c>
      <c r="B233">
        <v>1111</v>
      </c>
      <c r="C233">
        <v>1989</v>
      </c>
      <c r="D233">
        <v>182</v>
      </c>
      <c r="E233">
        <v>1</v>
      </c>
      <c r="F233">
        <v>32</v>
      </c>
      <c r="G233">
        <v>30</v>
      </c>
      <c r="H233">
        <f>SUMIFS($F$2:F233,$C$2:C233,C233)</f>
        <v>60197</v>
      </c>
      <c r="I233" s="8">
        <f>STAMP_Escapement_Data[[#This Row],[DATE]]-DATE(STAMP_Escapement_Data[[#This Row],[YEAR]],8,1)</f>
        <v>102</v>
      </c>
    </row>
    <row r="234" spans="1:9" x14ac:dyDescent="0.25">
      <c r="A234" s="1">
        <v>32824</v>
      </c>
      <c r="B234">
        <v>1112</v>
      </c>
      <c r="C234">
        <v>1989</v>
      </c>
      <c r="D234">
        <v>186</v>
      </c>
      <c r="E234">
        <v>2</v>
      </c>
      <c r="F234">
        <v>44</v>
      </c>
      <c r="G234">
        <v>27</v>
      </c>
      <c r="H234">
        <f>SUMIFS($F$2:F234,$C$2:C234,C234)</f>
        <v>60241</v>
      </c>
      <c r="I234" s="8">
        <f>STAMP_Escapement_Data[[#This Row],[DATE]]-DATE(STAMP_Escapement_Data[[#This Row],[YEAR]],8,1)</f>
        <v>103</v>
      </c>
    </row>
    <row r="235" spans="1:9" x14ac:dyDescent="0.25">
      <c r="A235" s="1">
        <v>32825</v>
      </c>
      <c r="B235">
        <v>1113</v>
      </c>
      <c r="C235">
        <v>1989</v>
      </c>
      <c r="D235">
        <v>25</v>
      </c>
      <c r="E235">
        <v>3</v>
      </c>
      <c r="F235">
        <v>15</v>
      </c>
      <c r="G235">
        <v>31</v>
      </c>
      <c r="H235">
        <f>SUMIFS($F$2:F235,$C$2:C235,C235)</f>
        <v>60256</v>
      </c>
      <c r="I235" s="8">
        <f>STAMP_Escapement_Data[[#This Row],[DATE]]-DATE(STAMP_Escapement_Data[[#This Row],[YEAR]],8,1)</f>
        <v>104</v>
      </c>
    </row>
    <row r="236" spans="1:9" x14ac:dyDescent="0.25">
      <c r="A236" s="1">
        <v>32826</v>
      </c>
      <c r="B236">
        <v>1114</v>
      </c>
      <c r="C236">
        <v>1989</v>
      </c>
      <c r="D236">
        <v>17</v>
      </c>
      <c r="E236">
        <v>2</v>
      </c>
      <c r="F236">
        <v>13</v>
      </c>
      <c r="G236">
        <v>24</v>
      </c>
      <c r="H236">
        <f>SUMIFS($F$2:F236,$C$2:C236,C236)</f>
        <v>60269</v>
      </c>
      <c r="I236" s="8">
        <f>STAMP_Escapement_Data[[#This Row],[DATE]]-DATE(STAMP_Escapement_Data[[#This Row],[YEAR]],8,1)</f>
        <v>105</v>
      </c>
    </row>
    <row r="237" spans="1:9" x14ac:dyDescent="0.25">
      <c r="A237" s="1">
        <v>32827</v>
      </c>
      <c r="B237">
        <v>1115</v>
      </c>
      <c r="C237">
        <v>1989</v>
      </c>
      <c r="D237">
        <v>8</v>
      </c>
      <c r="E237">
        <v>1</v>
      </c>
      <c r="F237">
        <v>12</v>
      </c>
      <c r="G237">
        <v>18</v>
      </c>
      <c r="H237">
        <f>SUMIFS($F$2:F237,$C$2:C237,C237)</f>
        <v>60281</v>
      </c>
      <c r="I237" s="8">
        <f>STAMP_Escapement_Data[[#This Row],[DATE]]-DATE(STAMP_Escapement_Data[[#This Row],[YEAR]],8,1)</f>
        <v>106</v>
      </c>
    </row>
    <row r="238" spans="1:9" x14ac:dyDescent="0.25">
      <c r="A238" s="1">
        <v>32828</v>
      </c>
      <c r="B238">
        <v>1116</v>
      </c>
      <c r="C238">
        <v>1989</v>
      </c>
      <c r="D238">
        <v>0</v>
      </c>
      <c r="E238">
        <v>0</v>
      </c>
      <c r="F238">
        <v>10</v>
      </c>
      <c r="G238">
        <v>11</v>
      </c>
      <c r="H238">
        <f>SUMIFS($F$2:F238,$C$2:C238,C238)</f>
        <v>60291</v>
      </c>
      <c r="I238" s="8">
        <f>STAMP_Escapement_Data[[#This Row],[DATE]]-DATE(STAMP_Escapement_Data[[#This Row],[YEAR]],8,1)</f>
        <v>107</v>
      </c>
    </row>
    <row r="239" spans="1:9" x14ac:dyDescent="0.25">
      <c r="A239" s="1">
        <v>32829</v>
      </c>
      <c r="B239">
        <v>1117</v>
      </c>
      <c r="C239">
        <v>1989</v>
      </c>
      <c r="D239">
        <v>11</v>
      </c>
      <c r="E239">
        <v>0</v>
      </c>
      <c r="F239">
        <v>11</v>
      </c>
      <c r="G239">
        <v>1</v>
      </c>
      <c r="H239">
        <f>SUMIFS($F$2:F239,$C$2:C239,C239)</f>
        <v>60302</v>
      </c>
      <c r="I239" s="8">
        <f>STAMP_Escapement_Data[[#This Row],[DATE]]-DATE(STAMP_Escapement_Data[[#This Row],[YEAR]],8,1)</f>
        <v>108</v>
      </c>
    </row>
    <row r="240" spans="1:9" x14ac:dyDescent="0.25">
      <c r="A240" s="1">
        <v>32830</v>
      </c>
      <c r="B240">
        <v>1118</v>
      </c>
      <c r="C240">
        <v>1989</v>
      </c>
      <c r="D240">
        <v>28</v>
      </c>
      <c r="E240">
        <v>0</v>
      </c>
      <c r="F240">
        <v>10</v>
      </c>
      <c r="G240">
        <v>6</v>
      </c>
      <c r="H240">
        <f>SUMIFS($F$2:F240,$C$2:C240,C240)</f>
        <v>60312</v>
      </c>
      <c r="I240" s="8">
        <f>STAMP_Escapement_Data[[#This Row],[DATE]]-DATE(STAMP_Escapement_Data[[#This Row],[YEAR]],8,1)</f>
        <v>109</v>
      </c>
    </row>
    <row r="241" spans="1:9" x14ac:dyDescent="0.25">
      <c r="A241" s="1">
        <v>32831</v>
      </c>
      <c r="B241">
        <v>1119</v>
      </c>
      <c r="C241">
        <v>1989</v>
      </c>
      <c r="D241">
        <v>22</v>
      </c>
      <c r="E241">
        <v>0</v>
      </c>
      <c r="F241">
        <v>4</v>
      </c>
      <c r="G241">
        <v>0</v>
      </c>
      <c r="H241">
        <f>SUMIFS($F$2:F241,$C$2:C241,C241)</f>
        <v>60316</v>
      </c>
      <c r="I241" s="8">
        <f>STAMP_Escapement_Data[[#This Row],[DATE]]-DATE(STAMP_Escapement_Data[[#This Row],[YEAR]],8,1)</f>
        <v>110</v>
      </c>
    </row>
    <row r="242" spans="1:9" x14ac:dyDescent="0.25">
      <c r="A242" s="1">
        <v>33127</v>
      </c>
      <c r="B242">
        <v>911</v>
      </c>
      <c r="C242">
        <v>1990</v>
      </c>
      <c r="D242">
        <v>120</v>
      </c>
      <c r="E242">
        <v>86</v>
      </c>
      <c r="F242">
        <v>635</v>
      </c>
      <c r="G242">
        <v>250</v>
      </c>
      <c r="H242">
        <f>SUMIFS($F$2:F242,$C$2:C242,C242)</f>
        <v>635</v>
      </c>
      <c r="I242" s="8">
        <f>STAMP_Escapement_Data[[#This Row],[DATE]]-DATE(STAMP_Escapement_Data[[#This Row],[YEAR]],8,1)</f>
        <v>41</v>
      </c>
    </row>
    <row r="243" spans="1:9" x14ac:dyDescent="0.25">
      <c r="A243" s="1">
        <v>33128</v>
      </c>
      <c r="B243">
        <v>912</v>
      </c>
      <c r="C243">
        <v>1990</v>
      </c>
      <c r="D243">
        <v>167</v>
      </c>
      <c r="E243">
        <v>45</v>
      </c>
      <c r="F243">
        <v>787</v>
      </c>
      <c r="G243">
        <v>280</v>
      </c>
      <c r="H243">
        <f>SUMIFS($F$2:F243,$C$2:C243,C243)</f>
        <v>1422</v>
      </c>
      <c r="I243" s="8">
        <f>STAMP_Escapement_Data[[#This Row],[DATE]]-DATE(STAMP_Escapement_Data[[#This Row],[YEAR]],8,1)</f>
        <v>42</v>
      </c>
    </row>
    <row r="244" spans="1:9" x14ac:dyDescent="0.25">
      <c r="A244" s="1">
        <v>33129</v>
      </c>
      <c r="B244">
        <v>913</v>
      </c>
      <c r="C244">
        <v>1990</v>
      </c>
      <c r="D244">
        <v>220</v>
      </c>
      <c r="E244">
        <v>133</v>
      </c>
      <c r="F244">
        <v>173</v>
      </c>
      <c r="G244">
        <v>98</v>
      </c>
      <c r="H244">
        <f>SUMIFS($F$2:F244,$C$2:C244,C244)</f>
        <v>1595</v>
      </c>
      <c r="I244" s="8">
        <f>STAMP_Escapement_Data[[#This Row],[DATE]]-DATE(STAMP_Escapement_Data[[#This Row],[YEAR]],8,1)</f>
        <v>43</v>
      </c>
    </row>
    <row r="245" spans="1:9" x14ac:dyDescent="0.25">
      <c r="A245" s="1">
        <v>33130</v>
      </c>
      <c r="B245">
        <v>914</v>
      </c>
      <c r="C245">
        <v>1990</v>
      </c>
      <c r="D245">
        <v>278</v>
      </c>
      <c r="E245">
        <v>83</v>
      </c>
      <c r="F245">
        <v>1018</v>
      </c>
      <c r="G245">
        <v>374</v>
      </c>
      <c r="H245">
        <f>SUMIFS($F$2:F245,$C$2:C245,C245)</f>
        <v>2613</v>
      </c>
      <c r="I245" s="8">
        <f>STAMP_Escapement_Data[[#This Row],[DATE]]-DATE(STAMP_Escapement_Data[[#This Row],[YEAR]],8,1)</f>
        <v>44</v>
      </c>
    </row>
    <row r="246" spans="1:9" x14ac:dyDescent="0.25">
      <c r="A246" s="1">
        <v>33131</v>
      </c>
      <c r="B246">
        <v>915</v>
      </c>
      <c r="C246">
        <v>1990</v>
      </c>
      <c r="D246">
        <v>455</v>
      </c>
      <c r="E246">
        <v>259</v>
      </c>
      <c r="F246">
        <v>1046</v>
      </c>
      <c r="G246">
        <v>460</v>
      </c>
      <c r="H246">
        <f>SUMIFS($F$2:F246,$C$2:C246,C246)</f>
        <v>3659</v>
      </c>
      <c r="I246" s="8">
        <f>STAMP_Escapement_Data[[#This Row],[DATE]]-DATE(STAMP_Escapement_Data[[#This Row],[YEAR]],8,1)</f>
        <v>45</v>
      </c>
    </row>
    <row r="247" spans="1:9" x14ac:dyDescent="0.25">
      <c r="A247" s="1">
        <v>33132</v>
      </c>
      <c r="B247">
        <v>916</v>
      </c>
      <c r="C247">
        <v>1990</v>
      </c>
      <c r="D247">
        <v>809</v>
      </c>
      <c r="E247">
        <v>293</v>
      </c>
      <c r="F247">
        <v>1574</v>
      </c>
      <c r="G247">
        <v>561</v>
      </c>
      <c r="H247">
        <f>SUMIFS($F$2:F247,$C$2:C247,C247)</f>
        <v>5233</v>
      </c>
      <c r="I247" s="8">
        <f>STAMP_Escapement_Data[[#This Row],[DATE]]-DATE(STAMP_Escapement_Data[[#This Row],[YEAR]],8,1)</f>
        <v>46</v>
      </c>
    </row>
    <row r="248" spans="1:9" x14ac:dyDescent="0.25">
      <c r="A248" s="1">
        <v>33133</v>
      </c>
      <c r="B248">
        <v>917</v>
      </c>
      <c r="C248">
        <v>1990</v>
      </c>
      <c r="D248">
        <v>691</v>
      </c>
      <c r="E248">
        <v>256</v>
      </c>
      <c r="F248">
        <v>1213</v>
      </c>
      <c r="G248">
        <v>721</v>
      </c>
      <c r="H248">
        <f>SUMIFS($F$2:F248,$C$2:C248,C248)</f>
        <v>6446</v>
      </c>
      <c r="I248" s="8">
        <f>STAMP_Escapement_Data[[#This Row],[DATE]]-DATE(STAMP_Escapement_Data[[#This Row],[YEAR]],8,1)</f>
        <v>47</v>
      </c>
    </row>
    <row r="249" spans="1:9" x14ac:dyDescent="0.25">
      <c r="A249" s="1">
        <v>33134</v>
      </c>
      <c r="B249">
        <v>918</v>
      </c>
      <c r="C249">
        <v>1990</v>
      </c>
      <c r="D249">
        <v>788</v>
      </c>
      <c r="E249">
        <v>280</v>
      </c>
      <c r="F249">
        <v>479</v>
      </c>
      <c r="G249">
        <v>397</v>
      </c>
      <c r="H249">
        <f>SUMIFS($F$2:F249,$C$2:C249,C249)</f>
        <v>6925</v>
      </c>
      <c r="I249" s="8">
        <f>STAMP_Escapement_Data[[#This Row],[DATE]]-DATE(STAMP_Escapement_Data[[#This Row],[YEAR]],8,1)</f>
        <v>48</v>
      </c>
    </row>
    <row r="250" spans="1:9" x14ac:dyDescent="0.25">
      <c r="A250" s="1">
        <v>33135</v>
      </c>
      <c r="B250">
        <v>919</v>
      </c>
      <c r="C250">
        <v>1990</v>
      </c>
      <c r="D250">
        <v>1297</v>
      </c>
      <c r="E250">
        <v>276</v>
      </c>
      <c r="F250">
        <v>548</v>
      </c>
      <c r="G250">
        <v>416</v>
      </c>
      <c r="H250">
        <f>SUMIFS($F$2:F250,$C$2:C250,C250)</f>
        <v>7473</v>
      </c>
      <c r="I250" s="8">
        <f>STAMP_Escapement_Data[[#This Row],[DATE]]-DATE(STAMP_Escapement_Data[[#This Row],[YEAR]],8,1)</f>
        <v>49</v>
      </c>
    </row>
    <row r="251" spans="1:9" x14ac:dyDescent="0.25">
      <c r="A251" s="1">
        <v>33136</v>
      </c>
      <c r="B251">
        <v>920</v>
      </c>
      <c r="C251">
        <v>1990</v>
      </c>
      <c r="D251">
        <v>809</v>
      </c>
      <c r="E251">
        <v>195</v>
      </c>
      <c r="F251">
        <v>501</v>
      </c>
      <c r="G251">
        <v>453</v>
      </c>
      <c r="H251">
        <f>SUMIFS($F$2:F251,$C$2:C251,C251)</f>
        <v>7974</v>
      </c>
      <c r="I251" s="8">
        <f>STAMP_Escapement_Data[[#This Row],[DATE]]-DATE(STAMP_Escapement_Data[[#This Row],[YEAR]],8,1)</f>
        <v>50</v>
      </c>
    </row>
    <row r="252" spans="1:9" x14ac:dyDescent="0.25">
      <c r="A252" s="1">
        <v>33137</v>
      </c>
      <c r="B252">
        <v>921</v>
      </c>
      <c r="C252">
        <v>1990</v>
      </c>
      <c r="D252">
        <v>802</v>
      </c>
      <c r="E252">
        <v>204</v>
      </c>
      <c r="F252">
        <v>704</v>
      </c>
      <c r="G252">
        <v>471</v>
      </c>
      <c r="H252">
        <f>SUMIFS($F$2:F252,$C$2:C252,C252)</f>
        <v>8678</v>
      </c>
      <c r="I252" s="8">
        <f>STAMP_Escapement_Data[[#This Row],[DATE]]-DATE(STAMP_Escapement_Data[[#This Row],[YEAR]],8,1)</f>
        <v>51</v>
      </c>
    </row>
    <row r="253" spans="1:9" x14ac:dyDescent="0.25">
      <c r="A253" s="1">
        <v>33138</v>
      </c>
      <c r="B253">
        <v>922</v>
      </c>
      <c r="C253">
        <v>1990</v>
      </c>
      <c r="D253">
        <v>1082</v>
      </c>
      <c r="E253">
        <v>216</v>
      </c>
      <c r="F253">
        <v>585</v>
      </c>
      <c r="G253">
        <v>322</v>
      </c>
      <c r="H253">
        <f>SUMIFS($F$2:F253,$C$2:C253,C253)</f>
        <v>9263</v>
      </c>
      <c r="I253" s="8">
        <f>STAMP_Escapement_Data[[#This Row],[DATE]]-DATE(STAMP_Escapement_Data[[#This Row],[YEAR]],8,1)</f>
        <v>52</v>
      </c>
    </row>
    <row r="254" spans="1:9" x14ac:dyDescent="0.25">
      <c r="A254" s="1">
        <v>33139</v>
      </c>
      <c r="B254">
        <v>923</v>
      </c>
      <c r="C254">
        <v>1990</v>
      </c>
      <c r="D254">
        <v>1165</v>
      </c>
      <c r="E254">
        <v>280</v>
      </c>
      <c r="F254">
        <v>1005</v>
      </c>
      <c r="G254">
        <v>588</v>
      </c>
      <c r="H254">
        <f>SUMIFS($F$2:F254,$C$2:C254,C254)</f>
        <v>10268</v>
      </c>
      <c r="I254" s="8">
        <f>STAMP_Escapement_Data[[#This Row],[DATE]]-DATE(STAMP_Escapement_Data[[#This Row],[YEAR]],8,1)</f>
        <v>53</v>
      </c>
    </row>
    <row r="255" spans="1:9" x14ac:dyDescent="0.25">
      <c r="A255" s="1">
        <v>33140</v>
      </c>
      <c r="B255">
        <v>924</v>
      </c>
      <c r="C255">
        <v>1990</v>
      </c>
      <c r="D255">
        <v>883</v>
      </c>
      <c r="E255">
        <v>160</v>
      </c>
      <c r="F255">
        <v>3093</v>
      </c>
      <c r="G255">
        <v>643</v>
      </c>
      <c r="H255">
        <f>SUMIFS($F$2:F255,$C$2:C255,C255)</f>
        <v>13361</v>
      </c>
      <c r="I255" s="8">
        <f>STAMP_Escapement_Data[[#This Row],[DATE]]-DATE(STAMP_Escapement_Data[[#This Row],[YEAR]],8,1)</f>
        <v>54</v>
      </c>
    </row>
    <row r="256" spans="1:9" x14ac:dyDescent="0.25">
      <c r="A256" s="1">
        <v>33141</v>
      </c>
      <c r="B256">
        <v>925</v>
      </c>
      <c r="C256">
        <v>1990</v>
      </c>
      <c r="D256">
        <v>1722</v>
      </c>
      <c r="E256">
        <v>191</v>
      </c>
      <c r="F256">
        <v>2410</v>
      </c>
      <c r="G256">
        <v>593</v>
      </c>
      <c r="H256">
        <f>SUMIFS($F$2:F256,$C$2:C256,C256)</f>
        <v>15771</v>
      </c>
      <c r="I256" s="8">
        <f>STAMP_Escapement_Data[[#This Row],[DATE]]-DATE(STAMP_Escapement_Data[[#This Row],[YEAR]],8,1)</f>
        <v>55</v>
      </c>
    </row>
    <row r="257" spans="1:9" x14ac:dyDescent="0.25">
      <c r="A257" s="1">
        <v>33142</v>
      </c>
      <c r="B257">
        <v>926</v>
      </c>
      <c r="C257">
        <v>1990</v>
      </c>
      <c r="D257">
        <v>1423</v>
      </c>
      <c r="E257">
        <v>114</v>
      </c>
      <c r="F257">
        <v>1899</v>
      </c>
      <c r="G257">
        <v>555</v>
      </c>
      <c r="H257">
        <f>SUMIFS($F$2:F257,$C$2:C257,C257)</f>
        <v>17670</v>
      </c>
      <c r="I257" s="8">
        <f>STAMP_Escapement_Data[[#This Row],[DATE]]-DATE(STAMP_Escapement_Data[[#This Row],[YEAR]],8,1)</f>
        <v>56</v>
      </c>
    </row>
    <row r="258" spans="1:9" x14ac:dyDescent="0.25">
      <c r="A258" s="1">
        <v>33143</v>
      </c>
      <c r="B258">
        <v>927</v>
      </c>
      <c r="C258">
        <v>1990</v>
      </c>
      <c r="D258">
        <v>1096</v>
      </c>
      <c r="E258">
        <v>121</v>
      </c>
      <c r="F258">
        <v>1806</v>
      </c>
      <c r="G258">
        <v>598</v>
      </c>
      <c r="H258">
        <f>SUMIFS($F$2:F258,$C$2:C258,C258)</f>
        <v>19476</v>
      </c>
      <c r="I258" s="8">
        <f>STAMP_Escapement_Data[[#This Row],[DATE]]-DATE(STAMP_Escapement_Data[[#This Row],[YEAR]],8,1)</f>
        <v>57</v>
      </c>
    </row>
    <row r="259" spans="1:9" x14ac:dyDescent="0.25">
      <c r="A259" s="1">
        <v>33144</v>
      </c>
      <c r="B259">
        <v>928</v>
      </c>
      <c r="C259">
        <v>1990</v>
      </c>
      <c r="D259">
        <v>944</v>
      </c>
      <c r="E259">
        <v>125</v>
      </c>
      <c r="F259">
        <v>2537</v>
      </c>
      <c r="G259">
        <v>706</v>
      </c>
      <c r="H259">
        <f>SUMIFS($F$2:F259,$C$2:C259,C259)</f>
        <v>22013</v>
      </c>
      <c r="I259" s="8">
        <f>STAMP_Escapement_Data[[#This Row],[DATE]]-DATE(STAMP_Escapement_Data[[#This Row],[YEAR]],8,1)</f>
        <v>58</v>
      </c>
    </row>
    <row r="260" spans="1:9" x14ac:dyDescent="0.25">
      <c r="A260" s="1">
        <v>33145</v>
      </c>
      <c r="B260">
        <v>929</v>
      </c>
      <c r="C260">
        <v>1990</v>
      </c>
      <c r="D260">
        <v>1024</v>
      </c>
      <c r="E260">
        <v>171</v>
      </c>
      <c r="F260">
        <v>2535</v>
      </c>
      <c r="G260">
        <v>636</v>
      </c>
      <c r="H260">
        <f>SUMIFS($F$2:F260,$C$2:C260,C260)</f>
        <v>24548</v>
      </c>
      <c r="I260" s="8">
        <f>STAMP_Escapement_Data[[#This Row],[DATE]]-DATE(STAMP_Escapement_Data[[#This Row],[YEAR]],8,1)</f>
        <v>59</v>
      </c>
    </row>
    <row r="261" spans="1:9" x14ac:dyDescent="0.25">
      <c r="A261" s="1">
        <v>33146</v>
      </c>
      <c r="B261">
        <v>930</v>
      </c>
      <c r="C261">
        <v>1990</v>
      </c>
      <c r="D261">
        <v>1456</v>
      </c>
      <c r="E261">
        <v>169</v>
      </c>
      <c r="F261">
        <v>3871</v>
      </c>
      <c r="G261">
        <v>536</v>
      </c>
      <c r="H261">
        <f>SUMIFS($F$2:F261,$C$2:C261,C261)</f>
        <v>28419</v>
      </c>
      <c r="I261" s="8">
        <f>STAMP_Escapement_Data[[#This Row],[DATE]]-DATE(STAMP_Escapement_Data[[#This Row],[YEAR]],8,1)</f>
        <v>60</v>
      </c>
    </row>
    <row r="262" spans="1:9" x14ac:dyDescent="0.25">
      <c r="A262" s="1">
        <v>33147</v>
      </c>
      <c r="B262">
        <v>1001</v>
      </c>
      <c r="C262">
        <v>1990</v>
      </c>
      <c r="D262">
        <v>2015</v>
      </c>
      <c r="E262">
        <v>216</v>
      </c>
      <c r="F262">
        <v>2872</v>
      </c>
      <c r="G262">
        <v>292</v>
      </c>
      <c r="H262">
        <f>SUMIFS($F$2:F262,$C$2:C262,C262)</f>
        <v>31291</v>
      </c>
      <c r="I262" s="8">
        <f>STAMP_Escapement_Data[[#This Row],[DATE]]-DATE(STAMP_Escapement_Data[[#This Row],[YEAR]],8,1)</f>
        <v>61</v>
      </c>
    </row>
    <row r="263" spans="1:9" x14ac:dyDescent="0.25">
      <c r="A263" s="1">
        <v>33148</v>
      </c>
      <c r="B263">
        <v>1002</v>
      </c>
      <c r="C263">
        <v>1990</v>
      </c>
      <c r="D263">
        <v>1689</v>
      </c>
      <c r="E263">
        <v>109</v>
      </c>
      <c r="F263">
        <v>5382</v>
      </c>
      <c r="G263">
        <v>171</v>
      </c>
      <c r="H263">
        <f>SUMIFS($F$2:F263,$C$2:C263,C263)</f>
        <v>36673</v>
      </c>
      <c r="I263" s="8">
        <f>STAMP_Escapement_Data[[#This Row],[DATE]]-DATE(STAMP_Escapement_Data[[#This Row],[YEAR]],8,1)</f>
        <v>62</v>
      </c>
    </row>
    <row r="264" spans="1:9" x14ac:dyDescent="0.25">
      <c r="A264" s="1">
        <v>33149</v>
      </c>
      <c r="B264">
        <v>1003</v>
      </c>
      <c r="C264">
        <v>1990</v>
      </c>
      <c r="D264">
        <v>1353</v>
      </c>
      <c r="E264">
        <v>44</v>
      </c>
      <c r="F264">
        <v>4721</v>
      </c>
      <c r="G264">
        <v>150</v>
      </c>
      <c r="H264">
        <f>SUMIFS($F$2:F264,$C$2:C264,C264)</f>
        <v>41394</v>
      </c>
      <c r="I264" s="8">
        <f>STAMP_Escapement_Data[[#This Row],[DATE]]-DATE(STAMP_Escapement_Data[[#This Row],[YEAR]],8,1)</f>
        <v>63</v>
      </c>
    </row>
    <row r="265" spans="1:9" x14ac:dyDescent="0.25">
      <c r="A265" s="1">
        <v>33150</v>
      </c>
      <c r="B265">
        <v>1004</v>
      </c>
      <c r="C265">
        <v>1990</v>
      </c>
      <c r="D265">
        <v>1822</v>
      </c>
      <c r="E265">
        <v>47</v>
      </c>
      <c r="F265">
        <v>4996</v>
      </c>
      <c r="G265">
        <v>202</v>
      </c>
      <c r="H265">
        <f>SUMIFS($F$2:F265,$C$2:C265,C265)</f>
        <v>46390</v>
      </c>
      <c r="I265" s="8">
        <f>STAMP_Escapement_Data[[#This Row],[DATE]]-DATE(STAMP_Escapement_Data[[#This Row],[YEAR]],8,1)</f>
        <v>64</v>
      </c>
    </row>
    <row r="266" spans="1:9" x14ac:dyDescent="0.25">
      <c r="A266" s="1">
        <v>33151</v>
      </c>
      <c r="B266">
        <v>1005</v>
      </c>
      <c r="C266">
        <v>1990</v>
      </c>
      <c r="D266">
        <v>1920</v>
      </c>
      <c r="E266">
        <v>57</v>
      </c>
      <c r="F266">
        <v>4025</v>
      </c>
      <c r="G266">
        <v>159</v>
      </c>
      <c r="H266">
        <f>SUMIFS($F$2:F266,$C$2:C266,C266)</f>
        <v>50415</v>
      </c>
      <c r="I266" s="8">
        <f>STAMP_Escapement_Data[[#This Row],[DATE]]-DATE(STAMP_Escapement_Data[[#This Row],[YEAR]],8,1)</f>
        <v>65</v>
      </c>
    </row>
    <row r="267" spans="1:9" x14ac:dyDescent="0.25">
      <c r="A267" s="1">
        <v>33152</v>
      </c>
      <c r="B267">
        <v>1006</v>
      </c>
      <c r="C267">
        <v>1990</v>
      </c>
      <c r="D267">
        <v>1763</v>
      </c>
      <c r="E267">
        <v>46</v>
      </c>
      <c r="F267">
        <v>3768</v>
      </c>
      <c r="G267">
        <v>166</v>
      </c>
      <c r="H267">
        <f>SUMIFS($F$2:F267,$C$2:C267,C267)</f>
        <v>54183</v>
      </c>
      <c r="I267" s="8">
        <f>STAMP_Escapement_Data[[#This Row],[DATE]]-DATE(STAMP_Escapement_Data[[#This Row],[YEAR]],8,1)</f>
        <v>66</v>
      </c>
    </row>
    <row r="268" spans="1:9" x14ac:dyDescent="0.25">
      <c r="A268" s="1">
        <v>33153</v>
      </c>
      <c r="B268">
        <v>1007</v>
      </c>
      <c r="C268">
        <v>1990</v>
      </c>
      <c r="D268">
        <v>2009</v>
      </c>
      <c r="E268">
        <v>84</v>
      </c>
      <c r="F268">
        <v>2809</v>
      </c>
      <c r="G268">
        <v>159</v>
      </c>
      <c r="H268">
        <f>SUMIFS($F$2:F268,$C$2:C268,C268)</f>
        <v>56992</v>
      </c>
      <c r="I268" s="8">
        <f>STAMP_Escapement_Data[[#This Row],[DATE]]-DATE(STAMP_Escapement_Data[[#This Row],[YEAR]],8,1)</f>
        <v>67</v>
      </c>
    </row>
    <row r="269" spans="1:9" x14ac:dyDescent="0.25">
      <c r="A269" s="1">
        <v>33154</v>
      </c>
      <c r="B269">
        <v>1008</v>
      </c>
      <c r="C269">
        <v>1990</v>
      </c>
      <c r="D269">
        <v>1690</v>
      </c>
      <c r="E269">
        <v>86</v>
      </c>
      <c r="F269">
        <v>2639</v>
      </c>
      <c r="G269">
        <v>228</v>
      </c>
      <c r="H269">
        <f>SUMIFS($F$2:F269,$C$2:C269,C269)</f>
        <v>59631</v>
      </c>
      <c r="I269" s="8">
        <f>STAMP_Escapement_Data[[#This Row],[DATE]]-DATE(STAMP_Escapement_Data[[#This Row],[YEAR]],8,1)</f>
        <v>68</v>
      </c>
    </row>
    <row r="270" spans="1:9" x14ac:dyDescent="0.25">
      <c r="A270" s="1">
        <v>33155</v>
      </c>
      <c r="B270">
        <v>1009</v>
      </c>
      <c r="C270">
        <v>1990</v>
      </c>
      <c r="D270">
        <v>845</v>
      </c>
      <c r="E270">
        <v>68</v>
      </c>
      <c r="F270">
        <v>2434</v>
      </c>
      <c r="G270">
        <v>170</v>
      </c>
      <c r="H270">
        <f>SUMIFS($F$2:F270,$C$2:C270,C270)</f>
        <v>62065</v>
      </c>
      <c r="I270" s="8">
        <f>STAMP_Escapement_Data[[#This Row],[DATE]]-DATE(STAMP_Escapement_Data[[#This Row],[YEAR]],8,1)</f>
        <v>69</v>
      </c>
    </row>
    <row r="271" spans="1:9" x14ac:dyDescent="0.25">
      <c r="A271" s="1">
        <v>33156</v>
      </c>
      <c r="B271">
        <v>1010</v>
      </c>
      <c r="C271">
        <v>1990</v>
      </c>
      <c r="D271">
        <v>1827</v>
      </c>
      <c r="E271">
        <v>86</v>
      </c>
      <c r="F271">
        <v>2734</v>
      </c>
      <c r="G271">
        <v>248</v>
      </c>
      <c r="H271">
        <f>SUMIFS($F$2:F271,$C$2:C271,C271)</f>
        <v>64799</v>
      </c>
      <c r="I271" s="8">
        <f>STAMP_Escapement_Data[[#This Row],[DATE]]-DATE(STAMP_Escapement_Data[[#This Row],[YEAR]],8,1)</f>
        <v>70</v>
      </c>
    </row>
    <row r="272" spans="1:9" x14ac:dyDescent="0.25">
      <c r="A272" s="1">
        <v>33157</v>
      </c>
      <c r="B272">
        <v>1011</v>
      </c>
      <c r="C272">
        <v>1990</v>
      </c>
      <c r="D272">
        <v>972</v>
      </c>
      <c r="E272">
        <v>74</v>
      </c>
      <c r="F272">
        <v>2117</v>
      </c>
      <c r="G272">
        <v>206</v>
      </c>
      <c r="H272">
        <f>SUMIFS($F$2:F272,$C$2:C272,C272)</f>
        <v>66916</v>
      </c>
      <c r="I272" s="8">
        <f>STAMP_Escapement_Data[[#This Row],[DATE]]-DATE(STAMP_Escapement_Data[[#This Row],[YEAR]],8,1)</f>
        <v>71</v>
      </c>
    </row>
    <row r="273" spans="1:9" x14ac:dyDescent="0.25">
      <c r="A273" s="1">
        <v>33158</v>
      </c>
      <c r="B273">
        <v>1012</v>
      </c>
      <c r="C273">
        <v>1990</v>
      </c>
      <c r="D273">
        <v>1389</v>
      </c>
      <c r="E273">
        <v>95</v>
      </c>
      <c r="F273">
        <v>3462</v>
      </c>
      <c r="G273">
        <v>214</v>
      </c>
      <c r="H273">
        <f>SUMIFS($F$2:F273,$C$2:C273,C273)</f>
        <v>70378</v>
      </c>
      <c r="I273" s="8">
        <f>STAMP_Escapement_Data[[#This Row],[DATE]]-DATE(STAMP_Escapement_Data[[#This Row],[YEAR]],8,1)</f>
        <v>72</v>
      </c>
    </row>
    <row r="274" spans="1:9" x14ac:dyDescent="0.25">
      <c r="A274" s="1">
        <v>33159</v>
      </c>
      <c r="B274">
        <v>1013</v>
      </c>
      <c r="C274">
        <v>1990</v>
      </c>
      <c r="D274">
        <v>1059</v>
      </c>
      <c r="E274">
        <v>71</v>
      </c>
      <c r="F274">
        <v>3525</v>
      </c>
      <c r="G274">
        <v>258</v>
      </c>
      <c r="H274">
        <f>SUMIFS($F$2:F274,$C$2:C274,C274)</f>
        <v>73903</v>
      </c>
      <c r="I274" s="8">
        <f>STAMP_Escapement_Data[[#This Row],[DATE]]-DATE(STAMP_Escapement_Data[[#This Row],[YEAR]],8,1)</f>
        <v>73</v>
      </c>
    </row>
    <row r="275" spans="1:9" x14ac:dyDescent="0.25">
      <c r="A275" s="1">
        <v>33160</v>
      </c>
      <c r="B275">
        <v>1014</v>
      </c>
      <c r="C275">
        <v>1990</v>
      </c>
      <c r="D275">
        <v>377</v>
      </c>
      <c r="E275">
        <v>46</v>
      </c>
      <c r="F275">
        <v>2725</v>
      </c>
      <c r="G275">
        <v>247</v>
      </c>
      <c r="H275">
        <f>SUMIFS($F$2:F275,$C$2:C275,C275)</f>
        <v>76628</v>
      </c>
      <c r="I275" s="8">
        <f>STAMP_Escapement_Data[[#This Row],[DATE]]-DATE(STAMP_Escapement_Data[[#This Row],[YEAR]],8,1)</f>
        <v>74</v>
      </c>
    </row>
    <row r="276" spans="1:9" x14ac:dyDescent="0.25">
      <c r="A276" s="1">
        <v>33161</v>
      </c>
      <c r="B276">
        <v>1015</v>
      </c>
      <c r="C276">
        <v>1990</v>
      </c>
      <c r="D276">
        <v>554</v>
      </c>
      <c r="E276">
        <v>57</v>
      </c>
      <c r="F276">
        <v>2861</v>
      </c>
      <c r="G276">
        <v>254</v>
      </c>
      <c r="H276">
        <f>SUMIFS($F$2:F276,$C$2:C276,C276)</f>
        <v>79489</v>
      </c>
      <c r="I276" s="8">
        <f>STAMP_Escapement_Data[[#This Row],[DATE]]-DATE(STAMP_Escapement_Data[[#This Row],[YEAR]],8,1)</f>
        <v>75</v>
      </c>
    </row>
    <row r="277" spans="1:9" x14ac:dyDescent="0.25">
      <c r="A277" s="1">
        <v>33162</v>
      </c>
      <c r="B277">
        <v>1016</v>
      </c>
      <c r="C277">
        <v>1990</v>
      </c>
      <c r="D277">
        <v>342</v>
      </c>
      <c r="E277">
        <v>39</v>
      </c>
      <c r="F277">
        <v>2619</v>
      </c>
      <c r="G277">
        <v>254</v>
      </c>
      <c r="H277">
        <f>SUMIFS($F$2:F277,$C$2:C277,C277)</f>
        <v>82108</v>
      </c>
      <c r="I277" s="8">
        <f>STAMP_Escapement_Data[[#This Row],[DATE]]-DATE(STAMP_Escapement_Data[[#This Row],[YEAR]],8,1)</f>
        <v>76</v>
      </c>
    </row>
    <row r="278" spans="1:9" x14ac:dyDescent="0.25">
      <c r="A278" s="1">
        <v>33163</v>
      </c>
      <c r="B278">
        <v>1017</v>
      </c>
      <c r="C278">
        <v>1990</v>
      </c>
      <c r="D278">
        <v>186</v>
      </c>
      <c r="E278">
        <v>26</v>
      </c>
      <c r="F278">
        <v>2169</v>
      </c>
      <c r="G278">
        <v>237</v>
      </c>
      <c r="H278">
        <f>SUMIFS($F$2:F278,$C$2:C278,C278)</f>
        <v>84277</v>
      </c>
      <c r="I278" s="8">
        <f>STAMP_Escapement_Data[[#This Row],[DATE]]-DATE(STAMP_Escapement_Data[[#This Row],[YEAR]],8,1)</f>
        <v>77</v>
      </c>
    </row>
    <row r="279" spans="1:9" x14ac:dyDescent="0.25">
      <c r="A279" s="1">
        <v>33164</v>
      </c>
      <c r="B279">
        <v>1018</v>
      </c>
      <c r="C279">
        <v>1990</v>
      </c>
      <c r="D279">
        <v>658</v>
      </c>
      <c r="E279">
        <v>39</v>
      </c>
      <c r="F279">
        <v>3624</v>
      </c>
      <c r="G279">
        <v>224</v>
      </c>
      <c r="H279">
        <f>SUMIFS($F$2:F279,$C$2:C279,C279)</f>
        <v>87901</v>
      </c>
      <c r="I279" s="8">
        <f>STAMP_Escapement_Data[[#This Row],[DATE]]-DATE(STAMP_Escapement_Data[[#This Row],[YEAR]],8,1)</f>
        <v>78</v>
      </c>
    </row>
    <row r="280" spans="1:9" x14ac:dyDescent="0.25">
      <c r="A280" s="1">
        <v>33165</v>
      </c>
      <c r="B280">
        <v>1019</v>
      </c>
      <c r="C280">
        <v>1990</v>
      </c>
      <c r="D280">
        <v>446</v>
      </c>
      <c r="E280">
        <v>25</v>
      </c>
      <c r="F280">
        <v>3264</v>
      </c>
      <c r="G280">
        <v>229</v>
      </c>
      <c r="H280">
        <f>SUMIFS($F$2:F280,$C$2:C280,C280)</f>
        <v>91165</v>
      </c>
      <c r="I280" s="8">
        <f>STAMP_Escapement_Data[[#This Row],[DATE]]-DATE(STAMP_Escapement_Data[[#This Row],[YEAR]],8,1)</f>
        <v>79</v>
      </c>
    </row>
    <row r="281" spans="1:9" x14ac:dyDescent="0.25">
      <c r="A281" s="1">
        <v>33166</v>
      </c>
      <c r="B281">
        <v>1020</v>
      </c>
      <c r="C281">
        <v>1990</v>
      </c>
      <c r="D281">
        <v>227</v>
      </c>
      <c r="E281">
        <v>28</v>
      </c>
      <c r="F281">
        <v>2487</v>
      </c>
      <c r="G281">
        <v>207</v>
      </c>
      <c r="H281">
        <f>SUMIFS($F$2:F281,$C$2:C281,C281)</f>
        <v>93652</v>
      </c>
      <c r="I281" s="8">
        <f>STAMP_Escapement_Data[[#This Row],[DATE]]-DATE(STAMP_Escapement_Data[[#This Row],[YEAR]],8,1)</f>
        <v>80</v>
      </c>
    </row>
    <row r="282" spans="1:9" x14ac:dyDescent="0.25">
      <c r="A282" s="1">
        <v>33167</v>
      </c>
      <c r="B282">
        <v>1021</v>
      </c>
      <c r="C282">
        <v>1990</v>
      </c>
      <c r="D282">
        <v>172</v>
      </c>
      <c r="E282">
        <v>6</v>
      </c>
      <c r="F282">
        <v>1360</v>
      </c>
      <c r="G282">
        <v>101</v>
      </c>
      <c r="H282">
        <f>SUMIFS($F$2:F282,$C$2:C282,C282)</f>
        <v>95012</v>
      </c>
      <c r="I282" s="8">
        <f>STAMP_Escapement_Data[[#This Row],[DATE]]-DATE(STAMP_Escapement_Data[[#This Row],[YEAR]],8,1)</f>
        <v>81</v>
      </c>
    </row>
    <row r="283" spans="1:9" x14ac:dyDescent="0.25">
      <c r="A283" s="1">
        <v>33168</v>
      </c>
      <c r="B283">
        <v>1022</v>
      </c>
      <c r="C283">
        <v>1990</v>
      </c>
      <c r="D283">
        <v>368</v>
      </c>
      <c r="E283">
        <v>13</v>
      </c>
      <c r="F283">
        <v>2293</v>
      </c>
      <c r="G283">
        <v>103</v>
      </c>
      <c r="H283">
        <f>SUMIFS($F$2:F283,$C$2:C283,C283)</f>
        <v>97305</v>
      </c>
      <c r="I283" s="8">
        <f>STAMP_Escapement_Data[[#This Row],[DATE]]-DATE(STAMP_Escapement_Data[[#This Row],[YEAR]],8,1)</f>
        <v>82</v>
      </c>
    </row>
    <row r="284" spans="1:9" x14ac:dyDescent="0.25">
      <c r="A284" s="1">
        <v>33169</v>
      </c>
      <c r="B284">
        <v>1023</v>
      </c>
      <c r="C284">
        <v>1990</v>
      </c>
      <c r="D284">
        <v>242</v>
      </c>
      <c r="E284">
        <v>18</v>
      </c>
      <c r="F284">
        <v>1719</v>
      </c>
      <c r="G284">
        <v>130</v>
      </c>
      <c r="H284">
        <f>SUMIFS($F$2:F284,$C$2:C284,C284)</f>
        <v>99024</v>
      </c>
      <c r="I284" s="8">
        <f>STAMP_Escapement_Data[[#This Row],[DATE]]-DATE(STAMP_Escapement_Data[[#This Row],[YEAR]],8,1)</f>
        <v>83</v>
      </c>
    </row>
    <row r="285" spans="1:9" x14ac:dyDescent="0.25">
      <c r="A285" s="1">
        <v>33170</v>
      </c>
      <c r="B285">
        <v>1024</v>
      </c>
      <c r="C285">
        <v>1990</v>
      </c>
      <c r="D285">
        <v>53</v>
      </c>
      <c r="E285">
        <v>22</v>
      </c>
      <c r="F285">
        <v>2688</v>
      </c>
      <c r="G285">
        <v>463</v>
      </c>
      <c r="H285">
        <f>SUMIFS($F$2:F285,$C$2:C285,C285)</f>
        <v>101712</v>
      </c>
      <c r="I285" s="8">
        <f>STAMP_Escapement_Data[[#This Row],[DATE]]-DATE(STAMP_Escapement_Data[[#This Row],[YEAR]],8,1)</f>
        <v>84</v>
      </c>
    </row>
    <row r="286" spans="1:9" x14ac:dyDescent="0.25">
      <c r="A286" s="1">
        <v>33171</v>
      </c>
      <c r="B286">
        <v>1025</v>
      </c>
      <c r="C286">
        <v>1990</v>
      </c>
      <c r="D286">
        <v>1202</v>
      </c>
      <c r="E286">
        <v>78</v>
      </c>
      <c r="F286">
        <v>3567</v>
      </c>
      <c r="G286">
        <v>806</v>
      </c>
      <c r="H286">
        <f>SUMIFS($F$2:F286,$C$2:C286,C286)</f>
        <v>105279</v>
      </c>
      <c r="I286" s="8">
        <f>STAMP_Escapement_Data[[#This Row],[DATE]]-DATE(STAMP_Escapement_Data[[#This Row],[YEAR]],8,1)</f>
        <v>85</v>
      </c>
    </row>
    <row r="287" spans="1:9" x14ac:dyDescent="0.25">
      <c r="A287" s="1">
        <v>33172</v>
      </c>
      <c r="B287">
        <v>1026</v>
      </c>
      <c r="C287">
        <v>1990</v>
      </c>
      <c r="D287">
        <v>617</v>
      </c>
      <c r="E287">
        <v>15</v>
      </c>
      <c r="F287">
        <v>2029</v>
      </c>
      <c r="G287">
        <v>398</v>
      </c>
      <c r="H287">
        <f>SUMIFS($F$2:F287,$C$2:C287,C287)</f>
        <v>107308</v>
      </c>
      <c r="I287" s="8">
        <f>STAMP_Escapement_Data[[#This Row],[DATE]]-DATE(STAMP_Escapement_Data[[#This Row],[YEAR]],8,1)</f>
        <v>86</v>
      </c>
    </row>
    <row r="288" spans="1:9" x14ac:dyDescent="0.25">
      <c r="A288" s="1">
        <v>33173</v>
      </c>
      <c r="B288">
        <v>1027</v>
      </c>
      <c r="C288">
        <v>1990</v>
      </c>
      <c r="D288">
        <v>557</v>
      </c>
      <c r="E288">
        <v>101</v>
      </c>
      <c r="F288">
        <v>2701</v>
      </c>
      <c r="G288">
        <v>433</v>
      </c>
      <c r="H288">
        <f>SUMIFS($F$2:F288,$C$2:C288,C288)</f>
        <v>110009</v>
      </c>
      <c r="I288" s="8">
        <f>STAMP_Escapement_Data[[#This Row],[DATE]]-DATE(STAMP_Escapement_Data[[#This Row],[YEAR]],8,1)</f>
        <v>87</v>
      </c>
    </row>
    <row r="289" spans="1:9" x14ac:dyDescent="0.25">
      <c r="A289" s="1">
        <v>33174</v>
      </c>
      <c r="B289">
        <v>1028</v>
      </c>
      <c r="C289">
        <v>1990</v>
      </c>
      <c r="D289">
        <v>464</v>
      </c>
      <c r="E289">
        <v>17</v>
      </c>
      <c r="F289">
        <v>2295</v>
      </c>
      <c r="G289">
        <v>514</v>
      </c>
      <c r="H289">
        <f>SUMIFS($F$2:F289,$C$2:C289,C289)</f>
        <v>112304</v>
      </c>
      <c r="I289" s="8">
        <f>STAMP_Escapement_Data[[#This Row],[DATE]]-DATE(STAMP_Escapement_Data[[#This Row],[YEAR]],8,1)</f>
        <v>88</v>
      </c>
    </row>
    <row r="290" spans="1:9" x14ac:dyDescent="0.25">
      <c r="A290" s="1">
        <v>33175</v>
      </c>
      <c r="B290">
        <v>1029</v>
      </c>
      <c r="C290">
        <v>1990</v>
      </c>
      <c r="D290">
        <v>293</v>
      </c>
      <c r="E290">
        <v>7</v>
      </c>
      <c r="F290">
        <v>1423</v>
      </c>
      <c r="G290">
        <v>393</v>
      </c>
      <c r="H290">
        <f>SUMIFS($F$2:F290,$C$2:C290,C290)</f>
        <v>113727</v>
      </c>
      <c r="I290" s="8">
        <f>STAMP_Escapement_Data[[#This Row],[DATE]]-DATE(STAMP_Escapement_Data[[#This Row],[YEAR]],8,1)</f>
        <v>89</v>
      </c>
    </row>
    <row r="291" spans="1:9" x14ac:dyDescent="0.25">
      <c r="A291" s="1">
        <v>33176</v>
      </c>
      <c r="B291">
        <v>1030</v>
      </c>
      <c r="C291">
        <v>1990</v>
      </c>
      <c r="D291">
        <v>15</v>
      </c>
      <c r="E291">
        <v>4</v>
      </c>
      <c r="F291">
        <v>349</v>
      </c>
      <c r="G291">
        <v>110</v>
      </c>
      <c r="H291">
        <f>SUMIFS($F$2:F291,$C$2:C291,C291)</f>
        <v>114076</v>
      </c>
      <c r="I291" s="8">
        <f>STAMP_Escapement_Data[[#This Row],[DATE]]-DATE(STAMP_Escapement_Data[[#This Row],[YEAR]],8,1)</f>
        <v>90</v>
      </c>
    </row>
    <row r="292" spans="1:9" x14ac:dyDescent="0.25">
      <c r="A292" s="1">
        <v>33177</v>
      </c>
      <c r="B292">
        <v>1031</v>
      </c>
      <c r="C292">
        <v>1990</v>
      </c>
      <c r="D292">
        <v>94</v>
      </c>
      <c r="E292">
        <v>1</v>
      </c>
      <c r="F292">
        <v>955</v>
      </c>
      <c r="G292">
        <v>287</v>
      </c>
      <c r="H292">
        <f>SUMIFS($F$2:F292,$C$2:C292,C292)</f>
        <v>115031</v>
      </c>
      <c r="I292" s="8">
        <f>STAMP_Escapement_Data[[#This Row],[DATE]]-DATE(STAMP_Escapement_Data[[#This Row],[YEAR]],8,1)</f>
        <v>91</v>
      </c>
    </row>
    <row r="293" spans="1:9" x14ac:dyDescent="0.25">
      <c r="A293" s="1">
        <v>33178</v>
      </c>
      <c r="B293">
        <v>1101</v>
      </c>
      <c r="C293">
        <v>1990</v>
      </c>
      <c r="D293">
        <v>128</v>
      </c>
      <c r="E293">
        <v>17</v>
      </c>
      <c r="F293">
        <v>233</v>
      </c>
      <c r="G293">
        <v>67</v>
      </c>
      <c r="H293">
        <f>SUMIFS($F$2:F293,$C$2:C293,C293)</f>
        <v>115264</v>
      </c>
      <c r="I293" s="8">
        <f>STAMP_Escapement_Data[[#This Row],[DATE]]-DATE(STAMP_Escapement_Data[[#This Row],[YEAR]],8,1)</f>
        <v>92</v>
      </c>
    </row>
    <row r="294" spans="1:9" x14ac:dyDescent="0.25">
      <c r="A294" s="1">
        <v>33179</v>
      </c>
      <c r="B294">
        <v>1102</v>
      </c>
      <c r="C294">
        <v>1990</v>
      </c>
      <c r="D294">
        <v>351</v>
      </c>
      <c r="E294">
        <v>12</v>
      </c>
      <c r="F294">
        <v>365</v>
      </c>
      <c r="G294">
        <v>66</v>
      </c>
      <c r="H294">
        <f>SUMIFS($F$2:F294,$C$2:C294,C294)</f>
        <v>115629</v>
      </c>
      <c r="I294" s="8">
        <f>STAMP_Escapement_Data[[#This Row],[DATE]]-DATE(STAMP_Escapement_Data[[#This Row],[YEAR]],8,1)</f>
        <v>93</v>
      </c>
    </row>
    <row r="295" spans="1:9" x14ac:dyDescent="0.25">
      <c r="A295" s="1">
        <v>33180</v>
      </c>
      <c r="B295">
        <v>1103</v>
      </c>
      <c r="C295">
        <v>1990</v>
      </c>
      <c r="D295">
        <v>153</v>
      </c>
      <c r="E295">
        <v>3</v>
      </c>
      <c r="F295">
        <v>395</v>
      </c>
      <c r="G295">
        <v>76</v>
      </c>
      <c r="H295">
        <f>SUMIFS($F$2:F295,$C$2:C295,C295)</f>
        <v>116024</v>
      </c>
      <c r="I295" s="8">
        <f>STAMP_Escapement_Data[[#This Row],[DATE]]-DATE(STAMP_Escapement_Data[[#This Row],[YEAR]],8,1)</f>
        <v>94</v>
      </c>
    </row>
    <row r="296" spans="1:9" x14ac:dyDescent="0.25">
      <c r="A296" s="1">
        <v>33181</v>
      </c>
      <c r="B296">
        <v>1104</v>
      </c>
      <c r="C296">
        <v>1990</v>
      </c>
      <c r="D296">
        <v>169</v>
      </c>
      <c r="E296">
        <v>8</v>
      </c>
      <c r="F296">
        <v>389</v>
      </c>
      <c r="G296">
        <v>115</v>
      </c>
      <c r="H296">
        <f>SUMIFS($F$2:F296,$C$2:C296,C296)</f>
        <v>116413</v>
      </c>
      <c r="I296" s="8">
        <f>STAMP_Escapement_Data[[#This Row],[DATE]]-DATE(STAMP_Escapement_Data[[#This Row],[YEAR]],8,1)</f>
        <v>95</v>
      </c>
    </row>
    <row r="297" spans="1:9" x14ac:dyDescent="0.25">
      <c r="A297" s="1">
        <v>33182</v>
      </c>
      <c r="B297">
        <v>1105</v>
      </c>
      <c r="C297">
        <v>1990</v>
      </c>
      <c r="D297">
        <v>115</v>
      </c>
      <c r="E297">
        <v>3</v>
      </c>
      <c r="F297">
        <v>259</v>
      </c>
      <c r="G297">
        <v>63</v>
      </c>
      <c r="H297">
        <f>SUMIFS($F$2:F297,$C$2:C297,C297)</f>
        <v>116672</v>
      </c>
      <c r="I297" s="8">
        <f>STAMP_Escapement_Data[[#This Row],[DATE]]-DATE(STAMP_Escapement_Data[[#This Row],[YEAR]],8,1)</f>
        <v>96</v>
      </c>
    </row>
    <row r="298" spans="1:9" x14ac:dyDescent="0.25">
      <c r="A298" s="1">
        <v>33183</v>
      </c>
      <c r="B298">
        <v>1106</v>
      </c>
      <c r="C298">
        <v>1990</v>
      </c>
      <c r="D298">
        <v>46</v>
      </c>
      <c r="E298">
        <v>2</v>
      </c>
      <c r="F298">
        <v>194</v>
      </c>
      <c r="G298">
        <v>33</v>
      </c>
      <c r="H298">
        <f>SUMIFS($F$2:F298,$C$2:C298,C298)</f>
        <v>116866</v>
      </c>
      <c r="I298" s="8">
        <f>STAMP_Escapement_Data[[#This Row],[DATE]]-DATE(STAMP_Escapement_Data[[#This Row],[YEAR]],8,1)</f>
        <v>97</v>
      </c>
    </row>
    <row r="299" spans="1:9" x14ac:dyDescent="0.25">
      <c r="A299" s="1">
        <v>33184</v>
      </c>
      <c r="B299">
        <v>1107</v>
      </c>
      <c r="C299">
        <v>1990</v>
      </c>
      <c r="D299">
        <v>24</v>
      </c>
      <c r="E299">
        <v>4</v>
      </c>
      <c r="F299">
        <v>174</v>
      </c>
      <c r="G299">
        <v>43</v>
      </c>
      <c r="H299">
        <f>SUMIFS($F$2:F299,$C$2:C299,C299)</f>
        <v>117040</v>
      </c>
      <c r="I299" s="8">
        <f>STAMP_Escapement_Data[[#This Row],[DATE]]-DATE(STAMP_Escapement_Data[[#This Row],[YEAR]],8,1)</f>
        <v>98</v>
      </c>
    </row>
    <row r="300" spans="1:9" x14ac:dyDescent="0.25">
      <c r="A300" s="1">
        <v>33185</v>
      </c>
      <c r="B300">
        <v>1108</v>
      </c>
      <c r="C300">
        <v>1990</v>
      </c>
      <c r="D300">
        <v>4</v>
      </c>
      <c r="E300">
        <v>0</v>
      </c>
      <c r="F300">
        <v>66</v>
      </c>
      <c r="G300">
        <v>15</v>
      </c>
      <c r="H300">
        <f>SUMIFS($F$2:F300,$C$2:C300,C300)</f>
        <v>117106</v>
      </c>
      <c r="I300" s="8">
        <f>STAMP_Escapement_Data[[#This Row],[DATE]]-DATE(STAMP_Escapement_Data[[#This Row],[YEAR]],8,1)</f>
        <v>99</v>
      </c>
    </row>
    <row r="301" spans="1:9" x14ac:dyDescent="0.25">
      <c r="A301" s="1">
        <v>33488</v>
      </c>
      <c r="B301">
        <v>907</v>
      </c>
      <c r="C301">
        <v>1991</v>
      </c>
      <c r="D301">
        <v>46</v>
      </c>
      <c r="E301">
        <v>3</v>
      </c>
      <c r="F301">
        <v>88</v>
      </c>
      <c r="G301">
        <v>24</v>
      </c>
      <c r="H301">
        <f>SUMIFS($F$2:F301,$C$2:C301,C301)</f>
        <v>88</v>
      </c>
      <c r="I301" s="8">
        <f>STAMP_Escapement_Data[[#This Row],[DATE]]-DATE(STAMP_Escapement_Data[[#This Row],[YEAR]],8,1)</f>
        <v>37</v>
      </c>
    </row>
    <row r="302" spans="1:9" x14ac:dyDescent="0.25">
      <c r="A302" s="1">
        <v>33489</v>
      </c>
      <c r="B302">
        <v>908</v>
      </c>
      <c r="C302">
        <v>1991</v>
      </c>
      <c r="D302">
        <v>371</v>
      </c>
      <c r="E302">
        <v>86</v>
      </c>
      <c r="F302">
        <v>1086</v>
      </c>
      <c r="G302">
        <v>204</v>
      </c>
      <c r="H302">
        <f>SUMIFS($F$2:F302,$C$2:C302,C302)</f>
        <v>1174</v>
      </c>
      <c r="I302" s="8">
        <f>STAMP_Escapement_Data[[#This Row],[DATE]]-DATE(STAMP_Escapement_Data[[#This Row],[YEAR]],8,1)</f>
        <v>38</v>
      </c>
    </row>
    <row r="303" spans="1:9" x14ac:dyDescent="0.25">
      <c r="A303" s="1">
        <v>33490</v>
      </c>
      <c r="B303">
        <v>909</v>
      </c>
      <c r="C303">
        <v>1991</v>
      </c>
      <c r="D303">
        <v>332</v>
      </c>
      <c r="E303">
        <v>73</v>
      </c>
      <c r="F303">
        <v>1964</v>
      </c>
      <c r="G303">
        <v>398</v>
      </c>
      <c r="H303">
        <f>SUMIFS($F$2:F303,$C$2:C303,C303)</f>
        <v>3138</v>
      </c>
      <c r="I303" s="8">
        <f>STAMP_Escapement_Data[[#This Row],[DATE]]-DATE(STAMP_Escapement_Data[[#This Row],[YEAR]],8,1)</f>
        <v>39</v>
      </c>
    </row>
    <row r="304" spans="1:9" x14ac:dyDescent="0.25">
      <c r="A304" s="1">
        <v>33491</v>
      </c>
      <c r="B304">
        <v>910</v>
      </c>
      <c r="C304">
        <v>1991</v>
      </c>
      <c r="D304">
        <v>398</v>
      </c>
      <c r="E304">
        <v>96</v>
      </c>
      <c r="F304">
        <v>1513</v>
      </c>
      <c r="G304">
        <v>474</v>
      </c>
      <c r="H304">
        <f>SUMIFS($F$2:F304,$C$2:C304,C304)</f>
        <v>4651</v>
      </c>
      <c r="I304" s="8">
        <f>STAMP_Escapement_Data[[#This Row],[DATE]]-DATE(STAMP_Escapement_Data[[#This Row],[YEAR]],8,1)</f>
        <v>40</v>
      </c>
    </row>
    <row r="305" spans="1:9" x14ac:dyDescent="0.25">
      <c r="A305" s="1">
        <v>33492</v>
      </c>
      <c r="B305">
        <v>911</v>
      </c>
      <c r="C305">
        <v>1991</v>
      </c>
      <c r="D305">
        <v>341</v>
      </c>
      <c r="E305">
        <v>146</v>
      </c>
      <c r="F305">
        <v>2318</v>
      </c>
      <c r="G305">
        <v>548</v>
      </c>
      <c r="H305">
        <f>SUMIFS($F$2:F305,$C$2:C305,C305)</f>
        <v>6969</v>
      </c>
      <c r="I305" s="8">
        <f>STAMP_Escapement_Data[[#This Row],[DATE]]-DATE(STAMP_Escapement_Data[[#This Row],[YEAR]],8,1)</f>
        <v>41</v>
      </c>
    </row>
    <row r="306" spans="1:9" x14ac:dyDescent="0.25">
      <c r="A306" s="1">
        <v>33493</v>
      </c>
      <c r="B306">
        <v>912</v>
      </c>
      <c r="C306">
        <v>1991</v>
      </c>
      <c r="D306">
        <v>434</v>
      </c>
      <c r="E306">
        <v>152</v>
      </c>
      <c r="F306">
        <v>2164</v>
      </c>
      <c r="G306">
        <v>402</v>
      </c>
      <c r="H306">
        <f>SUMIFS($F$2:F306,$C$2:C306,C306)</f>
        <v>9133</v>
      </c>
      <c r="I306" s="8">
        <f>STAMP_Escapement_Data[[#This Row],[DATE]]-DATE(STAMP_Escapement_Data[[#This Row],[YEAR]],8,1)</f>
        <v>42</v>
      </c>
    </row>
    <row r="307" spans="1:9" x14ac:dyDescent="0.25">
      <c r="A307" s="1">
        <v>33494</v>
      </c>
      <c r="B307">
        <v>913</v>
      </c>
      <c r="C307">
        <v>1991</v>
      </c>
      <c r="D307">
        <v>625</v>
      </c>
      <c r="E307">
        <v>126</v>
      </c>
      <c r="F307">
        <v>1692</v>
      </c>
      <c r="G307">
        <v>167</v>
      </c>
      <c r="H307">
        <f>SUMIFS($F$2:F307,$C$2:C307,C307)</f>
        <v>10825</v>
      </c>
      <c r="I307" s="8">
        <f>STAMP_Escapement_Data[[#This Row],[DATE]]-DATE(STAMP_Escapement_Data[[#This Row],[YEAR]],8,1)</f>
        <v>43</v>
      </c>
    </row>
    <row r="308" spans="1:9" x14ac:dyDescent="0.25">
      <c r="A308" s="1">
        <v>33495</v>
      </c>
      <c r="B308">
        <v>914</v>
      </c>
      <c r="C308">
        <v>1991</v>
      </c>
      <c r="D308">
        <v>687</v>
      </c>
      <c r="E308">
        <v>124</v>
      </c>
      <c r="F308">
        <v>1072</v>
      </c>
      <c r="G308">
        <v>176</v>
      </c>
      <c r="H308">
        <f>SUMIFS($F$2:F308,$C$2:C308,C308)</f>
        <v>11897</v>
      </c>
      <c r="I308" s="8">
        <f>STAMP_Escapement_Data[[#This Row],[DATE]]-DATE(STAMP_Escapement_Data[[#This Row],[YEAR]],8,1)</f>
        <v>44</v>
      </c>
    </row>
    <row r="309" spans="1:9" x14ac:dyDescent="0.25">
      <c r="A309" s="1">
        <v>33496</v>
      </c>
      <c r="B309">
        <v>915</v>
      </c>
      <c r="C309">
        <v>1991</v>
      </c>
      <c r="D309">
        <v>743</v>
      </c>
      <c r="E309">
        <v>126</v>
      </c>
      <c r="F309">
        <v>2036</v>
      </c>
      <c r="G309">
        <v>471</v>
      </c>
      <c r="H309">
        <f>SUMIFS($F$2:F309,$C$2:C309,C309)</f>
        <v>13933</v>
      </c>
      <c r="I309" s="8">
        <f>STAMP_Escapement_Data[[#This Row],[DATE]]-DATE(STAMP_Escapement_Data[[#This Row],[YEAR]],8,1)</f>
        <v>45</v>
      </c>
    </row>
    <row r="310" spans="1:9" x14ac:dyDescent="0.25">
      <c r="A310" s="1">
        <v>33497</v>
      </c>
      <c r="B310">
        <v>916</v>
      </c>
      <c r="C310">
        <v>1991</v>
      </c>
      <c r="D310">
        <v>792</v>
      </c>
      <c r="E310">
        <v>274</v>
      </c>
      <c r="F310">
        <v>1926</v>
      </c>
      <c r="G310">
        <v>578</v>
      </c>
      <c r="H310">
        <f>SUMIFS($F$2:F310,$C$2:C310,C310)</f>
        <v>15859</v>
      </c>
      <c r="I310" s="8">
        <f>STAMP_Escapement_Data[[#This Row],[DATE]]-DATE(STAMP_Escapement_Data[[#This Row],[YEAR]],8,1)</f>
        <v>46</v>
      </c>
    </row>
    <row r="311" spans="1:9" x14ac:dyDescent="0.25">
      <c r="A311" s="1">
        <v>33498</v>
      </c>
      <c r="B311">
        <v>917</v>
      </c>
      <c r="C311">
        <v>1991</v>
      </c>
      <c r="D311">
        <v>891</v>
      </c>
      <c r="E311">
        <v>339</v>
      </c>
      <c r="F311">
        <v>1681</v>
      </c>
      <c r="G311">
        <v>517</v>
      </c>
      <c r="H311">
        <f>SUMIFS($F$2:F311,$C$2:C311,C311)</f>
        <v>17540</v>
      </c>
      <c r="I311" s="8">
        <f>STAMP_Escapement_Data[[#This Row],[DATE]]-DATE(STAMP_Escapement_Data[[#This Row],[YEAR]],8,1)</f>
        <v>47</v>
      </c>
    </row>
    <row r="312" spans="1:9" x14ac:dyDescent="0.25">
      <c r="A312" s="1">
        <v>33499</v>
      </c>
      <c r="B312">
        <v>918</v>
      </c>
      <c r="C312">
        <v>1991</v>
      </c>
      <c r="D312">
        <v>781</v>
      </c>
      <c r="E312">
        <v>330</v>
      </c>
      <c r="F312">
        <v>1529</v>
      </c>
      <c r="G312">
        <v>432</v>
      </c>
      <c r="H312">
        <f>SUMIFS($F$2:F312,$C$2:C312,C312)</f>
        <v>19069</v>
      </c>
      <c r="I312" s="8">
        <f>STAMP_Escapement_Data[[#This Row],[DATE]]-DATE(STAMP_Escapement_Data[[#This Row],[YEAR]],8,1)</f>
        <v>48</v>
      </c>
    </row>
    <row r="313" spans="1:9" x14ac:dyDescent="0.25">
      <c r="A313" s="1">
        <v>33500</v>
      </c>
      <c r="B313">
        <v>919</v>
      </c>
      <c r="C313">
        <v>1991</v>
      </c>
      <c r="D313">
        <v>430</v>
      </c>
      <c r="E313">
        <v>252</v>
      </c>
      <c r="F313">
        <v>1542</v>
      </c>
      <c r="G313">
        <v>445</v>
      </c>
      <c r="H313">
        <f>SUMIFS($F$2:F313,$C$2:C313,C313)</f>
        <v>20611</v>
      </c>
      <c r="I313" s="8">
        <f>STAMP_Escapement_Data[[#This Row],[DATE]]-DATE(STAMP_Escapement_Data[[#This Row],[YEAR]],8,1)</f>
        <v>49</v>
      </c>
    </row>
    <row r="314" spans="1:9" x14ac:dyDescent="0.25">
      <c r="A314" s="1">
        <v>33501</v>
      </c>
      <c r="B314">
        <v>920</v>
      </c>
      <c r="C314">
        <v>1991</v>
      </c>
      <c r="D314">
        <v>489</v>
      </c>
      <c r="E314">
        <v>220</v>
      </c>
      <c r="F314">
        <v>1697</v>
      </c>
      <c r="G314">
        <v>447</v>
      </c>
      <c r="H314">
        <f>SUMIFS($F$2:F314,$C$2:C314,C314)</f>
        <v>22308</v>
      </c>
      <c r="I314" s="8">
        <f>STAMP_Escapement_Data[[#This Row],[DATE]]-DATE(STAMP_Escapement_Data[[#This Row],[YEAR]],8,1)</f>
        <v>50</v>
      </c>
    </row>
    <row r="315" spans="1:9" x14ac:dyDescent="0.25">
      <c r="A315" s="1">
        <v>33502</v>
      </c>
      <c r="B315">
        <v>921</v>
      </c>
      <c r="C315">
        <v>1991</v>
      </c>
      <c r="D315">
        <v>990</v>
      </c>
      <c r="E315">
        <v>215</v>
      </c>
      <c r="F315">
        <v>1514</v>
      </c>
      <c r="G315">
        <v>384</v>
      </c>
      <c r="H315">
        <f>SUMIFS($F$2:F315,$C$2:C315,C315)</f>
        <v>23822</v>
      </c>
      <c r="I315" s="8">
        <f>STAMP_Escapement_Data[[#This Row],[DATE]]-DATE(STAMP_Escapement_Data[[#This Row],[YEAR]],8,1)</f>
        <v>51</v>
      </c>
    </row>
    <row r="316" spans="1:9" x14ac:dyDescent="0.25">
      <c r="A316" s="1">
        <v>33503</v>
      </c>
      <c r="B316">
        <v>922</v>
      </c>
      <c r="C316">
        <v>1991</v>
      </c>
      <c r="D316">
        <v>2389</v>
      </c>
      <c r="E316">
        <v>346</v>
      </c>
      <c r="F316">
        <v>1403</v>
      </c>
      <c r="G316">
        <v>444</v>
      </c>
      <c r="H316">
        <f>SUMIFS($F$2:F316,$C$2:C316,C316)</f>
        <v>25225</v>
      </c>
      <c r="I316" s="8">
        <f>STAMP_Escapement_Data[[#This Row],[DATE]]-DATE(STAMP_Escapement_Data[[#This Row],[YEAR]],8,1)</f>
        <v>52</v>
      </c>
    </row>
    <row r="317" spans="1:9" x14ac:dyDescent="0.25">
      <c r="A317" s="1">
        <v>33504</v>
      </c>
      <c r="B317">
        <v>923</v>
      </c>
      <c r="C317">
        <v>1991</v>
      </c>
      <c r="D317">
        <v>1722</v>
      </c>
      <c r="E317">
        <v>278</v>
      </c>
      <c r="F317">
        <v>1061</v>
      </c>
      <c r="G317">
        <v>329</v>
      </c>
      <c r="H317">
        <f>SUMIFS($F$2:F317,$C$2:C317,C317)</f>
        <v>26286</v>
      </c>
      <c r="I317" s="8">
        <f>STAMP_Escapement_Data[[#This Row],[DATE]]-DATE(STAMP_Escapement_Data[[#This Row],[YEAR]],8,1)</f>
        <v>53</v>
      </c>
    </row>
    <row r="318" spans="1:9" x14ac:dyDescent="0.25">
      <c r="A318" s="1">
        <v>33505</v>
      </c>
      <c r="B318">
        <v>924</v>
      </c>
      <c r="C318">
        <v>1991</v>
      </c>
      <c r="D318">
        <v>2101</v>
      </c>
      <c r="E318">
        <v>240</v>
      </c>
      <c r="F318">
        <v>1428</v>
      </c>
      <c r="G318">
        <v>395</v>
      </c>
      <c r="H318">
        <f>SUMIFS($F$2:F318,$C$2:C318,C318)</f>
        <v>27714</v>
      </c>
      <c r="I318" s="8">
        <f>STAMP_Escapement_Data[[#This Row],[DATE]]-DATE(STAMP_Escapement_Data[[#This Row],[YEAR]],8,1)</f>
        <v>54</v>
      </c>
    </row>
    <row r="319" spans="1:9" x14ac:dyDescent="0.25">
      <c r="A319" s="1">
        <v>33506</v>
      </c>
      <c r="B319">
        <v>925</v>
      </c>
      <c r="C319">
        <v>1991</v>
      </c>
      <c r="D319">
        <v>2077</v>
      </c>
      <c r="E319">
        <v>406</v>
      </c>
      <c r="F319">
        <v>1768</v>
      </c>
      <c r="G319">
        <v>458</v>
      </c>
      <c r="H319">
        <f>SUMIFS($F$2:F319,$C$2:C319,C319)</f>
        <v>29482</v>
      </c>
      <c r="I319" s="8">
        <f>STAMP_Escapement_Data[[#This Row],[DATE]]-DATE(STAMP_Escapement_Data[[#This Row],[YEAR]],8,1)</f>
        <v>55</v>
      </c>
    </row>
    <row r="320" spans="1:9" x14ac:dyDescent="0.25">
      <c r="A320" s="1">
        <v>33507</v>
      </c>
      <c r="B320">
        <v>926</v>
      </c>
      <c r="C320">
        <v>1991</v>
      </c>
      <c r="D320">
        <v>2289</v>
      </c>
      <c r="E320">
        <v>479</v>
      </c>
      <c r="F320">
        <v>1545</v>
      </c>
      <c r="G320">
        <v>529</v>
      </c>
      <c r="H320">
        <f>SUMIFS($F$2:F320,$C$2:C320,C320)</f>
        <v>31027</v>
      </c>
      <c r="I320" s="8">
        <f>STAMP_Escapement_Data[[#This Row],[DATE]]-DATE(STAMP_Escapement_Data[[#This Row],[YEAR]],8,1)</f>
        <v>56</v>
      </c>
    </row>
    <row r="321" spans="1:9" x14ac:dyDescent="0.25">
      <c r="A321" s="1">
        <v>33508</v>
      </c>
      <c r="B321">
        <v>927</v>
      </c>
      <c r="C321">
        <v>1991</v>
      </c>
      <c r="D321">
        <v>1733</v>
      </c>
      <c r="E321">
        <v>328</v>
      </c>
      <c r="F321">
        <v>1184</v>
      </c>
      <c r="G321">
        <v>418</v>
      </c>
      <c r="H321">
        <f>SUMIFS($F$2:F321,$C$2:C321,C321)</f>
        <v>32211</v>
      </c>
      <c r="I321" s="8">
        <f>STAMP_Escapement_Data[[#This Row],[DATE]]-DATE(STAMP_Escapement_Data[[#This Row],[YEAR]],8,1)</f>
        <v>57</v>
      </c>
    </row>
    <row r="322" spans="1:9" x14ac:dyDescent="0.25">
      <c r="A322" s="1">
        <v>33509</v>
      </c>
      <c r="B322">
        <v>928</v>
      </c>
      <c r="C322">
        <v>1991</v>
      </c>
      <c r="D322">
        <v>2163</v>
      </c>
      <c r="E322">
        <v>248</v>
      </c>
      <c r="F322">
        <v>1262</v>
      </c>
      <c r="G322">
        <v>324</v>
      </c>
      <c r="H322">
        <f>SUMIFS($F$2:F322,$C$2:C322,C322)</f>
        <v>33473</v>
      </c>
      <c r="I322" s="8">
        <f>STAMP_Escapement_Data[[#This Row],[DATE]]-DATE(STAMP_Escapement_Data[[#This Row],[YEAR]],8,1)</f>
        <v>58</v>
      </c>
    </row>
    <row r="323" spans="1:9" x14ac:dyDescent="0.25">
      <c r="A323" s="1">
        <v>33510</v>
      </c>
      <c r="B323">
        <v>929</v>
      </c>
      <c r="C323">
        <v>1991</v>
      </c>
      <c r="D323">
        <v>1473</v>
      </c>
      <c r="E323">
        <v>174</v>
      </c>
      <c r="F323">
        <v>1194</v>
      </c>
      <c r="G323">
        <v>360</v>
      </c>
      <c r="H323">
        <f>SUMIFS($F$2:F323,$C$2:C323,C323)</f>
        <v>34667</v>
      </c>
      <c r="I323" s="8">
        <f>STAMP_Escapement_Data[[#This Row],[DATE]]-DATE(STAMP_Escapement_Data[[#This Row],[YEAR]],8,1)</f>
        <v>59</v>
      </c>
    </row>
    <row r="324" spans="1:9" x14ac:dyDescent="0.25">
      <c r="A324" s="1">
        <v>33511</v>
      </c>
      <c r="B324">
        <v>930</v>
      </c>
      <c r="C324">
        <v>1991</v>
      </c>
      <c r="D324">
        <v>745</v>
      </c>
      <c r="E324">
        <v>187</v>
      </c>
      <c r="F324">
        <v>1400</v>
      </c>
      <c r="G324">
        <v>352</v>
      </c>
      <c r="H324">
        <f>SUMIFS($F$2:F324,$C$2:C324,C324)</f>
        <v>36067</v>
      </c>
      <c r="I324" s="8">
        <f>STAMP_Escapement_Data[[#This Row],[DATE]]-DATE(STAMP_Escapement_Data[[#This Row],[YEAR]],8,1)</f>
        <v>60</v>
      </c>
    </row>
    <row r="325" spans="1:9" x14ac:dyDescent="0.25">
      <c r="A325" s="1">
        <v>33512</v>
      </c>
      <c r="B325">
        <v>1001</v>
      </c>
      <c r="C325">
        <v>1991</v>
      </c>
      <c r="D325">
        <v>1068</v>
      </c>
      <c r="E325">
        <v>193</v>
      </c>
      <c r="F325">
        <v>2504</v>
      </c>
      <c r="G325">
        <v>763</v>
      </c>
      <c r="H325">
        <f>SUMIFS($F$2:F325,$C$2:C325,C325)</f>
        <v>38571</v>
      </c>
      <c r="I325" s="8">
        <f>STAMP_Escapement_Data[[#This Row],[DATE]]-DATE(STAMP_Escapement_Data[[#This Row],[YEAR]],8,1)</f>
        <v>61</v>
      </c>
    </row>
    <row r="326" spans="1:9" x14ac:dyDescent="0.25">
      <c r="A326" s="1">
        <v>33513</v>
      </c>
      <c r="B326">
        <v>1002</v>
      </c>
      <c r="C326">
        <v>1991</v>
      </c>
      <c r="D326">
        <v>839</v>
      </c>
      <c r="E326">
        <v>119</v>
      </c>
      <c r="F326">
        <v>3461</v>
      </c>
      <c r="G326">
        <v>880</v>
      </c>
      <c r="H326">
        <f>SUMIFS($F$2:F326,$C$2:C326,C326)</f>
        <v>42032</v>
      </c>
      <c r="I326" s="8">
        <f>STAMP_Escapement_Data[[#This Row],[DATE]]-DATE(STAMP_Escapement_Data[[#This Row],[YEAR]],8,1)</f>
        <v>62</v>
      </c>
    </row>
    <row r="327" spans="1:9" x14ac:dyDescent="0.25">
      <c r="A327" s="1">
        <v>33514</v>
      </c>
      <c r="B327">
        <v>1003</v>
      </c>
      <c r="C327">
        <v>1991</v>
      </c>
      <c r="D327">
        <v>714</v>
      </c>
      <c r="E327">
        <v>137</v>
      </c>
      <c r="F327">
        <v>2664</v>
      </c>
      <c r="G327">
        <v>670</v>
      </c>
      <c r="H327">
        <f>SUMIFS($F$2:F327,$C$2:C327,C327)</f>
        <v>44696</v>
      </c>
      <c r="I327" s="8">
        <f>STAMP_Escapement_Data[[#This Row],[DATE]]-DATE(STAMP_Escapement_Data[[#This Row],[YEAR]],8,1)</f>
        <v>63</v>
      </c>
    </row>
    <row r="328" spans="1:9" x14ac:dyDescent="0.25">
      <c r="A328" s="1">
        <v>33515</v>
      </c>
      <c r="B328">
        <v>1004</v>
      </c>
      <c r="C328">
        <v>1991</v>
      </c>
      <c r="D328">
        <v>850</v>
      </c>
      <c r="E328">
        <v>112</v>
      </c>
      <c r="F328">
        <v>3280</v>
      </c>
      <c r="G328">
        <v>422</v>
      </c>
      <c r="H328">
        <f>SUMIFS($F$2:F328,$C$2:C328,C328)</f>
        <v>47976</v>
      </c>
      <c r="I328" s="8">
        <f>STAMP_Escapement_Data[[#This Row],[DATE]]-DATE(STAMP_Escapement_Data[[#This Row],[YEAR]],8,1)</f>
        <v>64</v>
      </c>
    </row>
    <row r="329" spans="1:9" x14ac:dyDescent="0.25">
      <c r="A329" s="1">
        <v>33516</v>
      </c>
      <c r="B329">
        <v>1005</v>
      </c>
      <c r="C329">
        <v>1991</v>
      </c>
      <c r="D329">
        <v>839</v>
      </c>
      <c r="E329">
        <v>138</v>
      </c>
      <c r="F329">
        <v>2785</v>
      </c>
      <c r="G329">
        <v>467</v>
      </c>
      <c r="H329">
        <f>SUMIFS($F$2:F329,$C$2:C329,C329)</f>
        <v>50761</v>
      </c>
      <c r="I329" s="8">
        <f>STAMP_Escapement_Data[[#This Row],[DATE]]-DATE(STAMP_Escapement_Data[[#This Row],[YEAR]],8,1)</f>
        <v>65</v>
      </c>
    </row>
    <row r="330" spans="1:9" x14ac:dyDescent="0.25">
      <c r="A330" s="1">
        <v>33517</v>
      </c>
      <c r="B330">
        <v>1006</v>
      </c>
      <c r="C330">
        <v>1991</v>
      </c>
      <c r="D330">
        <v>924</v>
      </c>
      <c r="E330">
        <v>165</v>
      </c>
      <c r="F330">
        <v>4883</v>
      </c>
      <c r="G330">
        <v>406</v>
      </c>
      <c r="H330">
        <f>SUMIFS($F$2:F330,$C$2:C330,C330)</f>
        <v>55644</v>
      </c>
      <c r="I330" s="8">
        <f>STAMP_Escapement_Data[[#This Row],[DATE]]-DATE(STAMP_Escapement_Data[[#This Row],[YEAR]],8,1)</f>
        <v>66</v>
      </c>
    </row>
    <row r="331" spans="1:9" x14ac:dyDescent="0.25">
      <c r="A331" s="1">
        <v>33518</v>
      </c>
      <c r="B331">
        <v>1007</v>
      </c>
      <c r="C331">
        <v>1991</v>
      </c>
      <c r="D331">
        <v>812</v>
      </c>
      <c r="E331">
        <v>101</v>
      </c>
      <c r="F331">
        <v>7187</v>
      </c>
      <c r="G331">
        <v>439</v>
      </c>
      <c r="H331">
        <f>SUMIFS($F$2:F331,$C$2:C331,C331)</f>
        <v>62831</v>
      </c>
      <c r="I331" s="8">
        <f>STAMP_Escapement_Data[[#This Row],[DATE]]-DATE(STAMP_Escapement_Data[[#This Row],[YEAR]],8,1)</f>
        <v>67</v>
      </c>
    </row>
    <row r="332" spans="1:9" x14ac:dyDescent="0.25">
      <c r="A332" s="1">
        <v>33519</v>
      </c>
      <c r="B332">
        <v>1008</v>
      </c>
      <c r="C332">
        <v>1991</v>
      </c>
      <c r="D332">
        <v>942</v>
      </c>
      <c r="E332">
        <v>97</v>
      </c>
      <c r="F332">
        <v>5775</v>
      </c>
      <c r="G332">
        <v>393</v>
      </c>
      <c r="H332">
        <f>SUMIFS($F$2:F332,$C$2:C332,C332)</f>
        <v>68606</v>
      </c>
      <c r="I332" s="8">
        <f>STAMP_Escapement_Data[[#This Row],[DATE]]-DATE(STAMP_Escapement_Data[[#This Row],[YEAR]],8,1)</f>
        <v>68</v>
      </c>
    </row>
    <row r="333" spans="1:9" x14ac:dyDescent="0.25">
      <c r="A333" s="1">
        <v>33520</v>
      </c>
      <c r="B333">
        <v>1009</v>
      </c>
      <c r="C333">
        <v>1991</v>
      </c>
      <c r="D333">
        <v>849</v>
      </c>
      <c r="E333">
        <v>135</v>
      </c>
      <c r="F333">
        <v>4274</v>
      </c>
      <c r="G333">
        <v>339</v>
      </c>
      <c r="H333">
        <f>SUMIFS($F$2:F333,$C$2:C333,C333)</f>
        <v>72880</v>
      </c>
      <c r="I333" s="8">
        <f>STAMP_Escapement_Data[[#This Row],[DATE]]-DATE(STAMP_Escapement_Data[[#This Row],[YEAR]],8,1)</f>
        <v>69</v>
      </c>
    </row>
    <row r="334" spans="1:9" x14ac:dyDescent="0.25">
      <c r="A334" s="1">
        <v>33521</v>
      </c>
      <c r="B334">
        <v>1010</v>
      </c>
      <c r="C334">
        <v>1991</v>
      </c>
      <c r="D334">
        <v>673</v>
      </c>
      <c r="E334">
        <v>137</v>
      </c>
      <c r="F334">
        <v>3359</v>
      </c>
      <c r="G334">
        <v>283</v>
      </c>
      <c r="H334">
        <f>SUMIFS($F$2:F334,$C$2:C334,C334)</f>
        <v>76239</v>
      </c>
      <c r="I334" s="8">
        <f>STAMP_Escapement_Data[[#This Row],[DATE]]-DATE(STAMP_Escapement_Data[[#This Row],[YEAR]],8,1)</f>
        <v>70</v>
      </c>
    </row>
    <row r="335" spans="1:9" x14ac:dyDescent="0.25">
      <c r="A335" s="1">
        <v>33522</v>
      </c>
      <c r="B335">
        <v>1011</v>
      </c>
      <c r="C335">
        <v>1991</v>
      </c>
      <c r="D335">
        <v>593</v>
      </c>
      <c r="E335">
        <v>157</v>
      </c>
      <c r="F335">
        <v>3230</v>
      </c>
      <c r="G335">
        <v>340</v>
      </c>
      <c r="H335">
        <f>SUMIFS($F$2:F335,$C$2:C335,C335)</f>
        <v>79469</v>
      </c>
      <c r="I335" s="8">
        <f>STAMP_Escapement_Data[[#This Row],[DATE]]-DATE(STAMP_Escapement_Data[[#This Row],[YEAR]],8,1)</f>
        <v>71</v>
      </c>
    </row>
    <row r="336" spans="1:9" x14ac:dyDescent="0.25">
      <c r="A336" s="1">
        <v>33523</v>
      </c>
      <c r="B336">
        <v>1012</v>
      </c>
      <c r="C336">
        <v>1991</v>
      </c>
      <c r="D336">
        <v>482</v>
      </c>
      <c r="E336">
        <v>120</v>
      </c>
      <c r="F336">
        <v>2726</v>
      </c>
      <c r="G336">
        <v>325</v>
      </c>
      <c r="H336">
        <f>SUMIFS($F$2:F336,$C$2:C336,C336)</f>
        <v>82195</v>
      </c>
      <c r="I336" s="8">
        <f>STAMP_Escapement_Data[[#This Row],[DATE]]-DATE(STAMP_Escapement_Data[[#This Row],[YEAR]],8,1)</f>
        <v>72</v>
      </c>
    </row>
    <row r="337" spans="1:9" x14ac:dyDescent="0.25">
      <c r="A337" s="1">
        <v>33524</v>
      </c>
      <c r="B337">
        <v>1013</v>
      </c>
      <c r="C337">
        <v>1991</v>
      </c>
      <c r="D337">
        <v>311</v>
      </c>
      <c r="E337">
        <v>73</v>
      </c>
      <c r="F337">
        <v>2934</v>
      </c>
      <c r="G337">
        <v>236</v>
      </c>
      <c r="H337">
        <f>SUMIFS($F$2:F337,$C$2:C337,C337)</f>
        <v>85129</v>
      </c>
      <c r="I337" s="8">
        <f>STAMP_Escapement_Data[[#This Row],[DATE]]-DATE(STAMP_Escapement_Data[[#This Row],[YEAR]],8,1)</f>
        <v>73</v>
      </c>
    </row>
    <row r="338" spans="1:9" x14ac:dyDescent="0.25">
      <c r="A338" s="1">
        <v>33525</v>
      </c>
      <c r="B338">
        <v>1014</v>
      </c>
      <c r="C338">
        <v>1991</v>
      </c>
      <c r="D338">
        <v>224</v>
      </c>
      <c r="E338">
        <v>66</v>
      </c>
      <c r="F338">
        <v>3023</v>
      </c>
      <c r="G338">
        <v>241</v>
      </c>
      <c r="H338">
        <f>SUMIFS($F$2:F338,$C$2:C338,C338)</f>
        <v>88152</v>
      </c>
      <c r="I338" s="8">
        <f>STAMP_Escapement_Data[[#This Row],[DATE]]-DATE(STAMP_Escapement_Data[[#This Row],[YEAR]],8,1)</f>
        <v>74</v>
      </c>
    </row>
    <row r="339" spans="1:9" x14ac:dyDescent="0.25">
      <c r="A339" s="1">
        <v>33526</v>
      </c>
      <c r="B339">
        <v>1015</v>
      </c>
      <c r="C339">
        <v>1991</v>
      </c>
      <c r="D339">
        <v>151</v>
      </c>
      <c r="E339">
        <v>76</v>
      </c>
      <c r="F339">
        <v>2377</v>
      </c>
      <c r="G339">
        <v>229</v>
      </c>
      <c r="H339">
        <f>SUMIFS($F$2:F339,$C$2:C339,C339)</f>
        <v>90529</v>
      </c>
      <c r="I339" s="8">
        <f>STAMP_Escapement_Data[[#This Row],[DATE]]-DATE(STAMP_Escapement_Data[[#This Row],[YEAR]],8,1)</f>
        <v>75</v>
      </c>
    </row>
    <row r="340" spans="1:9" x14ac:dyDescent="0.25">
      <c r="A340" s="1">
        <v>33527</v>
      </c>
      <c r="B340">
        <v>1016</v>
      </c>
      <c r="C340">
        <v>1991</v>
      </c>
      <c r="D340">
        <v>190</v>
      </c>
      <c r="E340">
        <v>63</v>
      </c>
      <c r="F340">
        <v>2477</v>
      </c>
      <c r="G340">
        <v>218</v>
      </c>
      <c r="H340">
        <f>SUMIFS($F$2:F340,$C$2:C340,C340)</f>
        <v>93006</v>
      </c>
      <c r="I340" s="8">
        <f>STAMP_Escapement_Data[[#This Row],[DATE]]-DATE(STAMP_Escapement_Data[[#This Row],[YEAR]],8,1)</f>
        <v>76</v>
      </c>
    </row>
    <row r="341" spans="1:9" x14ac:dyDescent="0.25">
      <c r="A341" s="1">
        <v>33528</v>
      </c>
      <c r="B341">
        <v>1017</v>
      </c>
      <c r="C341">
        <v>1991</v>
      </c>
      <c r="D341">
        <v>400</v>
      </c>
      <c r="E341">
        <v>64</v>
      </c>
      <c r="F341">
        <v>2995</v>
      </c>
      <c r="G341">
        <v>187</v>
      </c>
      <c r="H341">
        <f>SUMIFS($F$2:F341,$C$2:C341,C341)</f>
        <v>96001</v>
      </c>
      <c r="I341" s="8">
        <f>STAMP_Escapement_Data[[#This Row],[DATE]]-DATE(STAMP_Escapement_Data[[#This Row],[YEAR]],8,1)</f>
        <v>77</v>
      </c>
    </row>
    <row r="342" spans="1:9" x14ac:dyDescent="0.25">
      <c r="A342" s="1">
        <v>33529</v>
      </c>
      <c r="B342">
        <v>1018</v>
      </c>
      <c r="C342">
        <v>1991</v>
      </c>
      <c r="D342">
        <v>247</v>
      </c>
      <c r="E342">
        <v>42</v>
      </c>
      <c r="F342">
        <v>3564</v>
      </c>
      <c r="G342">
        <v>197</v>
      </c>
      <c r="H342">
        <f>SUMIFS($F$2:F342,$C$2:C342,C342)</f>
        <v>99565</v>
      </c>
      <c r="I342" s="8">
        <f>STAMP_Escapement_Data[[#This Row],[DATE]]-DATE(STAMP_Escapement_Data[[#This Row],[YEAR]],8,1)</f>
        <v>78</v>
      </c>
    </row>
    <row r="343" spans="1:9" x14ac:dyDescent="0.25">
      <c r="A343" s="1">
        <v>33530</v>
      </c>
      <c r="B343">
        <v>1019</v>
      </c>
      <c r="C343">
        <v>1991</v>
      </c>
      <c r="D343">
        <v>156</v>
      </c>
      <c r="E343">
        <v>41</v>
      </c>
      <c r="F343">
        <v>2940</v>
      </c>
      <c r="G343">
        <v>255</v>
      </c>
      <c r="H343">
        <f>SUMIFS($F$2:F343,$C$2:C343,C343)</f>
        <v>102505</v>
      </c>
      <c r="I343" s="8">
        <f>STAMP_Escapement_Data[[#This Row],[DATE]]-DATE(STAMP_Escapement_Data[[#This Row],[YEAR]],8,1)</f>
        <v>79</v>
      </c>
    </row>
    <row r="344" spans="1:9" x14ac:dyDescent="0.25">
      <c r="A344" s="1">
        <v>33531</v>
      </c>
      <c r="B344">
        <v>1020</v>
      </c>
      <c r="C344">
        <v>1991</v>
      </c>
      <c r="D344">
        <v>176</v>
      </c>
      <c r="E344">
        <v>37</v>
      </c>
      <c r="F344">
        <v>2094</v>
      </c>
      <c r="G344">
        <v>203</v>
      </c>
      <c r="H344">
        <f>SUMIFS($F$2:F344,$C$2:C344,C344)</f>
        <v>104599</v>
      </c>
      <c r="I344" s="8">
        <f>STAMP_Escapement_Data[[#This Row],[DATE]]-DATE(STAMP_Escapement_Data[[#This Row],[YEAR]],8,1)</f>
        <v>80</v>
      </c>
    </row>
    <row r="345" spans="1:9" x14ac:dyDescent="0.25">
      <c r="A345" s="1">
        <v>33532</v>
      </c>
      <c r="B345">
        <v>1021</v>
      </c>
      <c r="C345">
        <v>1991</v>
      </c>
      <c r="D345">
        <v>157</v>
      </c>
      <c r="E345">
        <v>32</v>
      </c>
      <c r="F345">
        <v>1726</v>
      </c>
      <c r="G345">
        <v>219</v>
      </c>
      <c r="H345">
        <f>SUMIFS($F$2:F345,$C$2:C345,C345)</f>
        <v>106325</v>
      </c>
      <c r="I345" s="8">
        <f>STAMP_Escapement_Data[[#This Row],[DATE]]-DATE(STAMP_Escapement_Data[[#This Row],[YEAR]],8,1)</f>
        <v>81</v>
      </c>
    </row>
    <row r="346" spans="1:9" x14ac:dyDescent="0.25">
      <c r="A346" s="1">
        <v>33533</v>
      </c>
      <c r="B346">
        <v>1022</v>
      </c>
      <c r="C346">
        <v>1991</v>
      </c>
      <c r="D346">
        <v>99</v>
      </c>
      <c r="E346">
        <v>16</v>
      </c>
      <c r="F346">
        <v>1405</v>
      </c>
      <c r="G346">
        <v>123</v>
      </c>
      <c r="H346">
        <f>SUMIFS($F$2:F346,$C$2:C346,C346)</f>
        <v>107730</v>
      </c>
      <c r="I346" s="8">
        <f>STAMP_Escapement_Data[[#This Row],[DATE]]-DATE(STAMP_Escapement_Data[[#This Row],[YEAR]],8,1)</f>
        <v>82</v>
      </c>
    </row>
    <row r="347" spans="1:9" x14ac:dyDescent="0.25">
      <c r="A347" s="1">
        <v>33534</v>
      </c>
      <c r="B347">
        <v>1023</v>
      </c>
      <c r="C347">
        <v>1991</v>
      </c>
      <c r="D347">
        <v>126</v>
      </c>
      <c r="E347">
        <v>20</v>
      </c>
      <c r="F347">
        <v>1445</v>
      </c>
      <c r="G347">
        <v>124</v>
      </c>
      <c r="H347">
        <f>SUMIFS($F$2:F347,$C$2:C347,C347)</f>
        <v>109175</v>
      </c>
      <c r="I347" s="8">
        <f>STAMP_Escapement_Data[[#This Row],[DATE]]-DATE(STAMP_Escapement_Data[[#This Row],[YEAR]],8,1)</f>
        <v>83</v>
      </c>
    </row>
    <row r="348" spans="1:9" x14ac:dyDescent="0.25">
      <c r="A348" s="1">
        <v>33535</v>
      </c>
      <c r="B348">
        <v>1024</v>
      </c>
      <c r="C348">
        <v>1991</v>
      </c>
      <c r="D348">
        <v>75</v>
      </c>
      <c r="E348">
        <v>22</v>
      </c>
      <c r="F348">
        <v>1038</v>
      </c>
      <c r="G348">
        <v>97</v>
      </c>
      <c r="H348">
        <f>SUMIFS($F$2:F348,$C$2:C348,C348)</f>
        <v>110213</v>
      </c>
      <c r="I348" s="8">
        <f>STAMP_Escapement_Data[[#This Row],[DATE]]-DATE(STAMP_Escapement_Data[[#This Row],[YEAR]],8,1)</f>
        <v>84</v>
      </c>
    </row>
    <row r="349" spans="1:9" x14ac:dyDescent="0.25">
      <c r="A349" s="1">
        <v>33536</v>
      </c>
      <c r="B349">
        <v>1025</v>
      </c>
      <c r="C349">
        <v>1991</v>
      </c>
      <c r="D349">
        <v>93</v>
      </c>
      <c r="E349">
        <v>14</v>
      </c>
      <c r="F349">
        <v>771</v>
      </c>
      <c r="G349">
        <v>63</v>
      </c>
      <c r="H349">
        <f>SUMIFS($F$2:F349,$C$2:C349,C349)</f>
        <v>110984</v>
      </c>
      <c r="I349" s="8">
        <f>STAMP_Escapement_Data[[#This Row],[DATE]]-DATE(STAMP_Escapement_Data[[#This Row],[YEAR]],8,1)</f>
        <v>85</v>
      </c>
    </row>
    <row r="350" spans="1:9" x14ac:dyDescent="0.25">
      <c r="A350" s="1">
        <v>33537</v>
      </c>
      <c r="B350">
        <v>1026</v>
      </c>
      <c r="C350">
        <v>1991</v>
      </c>
      <c r="D350">
        <v>60</v>
      </c>
      <c r="E350">
        <v>10</v>
      </c>
      <c r="F350">
        <v>538</v>
      </c>
      <c r="G350">
        <v>47</v>
      </c>
      <c r="H350">
        <f>SUMIFS($F$2:F350,$C$2:C350,C350)</f>
        <v>111522</v>
      </c>
      <c r="I350" s="8">
        <f>STAMP_Escapement_Data[[#This Row],[DATE]]-DATE(STAMP_Escapement_Data[[#This Row],[YEAR]],8,1)</f>
        <v>86</v>
      </c>
    </row>
    <row r="351" spans="1:9" x14ac:dyDescent="0.25">
      <c r="A351" s="1">
        <v>33538</v>
      </c>
      <c r="B351">
        <v>1027</v>
      </c>
      <c r="C351">
        <v>1991</v>
      </c>
      <c r="D351">
        <v>46</v>
      </c>
      <c r="E351">
        <v>10</v>
      </c>
      <c r="F351">
        <v>373</v>
      </c>
      <c r="G351">
        <v>44</v>
      </c>
      <c r="H351">
        <f>SUMIFS($F$2:F351,$C$2:C351,C351)</f>
        <v>111895</v>
      </c>
      <c r="I351" s="8">
        <f>STAMP_Escapement_Data[[#This Row],[DATE]]-DATE(STAMP_Escapement_Data[[#This Row],[YEAR]],8,1)</f>
        <v>87</v>
      </c>
    </row>
    <row r="352" spans="1:9" x14ac:dyDescent="0.25">
      <c r="A352" s="1">
        <v>33539</v>
      </c>
      <c r="B352">
        <v>1028</v>
      </c>
      <c r="C352">
        <v>1991</v>
      </c>
      <c r="D352">
        <v>32</v>
      </c>
      <c r="E352">
        <v>5</v>
      </c>
      <c r="F352">
        <v>325</v>
      </c>
      <c r="G352">
        <v>11</v>
      </c>
      <c r="H352">
        <f>SUMIFS($F$2:F352,$C$2:C352,C352)</f>
        <v>112220</v>
      </c>
      <c r="I352" s="8">
        <f>STAMP_Escapement_Data[[#This Row],[DATE]]-DATE(STAMP_Escapement_Data[[#This Row],[YEAR]],8,1)</f>
        <v>88</v>
      </c>
    </row>
    <row r="353" spans="1:9" x14ac:dyDescent="0.25">
      <c r="A353" s="1">
        <v>33540</v>
      </c>
      <c r="B353">
        <v>1029</v>
      </c>
      <c r="C353">
        <v>1991</v>
      </c>
      <c r="D353">
        <v>18</v>
      </c>
      <c r="E353">
        <v>6</v>
      </c>
      <c r="F353">
        <v>242</v>
      </c>
      <c r="G353">
        <v>12</v>
      </c>
      <c r="H353">
        <f>SUMIFS($F$2:F353,$C$2:C353,C353)</f>
        <v>112462</v>
      </c>
      <c r="I353" s="8">
        <f>STAMP_Escapement_Data[[#This Row],[DATE]]-DATE(STAMP_Escapement_Data[[#This Row],[YEAR]],8,1)</f>
        <v>89</v>
      </c>
    </row>
    <row r="354" spans="1:9" x14ac:dyDescent="0.25">
      <c r="A354" s="1">
        <v>33541</v>
      </c>
      <c r="B354">
        <v>1030</v>
      </c>
      <c r="C354">
        <v>1991</v>
      </c>
      <c r="D354">
        <v>22</v>
      </c>
      <c r="E354">
        <v>4</v>
      </c>
      <c r="F354">
        <v>205</v>
      </c>
      <c r="G354">
        <v>28</v>
      </c>
      <c r="H354">
        <f>SUMIFS($F$2:F354,$C$2:C354,C354)</f>
        <v>112667</v>
      </c>
      <c r="I354" s="8">
        <f>STAMP_Escapement_Data[[#This Row],[DATE]]-DATE(STAMP_Escapement_Data[[#This Row],[YEAR]],8,1)</f>
        <v>90</v>
      </c>
    </row>
    <row r="355" spans="1:9" x14ac:dyDescent="0.25">
      <c r="A355" s="1">
        <v>33542</v>
      </c>
      <c r="B355">
        <v>1031</v>
      </c>
      <c r="C355">
        <v>1991</v>
      </c>
      <c r="D355">
        <v>29</v>
      </c>
      <c r="E355">
        <v>3</v>
      </c>
      <c r="F355">
        <v>189</v>
      </c>
      <c r="G355">
        <v>30</v>
      </c>
      <c r="H355">
        <f>SUMIFS($F$2:F355,$C$2:C355,C355)</f>
        <v>112856</v>
      </c>
      <c r="I355" s="8">
        <f>STAMP_Escapement_Data[[#This Row],[DATE]]-DATE(STAMP_Escapement_Data[[#This Row],[YEAR]],8,1)</f>
        <v>91</v>
      </c>
    </row>
    <row r="356" spans="1:9" x14ac:dyDescent="0.25">
      <c r="A356" s="1">
        <v>33543</v>
      </c>
      <c r="B356">
        <v>1101</v>
      </c>
      <c r="C356">
        <v>1991</v>
      </c>
      <c r="D356">
        <v>35</v>
      </c>
      <c r="E356">
        <v>8</v>
      </c>
      <c r="F356">
        <v>304</v>
      </c>
      <c r="G356">
        <v>38</v>
      </c>
      <c r="H356">
        <f>SUMIFS($F$2:F356,$C$2:C356,C356)</f>
        <v>113160</v>
      </c>
      <c r="I356" s="8">
        <f>STAMP_Escapement_Data[[#This Row],[DATE]]-DATE(STAMP_Escapement_Data[[#This Row],[YEAR]],8,1)</f>
        <v>92</v>
      </c>
    </row>
    <row r="357" spans="1:9" x14ac:dyDescent="0.25">
      <c r="A357" s="1">
        <v>33544</v>
      </c>
      <c r="B357">
        <v>1102</v>
      </c>
      <c r="C357">
        <v>1991</v>
      </c>
      <c r="D357">
        <v>27</v>
      </c>
      <c r="E357">
        <v>6</v>
      </c>
      <c r="F357">
        <v>199</v>
      </c>
      <c r="G357">
        <v>31</v>
      </c>
      <c r="H357">
        <f>SUMIFS($F$2:F357,$C$2:C357,C357)</f>
        <v>113359</v>
      </c>
      <c r="I357" s="8">
        <f>STAMP_Escapement_Data[[#This Row],[DATE]]-DATE(STAMP_Escapement_Data[[#This Row],[YEAR]],8,1)</f>
        <v>93</v>
      </c>
    </row>
    <row r="358" spans="1:9" x14ac:dyDescent="0.25">
      <c r="A358" s="1">
        <v>33545</v>
      </c>
      <c r="B358">
        <v>1103</v>
      </c>
      <c r="C358">
        <v>1991</v>
      </c>
      <c r="D358">
        <v>6</v>
      </c>
      <c r="E358">
        <v>2</v>
      </c>
      <c r="F358">
        <v>71</v>
      </c>
      <c r="G358">
        <v>14</v>
      </c>
      <c r="H358">
        <f>SUMIFS($F$2:F358,$C$2:C358,C358)</f>
        <v>113430</v>
      </c>
      <c r="I358" s="8">
        <f>STAMP_Escapement_Data[[#This Row],[DATE]]-DATE(STAMP_Escapement_Data[[#This Row],[YEAR]],8,1)</f>
        <v>94</v>
      </c>
    </row>
    <row r="359" spans="1:9" x14ac:dyDescent="0.25">
      <c r="A359" s="1">
        <v>33546</v>
      </c>
      <c r="B359">
        <v>1104</v>
      </c>
      <c r="C359">
        <v>1991</v>
      </c>
      <c r="D359">
        <v>31</v>
      </c>
      <c r="E359">
        <v>6</v>
      </c>
      <c r="F359">
        <v>257</v>
      </c>
      <c r="G359">
        <v>36</v>
      </c>
      <c r="H359">
        <f>SUMIFS($F$2:F359,$C$2:C359,C359)</f>
        <v>113687</v>
      </c>
      <c r="I359" s="8">
        <f>STAMP_Escapement_Data[[#This Row],[DATE]]-DATE(STAMP_Escapement_Data[[#This Row],[YEAR]],8,1)</f>
        <v>95</v>
      </c>
    </row>
    <row r="360" spans="1:9" x14ac:dyDescent="0.25">
      <c r="A360" s="1">
        <v>33547</v>
      </c>
      <c r="B360">
        <v>1105</v>
      </c>
      <c r="C360">
        <v>1991</v>
      </c>
      <c r="D360">
        <v>74</v>
      </c>
      <c r="E360">
        <v>9</v>
      </c>
      <c r="F360">
        <v>206</v>
      </c>
      <c r="G360">
        <v>30</v>
      </c>
      <c r="H360">
        <f>SUMIFS($F$2:F360,$C$2:C360,C360)</f>
        <v>113893</v>
      </c>
      <c r="I360" s="8">
        <f>STAMP_Escapement_Data[[#This Row],[DATE]]-DATE(STAMP_Escapement_Data[[#This Row],[YEAR]],8,1)</f>
        <v>96</v>
      </c>
    </row>
    <row r="361" spans="1:9" x14ac:dyDescent="0.25">
      <c r="A361" s="1">
        <v>33548</v>
      </c>
      <c r="B361">
        <v>1106</v>
      </c>
      <c r="C361">
        <v>1991</v>
      </c>
      <c r="D361">
        <v>74</v>
      </c>
      <c r="E361">
        <v>8</v>
      </c>
      <c r="F361">
        <v>89</v>
      </c>
      <c r="G361">
        <v>19</v>
      </c>
      <c r="H361">
        <f>SUMIFS($F$2:F361,$C$2:C361,C361)</f>
        <v>113982</v>
      </c>
      <c r="I361" s="8">
        <f>STAMP_Escapement_Data[[#This Row],[DATE]]-DATE(STAMP_Escapement_Data[[#This Row],[YEAR]],8,1)</f>
        <v>97</v>
      </c>
    </row>
    <row r="362" spans="1:9" x14ac:dyDescent="0.25">
      <c r="A362" s="1">
        <v>33549</v>
      </c>
      <c r="B362">
        <v>1107</v>
      </c>
      <c r="C362">
        <v>1991</v>
      </c>
      <c r="D362">
        <v>20</v>
      </c>
      <c r="E362">
        <v>8</v>
      </c>
      <c r="F362">
        <v>61</v>
      </c>
      <c r="G362">
        <v>5</v>
      </c>
      <c r="H362">
        <f>SUMIFS($F$2:F362,$C$2:C362,C362)</f>
        <v>114043</v>
      </c>
      <c r="I362" s="8">
        <f>STAMP_Escapement_Data[[#This Row],[DATE]]-DATE(STAMP_Escapement_Data[[#This Row],[YEAR]],8,1)</f>
        <v>98</v>
      </c>
    </row>
    <row r="363" spans="1:9" x14ac:dyDescent="0.25">
      <c r="A363" s="1">
        <v>33550</v>
      </c>
      <c r="B363">
        <v>1108</v>
      </c>
      <c r="C363">
        <v>1991</v>
      </c>
      <c r="D363">
        <v>191</v>
      </c>
      <c r="E363">
        <v>26</v>
      </c>
      <c r="F363">
        <v>243</v>
      </c>
      <c r="G363">
        <v>64</v>
      </c>
      <c r="H363">
        <f>SUMIFS($F$2:F363,$C$2:C363,C363)</f>
        <v>114286</v>
      </c>
      <c r="I363" s="8">
        <f>STAMP_Escapement_Data[[#This Row],[DATE]]-DATE(STAMP_Escapement_Data[[#This Row],[YEAR]],8,1)</f>
        <v>99</v>
      </c>
    </row>
    <row r="364" spans="1:9" x14ac:dyDescent="0.25">
      <c r="A364" s="1">
        <v>33551</v>
      </c>
      <c r="B364">
        <v>1109</v>
      </c>
      <c r="C364">
        <v>1991</v>
      </c>
      <c r="D364">
        <v>183</v>
      </c>
      <c r="E364">
        <v>27</v>
      </c>
      <c r="F364">
        <v>100</v>
      </c>
      <c r="G364">
        <v>29</v>
      </c>
      <c r="H364">
        <f>SUMIFS($F$2:F364,$C$2:C364,C364)</f>
        <v>114386</v>
      </c>
      <c r="I364" s="8">
        <f>STAMP_Escapement_Data[[#This Row],[DATE]]-DATE(STAMP_Escapement_Data[[#This Row],[YEAR]],8,1)</f>
        <v>100</v>
      </c>
    </row>
    <row r="365" spans="1:9" x14ac:dyDescent="0.25">
      <c r="A365" s="1">
        <v>33552</v>
      </c>
      <c r="B365">
        <v>1110</v>
      </c>
      <c r="C365">
        <v>1991</v>
      </c>
      <c r="D365">
        <v>69</v>
      </c>
      <c r="E365">
        <v>9</v>
      </c>
      <c r="F365">
        <v>28</v>
      </c>
      <c r="G365">
        <v>10</v>
      </c>
      <c r="H365">
        <f>SUMIFS($F$2:F365,$C$2:C365,C365)</f>
        <v>114414</v>
      </c>
      <c r="I365" s="8">
        <f>STAMP_Escapement_Data[[#This Row],[DATE]]-DATE(STAMP_Escapement_Data[[#This Row],[YEAR]],8,1)</f>
        <v>101</v>
      </c>
    </row>
    <row r="366" spans="1:9" x14ac:dyDescent="0.25">
      <c r="A366" s="1">
        <v>33849</v>
      </c>
      <c r="B366">
        <v>902</v>
      </c>
      <c r="C366">
        <v>1992</v>
      </c>
      <c r="D366">
        <v>23</v>
      </c>
      <c r="E366">
        <v>9</v>
      </c>
      <c r="F366">
        <v>0</v>
      </c>
      <c r="G366">
        <v>0</v>
      </c>
      <c r="H366">
        <f>SUMIFS($F$2:F366,$C$2:C366,C366)</f>
        <v>0</v>
      </c>
      <c r="I366" s="8">
        <f>STAMP_Escapement_Data[[#This Row],[DATE]]-DATE(STAMP_Escapement_Data[[#This Row],[YEAR]],8,1)</f>
        <v>32</v>
      </c>
    </row>
    <row r="367" spans="1:9" x14ac:dyDescent="0.25">
      <c r="A367" s="1">
        <v>33850</v>
      </c>
      <c r="B367">
        <v>903</v>
      </c>
      <c r="C367">
        <v>1992</v>
      </c>
      <c r="D367">
        <v>1197</v>
      </c>
      <c r="E367">
        <v>136</v>
      </c>
      <c r="F367">
        <v>1594</v>
      </c>
      <c r="G367">
        <v>45</v>
      </c>
      <c r="H367">
        <f>SUMIFS($F$2:F367,$C$2:C367,C367)</f>
        <v>1594</v>
      </c>
      <c r="I367" s="8">
        <f>STAMP_Escapement_Data[[#This Row],[DATE]]-DATE(STAMP_Escapement_Data[[#This Row],[YEAR]],8,1)</f>
        <v>33</v>
      </c>
    </row>
    <row r="368" spans="1:9" x14ac:dyDescent="0.25">
      <c r="A368" s="1">
        <v>33851</v>
      </c>
      <c r="B368">
        <v>904</v>
      </c>
      <c r="C368">
        <v>1992</v>
      </c>
      <c r="D368">
        <v>380</v>
      </c>
      <c r="E368">
        <v>68</v>
      </c>
      <c r="F368">
        <v>72</v>
      </c>
      <c r="G368">
        <v>18</v>
      </c>
      <c r="H368">
        <f>SUMIFS($F$2:F368,$C$2:C368,C368)</f>
        <v>1666</v>
      </c>
      <c r="I368" s="8">
        <f>STAMP_Escapement_Data[[#This Row],[DATE]]-DATE(STAMP_Escapement_Data[[#This Row],[YEAR]],8,1)</f>
        <v>34</v>
      </c>
    </row>
    <row r="369" spans="1:9" x14ac:dyDescent="0.25">
      <c r="A369" s="1">
        <v>33852</v>
      </c>
      <c r="B369">
        <v>905</v>
      </c>
      <c r="C369">
        <v>1992</v>
      </c>
      <c r="D369">
        <v>299</v>
      </c>
      <c r="E369">
        <v>53</v>
      </c>
      <c r="F369">
        <v>260</v>
      </c>
      <c r="G369">
        <v>20</v>
      </c>
      <c r="H369">
        <f>SUMIFS($F$2:F369,$C$2:C369,C369)</f>
        <v>1926</v>
      </c>
      <c r="I369" s="8">
        <f>STAMP_Escapement_Data[[#This Row],[DATE]]-DATE(STAMP_Escapement_Data[[#This Row],[YEAR]],8,1)</f>
        <v>35</v>
      </c>
    </row>
    <row r="370" spans="1:9" x14ac:dyDescent="0.25">
      <c r="A370" s="1">
        <v>33853</v>
      </c>
      <c r="B370">
        <v>906</v>
      </c>
      <c r="C370">
        <v>1992</v>
      </c>
      <c r="D370">
        <v>376</v>
      </c>
      <c r="E370">
        <v>49</v>
      </c>
      <c r="F370">
        <v>163</v>
      </c>
      <c r="G370">
        <v>17</v>
      </c>
      <c r="H370">
        <f>SUMIFS($F$2:F370,$C$2:C370,C370)</f>
        <v>2089</v>
      </c>
      <c r="I370" s="8">
        <f>STAMP_Escapement_Data[[#This Row],[DATE]]-DATE(STAMP_Escapement_Data[[#This Row],[YEAR]],8,1)</f>
        <v>36</v>
      </c>
    </row>
    <row r="371" spans="1:9" x14ac:dyDescent="0.25">
      <c r="A371" s="1">
        <v>33854</v>
      </c>
      <c r="B371">
        <v>907</v>
      </c>
      <c r="C371">
        <v>1992</v>
      </c>
      <c r="D371">
        <v>720</v>
      </c>
      <c r="E371">
        <v>80</v>
      </c>
      <c r="F371">
        <v>468</v>
      </c>
      <c r="G371">
        <v>41</v>
      </c>
      <c r="H371">
        <f>SUMIFS($F$2:F371,$C$2:C371,C371)</f>
        <v>2557</v>
      </c>
      <c r="I371" s="8">
        <f>STAMP_Escapement_Data[[#This Row],[DATE]]-DATE(STAMP_Escapement_Data[[#This Row],[YEAR]],8,1)</f>
        <v>37</v>
      </c>
    </row>
    <row r="372" spans="1:9" x14ac:dyDescent="0.25">
      <c r="A372" s="1">
        <v>33855</v>
      </c>
      <c r="B372">
        <v>908</v>
      </c>
      <c r="C372">
        <v>1992</v>
      </c>
      <c r="D372">
        <v>642</v>
      </c>
      <c r="E372">
        <v>124</v>
      </c>
      <c r="F372">
        <v>397</v>
      </c>
      <c r="G372">
        <v>31</v>
      </c>
      <c r="H372">
        <f>SUMIFS($F$2:F372,$C$2:C372,C372)</f>
        <v>2954</v>
      </c>
      <c r="I372" s="8">
        <f>STAMP_Escapement_Data[[#This Row],[DATE]]-DATE(STAMP_Escapement_Data[[#This Row],[YEAR]],8,1)</f>
        <v>38</v>
      </c>
    </row>
    <row r="373" spans="1:9" x14ac:dyDescent="0.25">
      <c r="A373" s="1">
        <v>33856</v>
      </c>
      <c r="B373">
        <v>909</v>
      </c>
      <c r="C373">
        <v>1992</v>
      </c>
      <c r="D373">
        <v>909</v>
      </c>
      <c r="E373">
        <v>131</v>
      </c>
      <c r="F373">
        <v>1858</v>
      </c>
      <c r="G373">
        <v>233</v>
      </c>
      <c r="H373">
        <f>SUMIFS($F$2:F373,$C$2:C373,C373)</f>
        <v>4812</v>
      </c>
      <c r="I373" s="8">
        <f>STAMP_Escapement_Data[[#This Row],[DATE]]-DATE(STAMP_Escapement_Data[[#This Row],[YEAR]],8,1)</f>
        <v>39</v>
      </c>
    </row>
    <row r="374" spans="1:9" x14ac:dyDescent="0.25">
      <c r="A374" s="1">
        <v>33857</v>
      </c>
      <c r="B374">
        <v>910</v>
      </c>
      <c r="C374">
        <v>1992</v>
      </c>
      <c r="D374">
        <v>1185</v>
      </c>
      <c r="E374">
        <v>227</v>
      </c>
      <c r="F374">
        <v>433</v>
      </c>
      <c r="G374">
        <v>176</v>
      </c>
      <c r="H374">
        <f>SUMIFS($F$2:F374,$C$2:C374,C374)</f>
        <v>5245</v>
      </c>
      <c r="I374" s="8">
        <f>STAMP_Escapement_Data[[#This Row],[DATE]]-DATE(STAMP_Escapement_Data[[#This Row],[YEAR]],8,1)</f>
        <v>40</v>
      </c>
    </row>
    <row r="375" spans="1:9" x14ac:dyDescent="0.25">
      <c r="A375" s="1">
        <v>33858</v>
      </c>
      <c r="B375">
        <v>911</v>
      </c>
      <c r="C375">
        <v>1992</v>
      </c>
      <c r="D375">
        <v>1299</v>
      </c>
      <c r="E375">
        <v>259</v>
      </c>
      <c r="F375">
        <v>621</v>
      </c>
      <c r="G375">
        <v>90</v>
      </c>
      <c r="H375">
        <f>SUMIFS($F$2:F375,$C$2:C375,C375)</f>
        <v>5866</v>
      </c>
      <c r="I375" s="8">
        <f>STAMP_Escapement_Data[[#This Row],[DATE]]-DATE(STAMP_Escapement_Data[[#This Row],[YEAR]],8,1)</f>
        <v>41</v>
      </c>
    </row>
    <row r="376" spans="1:9" x14ac:dyDescent="0.25">
      <c r="A376" s="1">
        <v>33859</v>
      </c>
      <c r="B376">
        <v>912</v>
      </c>
      <c r="C376">
        <v>1992</v>
      </c>
      <c r="D376">
        <v>905</v>
      </c>
      <c r="E376">
        <v>200</v>
      </c>
      <c r="F376">
        <v>289</v>
      </c>
      <c r="G376">
        <v>32</v>
      </c>
      <c r="H376">
        <f>SUMIFS($F$2:F376,$C$2:C376,C376)</f>
        <v>6155</v>
      </c>
      <c r="I376" s="8">
        <f>STAMP_Escapement_Data[[#This Row],[DATE]]-DATE(STAMP_Escapement_Data[[#This Row],[YEAR]],8,1)</f>
        <v>42</v>
      </c>
    </row>
    <row r="377" spans="1:9" x14ac:dyDescent="0.25">
      <c r="A377" s="1">
        <v>33860</v>
      </c>
      <c r="B377">
        <v>913</v>
      </c>
      <c r="C377">
        <v>1992</v>
      </c>
      <c r="D377">
        <v>1134</v>
      </c>
      <c r="E377">
        <v>195</v>
      </c>
      <c r="F377">
        <v>1368</v>
      </c>
      <c r="G377">
        <v>55</v>
      </c>
      <c r="H377">
        <f>SUMIFS($F$2:F377,$C$2:C377,C377)</f>
        <v>7523</v>
      </c>
      <c r="I377" s="8">
        <f>STAMP_Escapement_Data[[#This Row],[DATE]]-DATE(STAMP_Escapement_Data[[#This Row],[YEAR]],8,1)</f>
        <v>43</v>
      </c>
    </row>
    <row r="378" spans="1:9" x14ac:dyDescent="0.25">
      <c r="A378" s="1">
        <v>33861</v>
      </c>
      <c r="B378">
        <v>914</v>
      </c>
      <c r="C378">
        <v>1992</v>
      </c>
      <c r="D378">
        <v>1123</v>
      </c>
      <c r="E378">
        <v>172</v>
      </c>
      <c r="F378">
        <v>2279</v>
      </c>
      <c r="G378">
        <v>45</v>
      </c>
      <c r="H378">
        <f>SUMIFS($F$2:F378,$C$2:C378,C378)</f>
        <v>9802</v>
      </c>
      <c r="I378" s="8">
        <f>STAMP_Escapement_Data[[#This Row],[DATE]]-DATE(STAMP_Escapement_Data[[#This Row],[YEAR]],8,1)</f>
        <v>44</v>
      </c>
    </row>
    <row r="379" spans="1:9" x14ac:dyDescent="0.25">
      <c r="A379" s="1">
        <v>33862</v>
      </c>
      <c r="B379">
        <v>915</v>
      </c>
      <c r="C379">
        <v>1992</v>
      </c>
      <c r="D379">
        <v>1740</v>
      </c>
      <c r="E379">
        <v>254</v>
      </c>
      <c r="F379">
        <v>2500</v>
      </c>
      <c r="G379">
        <v>22</v>
      </c>
      <c r="H379">
        <f>SUMIFS($F$2:F379,$C$2:C379,C379)</f>
        <v>12302</v>
      </c>
      <c r="I379" s="8">
        <f>STAMP_Escapement_Data[[#This Row],[DATE]]-DATE(STAMP_Escapement_Data[[#This Row],[YEAR]],8,1)</f>
        <v>45</v>
      </c>
    </row>
    <row r="380" spans="1:9" x14ac:dyDescent="0.25">
      <c r="A380" s="1">
        <v>33863</v>
      </c>
      <c r="B380">
        <v>916</v>
      </c>
      <c r="C380">
        <v>1992</v>
      </c>
      <c r="D380">
        <v>1553</v>
      </c>
      <c r="E380">
        <v>200</v>
      </c>
      <c r="F380">
        <v>3762</v>
      </c>
      <c r="G380">
        <v>29</v>
      </c>
      <c r="H380">
        <f>SUMIFS($F$2:F380,$C$2:C380,C380)</f>
        <v>16064</v>
      </c>
      <c r="I380" s="8">
        <f>STAMP_Escapement_Data[[#This Row],[DATE]]-DATE(STAMP_Escapement_Data[[#This Row],[YEAR]],8,1)</f>
        <v>46</v>
      </c>
    </row>
    <row r="381" spans="1:9" x14ac:dyDescent="0.25">
      <c r="A381" s="1">
        <v>33864</v>
      </c>
      <c r="B381">
        <v>917</v>
      </c>
      <c r="C381">
        <v>1992</v>
      </c>
      <c r="D381">
        <v>2799</v>
      </c>
      <c r="E381">
        <v>137</v>
      </c>
      <c r="F381">
        <v>2061</v>
      </c>
      <c r="G381">
        <v>188</v>
      </c>
      <c r="H381">
        <f>SUMIFS($F$2:F381,$C$2:C381,C381)</f>
        <v>18125</v>
      </c>
      <c r="I381" s="8">
        <f>STAMP_Escapement_Data[[#This Row],[DATE]]-DATE(STAMP_Escapement_Data[[#This Row],[YEAR]],8,1)</f>
        <v>47</v>
      </c>
    </row>
    <row r="382" spans="1:9" x14ac:dyDescent="0.25">
      <c r="A382" s="1">
        <v>33865</v>
      </c>
      <c r="B382">
        <v>918</v>
      </c>
      <c r="C382">
        <v>1992</v>
      </c>
      <c r="D382">
        <v>2332</v>
      </c>
      <c r="E382">
        <v>133</v>
      </c>
      <c r="F382">
        <v>3621</v>
      </c>
      <c r="G382">
        <v>181</v>
      </c>
      <c r="H382">
        <f>SUMIFS($F$2:F382,$C$2:C382,C382)</f>
        <v>21746</v>
      </c>
      <c r="I382" s="8">
        <f>STAMP_Escapement_Data[[#This Row],[DATE]]-DATE(STAMP_Escapement_Data[[#This Row],[YEAR]],8,1)</f>
        <v>48</v>
      </c>
    </row>
    <row r="383" spans="1:9" x14ac:dyDescent="0.25">
      <c r="A383" s="1">
        <v>33866</v>
      </c>
      <c r="B383">
        <v>919</v>
      </c>
      <c r="C383">
        <v>1992</v>
      </c>
      <c r="D383">
        <v>2598</v>
      </c>
      <c r="E383">
        <v>175</v>
      </c>
      <c r="F383">
        <v>2219</v>
      </c>
      <c r="G383">
        <v>157</v>
      </c>
      <c r="H383">
        <f>SUMIFS($F$2:F383,$C$2:C383,C383)</f>
        <v>23965</v>
      </c>
      <c r="I383" s="8">
        <f>STAMP_Escapement_Data[[#This Row],[DATE]]-DATE(STAMP_Escapement_Data[[#This Row],[YEAR]],8,1)</f>
        <v>49</v>
      </c>
    </row>
    <row r="384" spans="1:9" x14ac:dyDescent="0.25">
      <c r="A384" s="1">
        <v>33867</v>
      </c>
      <c r="B384">
        <v>920</v>
      </c>
      <c r="C384">
        <v>1992</v>
      </c>
      <c r="D384">
        <v>1921</v>
      </c>
      <c r="E384">
        <v>144</v>
      </c>
      <c r="F384">
        <v>1456</v>
      </c>
      <c r="G384">
        <v>69</v>
      </c>
      <c r="H384">
        <f>SUMIFS($F$2:F384,$C$2:C384,C384)</f>
        <v>25421</v>
      </c>
      <c r="I384" s="8">
        <f>STAMP_Escapement_Data[[#This Row],[DATE]]-DATE(STAMP_Escapement_Data[[#This Row],[YEAR]],8,1)</f>
        <v>50</v>
      </c>
    </row>
    <row r="385" spans="1:9" x14ac:dyDescent="0.25">
      <c r="A385" s="1">
        <v>33868</v>
      </c>
      <c r="B385">
        <v>921</v>
      </c>
      <c r="C385">
        <v>1992</v>
      </c>
      <c r="D385">
        <v>1570</v>
      </c>
      <c r="E385">
        <v>109</v>
      </c>
      <c r="F385">
        <v>1706</v>
      </c>
      <c r="G385">
        <v>148</v>
      </c>
      <c r="H385">
        <f>SUMIFS($F$2:F385,$C$2:C385,C385)</f>
        <v>27127</v>
      </c>
      <c r="I385" s="8">
        <f>STAMP_Escapement_Data[[#This Row],[DATE]]-DATE(STAMP_Escapement_Data[[#This Row],[YEAR]],8,1)</f>
        <v>51</v>
      </c>
    </row>
    <row r="386" spans="1:9" x14ac:dyDescent="0.25">
      <c r="A386" s="1">
        <v>33869</v>
      </c>
      <c r="B386">
        <v>922</v>
      </c>
      <c r="C386">
        <v>1992</v>
      </c>
      <c r="D386">
        <v>1223</v>
      </c>
      <c r="E386">
        <v>81</v>
      </c>
      <c r="F386">
        <v>1955</v>
      </c>
      <c r="G386">
        <v>78</v>
      </c>
      <c r="H386">
        <f>SUMIFS($F$2:F386,$C$2:C386,C386)</f>
        <v>29082</v>
      </c>
      <c r="I386" s="8">
        <f>STAMP_Escapement_Data[[#This Row],[DATE]]-DATE(STAMP_Escapement_Data[[#This Row],[YEAR]],8,1)</f>
        <v>52</v>
      </c>
    </row>
    <row r="387" spans="1:9" x14ac:dyDescent="0.25">
      <c r="A387" s="1">
        <v>33870</v>
      </c>
      <c r="B387">
        <v>923</v>
      </c>
      <c r="C387">
        <v>1992</v>
      </c>
      <c r="D387">
        <v>1047</v>
      </c>
      <c r="E387">
        <v>57</v>
      </c>
      <c r="F387">
        <v>1987</v>
      </c>
      <c r="G387">
        <v>164</v>
      </c>
      <c r="H387">
        <f>SUMIFS($F$2:F387,$C$2:C387,C387)</f>
        <v>31069</v>
      </c>
      <c r="I387" s="8">
        <f>STAMP_Escapement_Data[[#This Row],[DATE]]-DATE(STAMP_Escapement_Data[[#This Row],[YEAR]],8,1)</f>
        <v>53</v>
      </c>
    </row>
    <row r="388" spans="1:9" x14ac:dyDescent="0.25">
      <c r="A388" s="1">
        <v>33871</v>
      </c>
      <c r="B388">
        <v>924</v>
      </c>
      <c r="C388">
        <v>1992</v>
      </c>
      <c r="D388">
        <v>1620</v>
      </c>
      <c r="E388">
        <v>179</v>
      </c>
      <c r="F388">
        <v>3423</v>
      </c>
      <c r="G388">
        <v>141</v>
      </c>
      <c r="H388">
        <f>SUMIFS($F$2:F388,$C$2:C388,C388)</f>
        <v>34492</v>
      </c>
      <c r="I388" s="8">
        <f>STAMP_Escapement_Data[[#This Row],[DATE]]-DATE(STAMP_Escapement_Data[[#This Row],[YEAR]],8,1)</f>
        <v>54</v>
      </c>
    </row>
    <row r="389" spans="1:9" x14ac:dyDescent="0.25">
      <c r="A389" s="1">
        <v>33872</v>
      </c>
      <c r="B389">
        <v>925</v>
      </c>
      <c r="C389">
        <v>1992</v>
      </c>
      <c r="D389">
        <v>1547</v>
      </c>
      <c r="E389">
        <v>159</v>
      </c>
      <c r="F389">
        <v>1998</v>
      </c>
      <c r="G389">
        <v>84</v>
      </c>
      <c r="H389">
        <f>SUMIFS($F$2:F389,$C$2:C389,C389)</f>
        <v>36490</v>
      </c>
      <c r="I389" s="8">
        <f>STAMP_Escapement_Data[[#This Row],[DATE]]-DATE(STAMP_Escapement_Data[[#This Row],[YEAR]],8,1)</f>
        <v>55</v>
      </c>
    </row>
    <row r="390" spans="1:9" x14ac:dyDescent="0.25">
      <c r="A390" s="1">
        <v>33873</v>
      </c>
      <c r="B390">
        <v>926</v>
      </c>
      <c r="C390">
        <v>1992</v>
      </c>
      <c r="D390">
        <v>1570</v>
      </c>
      <c r="E390">
        <v>270</v>
      </c>
      <c r="F390">
        <v>3918</v>
      </c>
      <c r="G390">
        <v>99</v>
      </c>
      <c r="H390">
        <f>SUMIFS($F$2:F390,$C$2:C390,C390)</f>
        <v>40408</v>
      </c>
      <c r="I390" s="8">
        <f>STAMP_Escapement_Data[[#This Row],[DATE]]-DATE(STAMP_Escapement_Data[[#This Row],[YEAR]],8,1)</f>
        <v>56</v>
      </c>
    </row>
    <row r="391" spans="1:9" x14ac:dyDescent="0.25">
      <c r="A391" s="1">
        <v>33874</v>
      </c>
      <c r="B391">
        <v>927</v>
      </c>
      <c r="C391">
        <v>1992</v>
      </c>
      <c r="D391">
        <v>1241</v>
      </c>
      <c r="E391">
        <v>269</v>
      </c>
      <c r="F391">
        <v>4041</v>
      </c>
      <c r="G391">
        <v>84</v>
      </c>
      <c r="H391">
        <f>SUMIFS($F$2:F391,$C$2:C391,C391)</f>
        <v>44449</v>
      </c>
      <c r="I391" s="8">
        <f>STAMP_Escapement_Data[[#This Row],[DATE]]-DATE(STAMP_Escapement_Data[[#This Row],[YEAR]],8,1)</f>
        <v>57</v>
      </c>
    </row>
    <row r="392" spans="1:9" x14ac:dyDescent="0.25">
      <c r="A392" s="1">
        <v>33875</v>
      </c>
      <c r="B392">
        <v>928</v>
      </c>
      <c r="C392">
        <v>1992</v>
      </c>
      <c r="D392">
        <v>1208</v>
      </c>
      <c r="E392">
        <v>274</v>
      </c>
      <c r="F392">
        <v>3507</v>
      </c>
      <c r="G392">
        <v>58</v>
      </c>
      <c r="H392">
        <f>SUMIFS($F$2:F392,$C$2:C392,C392)</f>
        <v>47956</v>
      </c>
      <c r="I392" s="8">
        <f>STAMP_Escapement_Data[[#This Row],[DATE]]-DATE(STAMP_Escapement_Data[[#This Row],[YEAR]],8,1)</f>
        <v>58</v>
      </c>
    </row>
    <row r="393" spans="1:9" x14ac:dyDescent="0.25">
      <c r="A393" s="1">
        <v>33876</v>
      </c>
      <c r="B393">
        <v>929</v>
      </c>
      <c r="C393">
        <v>1992</v>
      </c>
      <c r="D393">
        <v>1824</v>
      </c>
      <c r="E393">
        <v>314</v>
      </c>
      <c r="F393">
        <v>2430</v>
      </c>
      <c r="G393">
        <v>62</v>
      </c>
      <c r="H393">
        <f>SUMIFS($F$2:F393,$C$2:C393,C393)</f>
        <v>50386</v>
      </c>
      <c r="I393" s="8">
        <f>STAMP_Escapement_Data[[#This Row],[DATE]]-DATE(STAMP_Escapement_Data[[#This Row],[YEAR]],8,1)</f>
        <v>59</v>
      </c>
    </row>
    <row r="394" spans="1:9" x14ac:dyDescent="0.25">
      <c r="A394" s="1">
        <v>33877</v>
      </c>
      <c r="B394">
        <v>930</v>
      </c>
      <c r="C394">
        <v>1992</v>
      </c>
      <c r="D394">
        <v>1751</v>
      </c>
      <c r="E394">
        <v>357</v>
      </c>
      <c r="F394">
        <v>2399</v>
      </c>
      <c r="G394">
        <v>87</v>
      </c>
      <c r="H394">
        <f>SUMIFS($F$2:F394,$C$2:C394,C394)</f>
        <v>52785</v>
      </c>
      <c r="I394" s="8">
        <f>STAMP_Escapement_Data[[#This Row],[DATE]]-DATE(STAMP_Escapement_Data[[#This Row],[YEAR]],8,1)</f>
        <v>60</v>
      </c>
    </row>
    <row r="395" spans="1:9" x14ac:dyDescent="0.25">
      <c r="A395" s="1">
        <v>33878</v>
      </c>
      <c r="B395">
        <v>1001</v>
      </c>
      <c r="C395">
        <v>1992</v>
      </c>
      <c r="D395">
        <v>1390</v>
      </c>
      <c r="E395">
        <v>246</v>
      </c>
      <c r="F395">
        <v>2664</v>
      </c>
      <c r="G395">
        <v>172</v>
      </c>
      <c r="H395">
        <f>SUMIFS($F$2:F395,$C$2:C395,C395)</f>
        <v>55449</v>
      </c>
      <c r="I395" s="8">
        <f>STAMP_Escapement_Data[[#This Row],[DATE]]-DATE(STAMP_Escapement_Data[[#This Row],[YEAR]],8,1)</f>
        <v>61</v>
      </c>
    </row>
    <row r="396" spans="1:9" x14ac:dyDescent="0.25">
      <c r="A396" s="1">
        <v>33879</v>
      </c>
      <c r="B396">
        <v>1002</v>
      </c>
      <c r="C396">
        <v>1992</v>
      </c>
      <c r="D396">
        <v>1341</v>
      </c>
      <c r="E396">
        <v>160</v>
      </c>
      <c r="F396">
        <v>2878</v>
      </c>
      <c r="G396">
        <v>88</v>
      </c>
      <c r="H396">
        <f>SUMIFS($F$2:F396,$C$2:C396,C396)</f>
        <v>58327</v>
      </c>
      <c r="I396" s="8">
        <f>STAMP_Escapement_Data[[#This Row],[DATE]]-DATE(STAMP_Escapement_Data[[#This Row],[YEAR]],8,1)</f>
        <v>62</v>
      </c>
    </row>
    <row r="397" spans="1:9" x14ac:dyDescent="0.25">
      <c r="A397" s="1">
        <v>33880</v>
      </c>
      <c r="B397">
        <v>1003</v>
      </c>
      <c r="C397">
        <v>1992</v>
      </c>
      <c r="D397">
        <v>1082</v>
      </c>
      <c r="E397">
        <v>163</v>
      </c>
      <c r="F397">
        <v>2279</v>
      </c>
      <c r="G397">
        <v>26</v>
      </c>
      <c r="H397">
        <f>SUMIFS($F$2:F397,$C$2:C397,C397)</f>
        <v>60606</v>
      </c>
      <c r="I397" s="8">
        <f>STAMP_Escapement_Data[[#This Row],[DATE]]-DATE(STAMP_Escapement_Data[[#This Row],[YEAR]],8,1)</f>
        <v>63</v>
      </c>
    </row>
    <row r="398" spans="1:9" x14ac:dyDescent="0.25">
      <c r="A398" s="1">
        <v>33881</v>
      </c>
      <c r="B398">
        <v>1004</v>
      </c>
      <c r="C398">
        <v>1992</v>
      </c>
      <c r="D398">
        <v>710</v>
      </c>
      <c r="E398">
        <v>130</v>
      </c>
      <c r="F398">
        <v>3385</v>
      </c>
      <c r="G398">
        <v>33</v>
      </c>
      <c r="H398">
        <f>SUMIFS($F$2:F398,$C$2:C398,C398)</f>
        <v>63991</v>
      </c>
      <c r="I398" s="8">
        <f>STAMP_Escapement_Data[[#This Row],[DATE]]-DATE(STAMP_Escapement_Data[[#This Row],[YEAR]],8,1)</f>
        <v>64</v>
      </c>
    </row>
    <row r="399" spans="1:9" x14ac:dyDescent="0.25">
      <c r="A399" s="1">
        <v>33882</v>
      </c>
      <c r="B399">
        <v>1005</v>
      </c>
      <c r="C399">
        <v>1992</v>
      </c>
      <c r="D399">
        <v>586</v>
      </c>
      <c r="E399">
        <v>109</v>
      </c>
      <c r="F399">
        <v>4848</v>
      </c>
      <c r="G399">
        <v>71</v>
      </c>
      <c r="H399">
        <f>SUMIFS($F$2:F399,$C$2:C399,C399)</f>
        <v>68839</v>
      </c>
      <c r="I399" s="8">
        <f>STAMP_Escapement_Data[[#This Row],[DATE]]-DATE(STAMP_Escapement_Data[[#This Row],[YEAR]],8,1)</f>
        <v>65</v>
      </c>
    </row>
    <row r="400" spans="1:9" x14ac:dyDescent="0.25">
      <c r="A400" s="1">
        <v>33883</v>
      </c>
      <c r="B400">
        <v>1006</v>
      </c>
      <c r="C400">
        <v>1992</v>
      </c>
      <c r="D400">
        <v>661</v>
      </c>
      <c r="E400">
        <v>134</v>
      </c>
      <c r="F400">
        <v>3147</v>
      </c>
      <c r="G400">
        <v>101</v>
      </c>
      <c r="H400">
        <f>SUMIFS($F$2:F400,$C$2:C400,C400)</f>
        <v>71986</v>
      </c>
      <c r="I400" s="8">
        <f>STAMP_Escapement_Data[[#This Row],[DATE]]-DATE(STAMP_Escapement_Data[[#This Row],[YEAR]],8,1)</f>
        <v>66</v>
      </c>
    </row>
    <row r="401" spans="1:9" x14ac:dyDescent="0.25">
      <c r="A401" s="1">
        <v>33884</v>
      </c>
      <c r="B401">
        <v>1007</v>
      </c>
      <c r="C401">
        <v>1992</v>
      </c>
      <c r="D401">
        <v>1008</v>
      </c>
      <c r="E401">
        <v>178</v>
      </c>
      <c r="F401">
        <v>2998</v>
      </c>
      <c r="G401">
        <v>123</v>
      </c>
      <c r="H401">
        <f>SUMIFS($F$2:F401,$C$2:C401,C401)</f>
        <v>74984</v>
      </c>
      <c r="I401" s="8">
        <f>STAMP_Escapement_Data[[#This Row],[DATE]]-DATE(STAMP_Escapement_Data[[#This Row],[YEAR]],8,1)</f>
        <v>67</v>
      </c>
    </row>
    <row r="402" spans="1:9" x14ac:dyDescent="0.25">
      <c r="A402" s="1">
        <v>33885</v>
      </c>
      <c r="B402">
        <v>1008</v>
      </c>
      <c r="C402">
        <v>1992</v>
      </c>
      <c r="D402">
        <v>1158</v>
      </c>
      <c r="E402">
        <v>229</v>
      </c>
      <c r="F402">
        <v>3625</v>
      </c>
      <c r="G402">
        <v>70</v>
      </c>
      <c r="H402">
        <f>SUMIFS($F$2:F402,$C$2:C402,C402)</f>
        <v>78609</v>
      </c>
      <c r="I402" s="8">
        <f>STAMP_Escapement_Data[[#This Row],[DATE]]-DATE(STAMP_Escapement_Data[[#This Row],[YEAR]],8,1)</f>
        <v>68</v>
      </c>
    </row>
    <row r="403" spans="1:9" x14ac:dyDescent="0.25">
      <c r="A403" s="1">
        <v>33886</v>
      </c>
      <c r="B403">
        <v>1009</v>
      </c>
      <c r="C403">
        <v>1992</v>
      </c>
      <c r="D403">
        <v>520</v>
      </c>
      <c r="E403">
        <v>120</v>
      </c>
      <c r="F403">
        <v>6893</v>
      </c>
      <c r="G403">
        <v>52</v>
      </c>
      <c r="H403">
        <f>SUMIFS($F$2:F403,$C$2:C403,C403)</f>
        <v>85502</v>
      </c>
      <c r="I403" s="8">
        <f>STAMP_Escapement_Data[[#This Row],[DATE]]-DATE(STAMP_Escapement_Data[[#This Row],[YEAR]],8,1)</f>
        <v>69</v>
      </c>
    </row>
    <row r="404" spans="1:9" x14ac:dyDescent="0.25">
      <c r="A404" s="1">
        <v>33887</v>
      </c>
      <c r="B404">
        <v>1010</v>
      </c>
      <c r="C404">
        <v>1992</v>
      </c>
      <c r="D404">
        <v>451</v>
      </c>
      <c r="E404">
        <v>91</v>
      </c>
      <c r="F404">
        <v>5266</v>
      </c>
      <c r="G404">
        <v>70</v>
      </c>
      <c r="H404">
        <f>SUMIFS($F$2:F404,$C$2:C404,C404)</f>
        <v>90768</v>
      </c>
      <c r="I404" s="8">
        <f>STAMP_Escapement_Data[[#This Row],[DATE]]-DATE(STAMP_Escapement_Data[[#This Row],[YEAR]],8,1)</f>
        <v>70</v>
      </c>
    </row>
    <row r="405" spans="1:9" x14ac:dyDescent="0.25">
      <c r="A405" s="1">
        <v>33888</v>
      </c>
      <c r="B405">
        <v>1011</v>
      </c>
      <c r="C405">
        <v>1992</v>
      </c>
      <c r="D405">
        <v>592</v>
      </c>
      <c r="E405">
        <v>124</v>
      </c>
      <c r="F405">
        <v>4107</v>
      </c>
      <c r="G405">
        <v>29</v>
      </c>
      <c r="H405">
        <f>SUMIFS($F$2:F405,$C$2:C405,C405)</f>
        <v>94875</v>
      </c>
      <c r="I405" s="8">
        <f>STAMP_Escapement_Data[[#This Row],[DATE]]-DATE(STAMP_Escapement_Data[[#This Row],[YEAR]],8,1)</f>
        <v>71</v>
      </c>
    </row>
    <row r="406" spans="1:9" x14ac:dyDescent="0.25">
      <c r="A406" s="1">
        <v>33889</v>
      </c>
      <c r="B406">
        <v>1012</v>
      </c>
      <c r="C406">
        <v>1992</v>
      </c>
      <c r="D406">
        <v>243</v>
      </c>
      <c r="E406">
        <v>88</v>
      </c>
      <c r="F406">
        <v>3486</v>
      </c>
      <c r="G406">
        <v>34</v>
      </c>
      <c r="H406">
        <f>SUMIFS($F$2:F406,$C$2:C406,C406)</f>
        <v>98361</v>
      </c>
      <c r="I406" s="8">
        <f>STAMP_Escapement_Data[[#This Row],[DATE]]-DATE(STAMP_Escapement_Data[[#This Row],[YEAR]],8,1)</f>
        <v>72</v>
      </c>
    </row>
    <row r="407" spans="1:9" x14ac:dyDescent="0.25">
      <c r="A407" s="1">
        <v>33890</v>
      </c>
      <c r="B407">
        <v>1013</v>
      </c>
      <c r="C407">
        <v>1992</v>
      </c>
      <c r="D407">
        <v>211</v>
      </c>
      <c r="E407">
        <v>59</v>
      </c>
      <c r="F407">
        <v>2305</v>
      </c>
      <c r="G407">
        <v>26</v>
      </c>
      <c r="H407">
        <f>SUMIFS($F$2:F407,$C$2:C407,C407)</f>
        <v>100666</v>
      </c>
      <c r="I407" s="8">
        <f>STAMP_Escapement_Data[[#This Row],[DATE]]-DATE(STAMP_Escapement_Data[[#This Row],[YEAR]],8,1)</f>
        <v>73</v>
      </c>
    </row>
    <row r="408" spans="1:9" x14ac:dyDescent="0.25">
      <c r="A408" s="1">
        <v>33891</v>
      </c>
      <c r="B408">
        <v>1014</v>
      </c>
      <c r="C408">
        <v>1992</v>
      </c>
      <c r="D408">
        <v>198</v>
      </c>
      <c r="E408">
        <v>55</v>
      </c>
      <c r="F408">
        <v>2264</v>
      </c>
      <c r="G408">
        <v>37</v>
      </c>
      <c r="H408">
        <f>SUMIFS($F$2:F408,$C$2:C408,C408)</f>
        <v>102930</v>
      </c>
      <c r="I408" s="8">
        <f>STAMP_Escapement_Data[[#This Row],[DATE]]-DATE(STAMP_Escapement_Data[[#This Row],[YEAR]],8,1)</f>
        <v>74</v>
      </c>
    </row>
    <row r="409" spans="1:9" x14ac:dyDescent="0.25">
      <c r="A409" s="1">
        <v>33892</v>
      </c>
      <c r="B409">
        <v>1015</v>
      </c>
      <c r="C409">
        <v>1992</v>
      </c>
      <c r="D409">
        <v>145</v>
      </c>
      <c r="E409">
        <v>46</v>
      </c>
      <c r="F409">
        <v>1750</v>
      </c>
      <c r="G409">
        <v>51</v>
      </c>
      <c r="H409">
        <f>SUMIFS($F$2:F409,$C$2:C409,C409)</f>
        <v>104680</v>
      </c>
      <c r="I409" s="8">
        <f>STAMP_Escapement_Data[[#This Row],[DATE]]-DATE(STAMP_Escapement_Data[[#This Row],[YEAR]],8,1)</f>
        <v>75</v>
      </c>
    </row>
    <row r="410" spans="1:9" x14ac:dyDescent="0.25">
      <c r="A410" s="1">
        <v>33893</v>
      </c>
      <c r="B410">
        <v>1016</v>
      </c>
      <c r="C410">
        <v>1992</v>
      </c>
      <c r="D410">
        <v>280</v>
      </c>
      <c r="E410">
        <v>92</v>
      </c>
      <c r="F410">
        <v>1962</v>
      </c>
      <c r="G410">
        <v>56</v>
      </c>
      <c r="H410">
        <f>SUMIFS($F$2:F410,$C$2:C410,C410)</f>
        <v>106642</v>
      </c>
      <c r="I410" s="8">
        <f>STAMP_Escapement_Data[[#This Row],[DATE]]-DATE(STAMP_Escapement_Data[[#This Row],[YEAR]],8,1)</f>
        <v>76</v>
      </c>
    </row>
    <row r="411" spans="1:9" x14ac:dyDescent="0.25">
      <c r="A411" s="1">
        <v>33894</v>
      </c>
      <c r="B411">
        <v>1017</v>
      </c>
      <c r="C411">
        <v>1992</v>
      </c>
      <c r="D411">
        <v>170</v>
      </c>
      <c r="E411">
        <v>42</v>
      </c>
      <c r="F411">
        <v>2819</v>
      </c>
      <c r="G411">
        <v>52</v>
      </c>
      <c r="H411">
        <f>SUMIFS($F$2:F411,$C$2:C411,C411)</f>
        <v>109461</v>
      </c>
      <c r="I411" s="8">
        <f>STAMP_Escapement_Data[[#This Row],[DATE]]-DATE(STAMP_Escapement_Data[[#This Row],[YEAR]],8,1)</f>
        <v>77</v>
      </c>
    </row>
    <row r="412" spans="1:9" x14ac:dyDescent="0.25">
      <c r="A412" s="1">
        <v>33895</v>
      </c>
      <c r="B412">
        <v>1018</v>
      </c>
      <c r="C412">
        <v>1992</v>
      </c>
      <c r="D412">
        <v>311</v>
      </c>
      <c r="E412">
        <v>70</v>
      </c>
      <c r="F412">
        <v>3953</v>
      </c>
      <c r="G412">
        <v>27</v>
      </c>
      <c r="H412">
        <f>SUMIFS($F$2:F412,$C$2:C412,C412)</f>
        <v>113414</v>
      </c>
      <c r="I412" s="8">
        <f>STAMP_Escapement_Data[[#This Row],[DATE]]-DATE(STAMP_Escapement_Data[[#This Row],[YEAR]],8,1)</f>
        <v>78</v>
      </c>
    </row>
    <row r="413" spans="1:9" x14ac:dyDescent="0.25">
      <c r="A413" s="1">
        <v>33896</v>
      </c>
      <c r="B413">
        <v>1019</v>
      </c>
      <c r="C413">
        <v>1992</v>
      </c>
      <c r="D413">
        <v>116</v>
      </c>
      <c r="E413">
        <v>126</v>
      </c>
      <c r="F413">
        <v>1078</v>
      </c>
      <c r="G413">
        <v>35</v>
      </c>
      <c r="H413">
        <f>SUMIFS($F$2:F413,$C$2:C413,C413)</f>
        <v>114492</v>
      </c>
      <c r="I413" s="8">
        <f>STAMP_Escapement_Data[[#This Row],[DATE]]-DATE(STAMP_Escapement_Data[[#This Row],[YEAR]],8,1)</f>
        <v>79</v>
      </c>
    </row>
    <row r="414" spans="1:9" x14ac:dyDescent="0.25">
      <c r="A414" s="1">
        <v>33897</v>
      </c>
      <c r="B414">
        <v>1020</v>
      </c>
      <c r="C414">
        <v>1992</v>
      </c>
      <c r="D414">
        <v>125</v>
      </c>
      <c r="E414">
        <v>164</v>
      </c>
      <c r="F414">
        <v>5566</v>
      </c>
      <c r="G414">
        <v>106</v>
      </c>
      <c r="H414">
        <f>SUMIFS($F$2:F414,$C$2:C414,C414)</f>
        <v>120058</v>
      </c>
      <c r="I414" s="8">
        <f>STAMP_Escapement_Data[[#This Row],[DATE]]-DATE(STAMP_Escapement_Data[[#This Row],[YEAR]],8,1)</f>
        <v>80</v>
      </c>
    </row>
    <row r="415" spans="1:9" x14ac:dyDescent="0.25">
      <c r="A415" s="1">
        <v>33898</v>
      </c>
      <c r="B415">
        <v>1021</v>
      </c>
      <c r="C415">
        <v>1992</v>
      </c>
      <c r="D415">
        <v>252</v>
      </c>
      <c r="E415">
        <v>65</v>
      </c>
      <c r="F415">
        <v>4852</v>
      </c>
      <c r="G415">
        <v>116</v>
      </c>
      <c r="H415">
        <f>SUMIFS($F$2:F415,$C$2:C415,C415)</f>
        <v>124910</v>
      </c>
      <c r="I415" s="8">
        <f>STAMP_Escapement_Data[[#This Row],[DATE]]-DATE(STAMP_Escapement_Data[[#This Row],[YEAR]],8,1)</f>
        <v>81</v>
      </c>
    </row>
    <row r="416" spans="1:9" x14ac:dyDescent="0.25">
      <c r="A416" s="1">
        <v>33899</v>
      </c>
      <c r="B416">
        <v>1022</v>
      </c>
      <c r="C416">
        <v>1992</v>
      </c>
      <c r="D416">
        <v>95</v>
      </c>
      <c r="E416">
        <v>25</v>
      </c>
      <c r="F416">
        <v>3661</v>
      </c>
      <c r="G416">
        <v>80</v>
      </c>
      <c r="H416">
        <f>SUMIFS($F$2:F416,$C$2:C416,C416)</f>
        <v>128571</v>
      </c>
      <c r="I416" s="8">
        <f>STAMP_Escapement_Data[[#This Row],[DATE]]-DATE(STAMP_Escapement_Data[[#This Row],[YEAR]],8,1)</f>
        <v>82</v>
      </c>
    </row>
    <row r="417" spans="1:9" x14ac:dyDescent="0.25">
      <c r="A417" s="1">
        <v>33900</v>
      </c>
      <c r="B417">
        <v>1023</v>
      </c>
      <c r="C417">
        <v>1992</v>
      </c>
      <c r="D417">
        <v>32</v>
      </c>
      <c r="E417">
        <v>8</v>
      </c>
      <c r="F417">
        <v>2299</v>
      </c>
      <c r="G417">
        <v>32</v>
      </c>
      <c r="H417">
        <f>SUMIFS($F$2:F417,$C$2:C417,C417)</f>
        <v>130870</v>
      </c>
      <c r="I417" s="8">
        <f>STAMP_Escapement_Data[[#This Row],[DATE]]-DATE(STAMP_Escapement_Data[[#This Row],[YEAR]],8,1)</f>
        <v>83</v>
      </c>
    </row>
    <row r="418" spans="1:9" x14ac:dyDescent="0.25">
      <c r="A418" s="1">
        <v>33901</v>
      </c>
      <c r="B418">
        <v>1024</v>
      </c>
      <c r="C418">
        <v>1992</v>
      </c>
      <c r="D418">
        <v>0</v>
      </c>
      <c r="E418">
        <v>0</v>
      </c>
      <c r="F418">
        <v>50</v>
      </c>
      <c r="G418">
        <v>0</v>
      </c>
      <c r="H418">
        <f>SUMIFS($F$2:F418,$C$2:C418,C418)</f>
        <v>130920</v>
      </c>
      <c r="I418" s="8">
        <f>STAMP_Escapement_Data[[#This Row],[DATE]]-DATE(STAMP_Escapement_Data[[#This Row],[YEAR]],8,1)</f>
        <v>84</v>
      </c>
    </row>
    <row r="419" spans="1:9" x14ac:dyDescent="0.25">
      <c r="A419" s="1">
        <v>33902</v>
      </c>
      <c r="B419">
        <v>1025</v>
      </c>
      <c r="C419">
        <v>1992</v>
      </c>
      <c r="D419">
        <v>0</v>
      </c>
      <c r="E419">
        <v>0</v>
      </c>
      <c r="F419">
        <v>96</v>
      </c>
      <c r="G419">
        <v>0</v>
      </c>
      <c r="H419">
        <f>SUMIFS($F$2:F419,$C$2:C419,C419)</f>
        <v>131016</v>
      </c>
      <c r="I419" s="8">
        <f>STAMP_Escapement_Data[[#This Row],[DATE]]-DATE(STAMP_Escapement_Data[[#This Row],[YEAR]],8,1)</f>
        <v>85</v>
      </c>
    </row>
    <row r="420" spans="1:9" x14ac:dyDescent="0.25">
      <c r="A420" s="1">
        <v>33903</v>
      </c>
      <c r="B420">
        <v>1026</v>
      </c>
      <c r="C420">
        <v>1992</v>
      </c>
      <c r="D420">
        <v>39</v>
      </c>
      <c r="E420">
        <v>19</v>
      </c>
      <c r="F420">
        <v>2640</v>
      </c>
      <c r="G420">
        <v>34</v>
      </c>
      <c r="H420">
        <f>SUMIFS($F$2:F420,$C$2:C420,C420)</f>
        <v>133656</v>
      </c>
      <c r="I420" s="8">
        <f>STAMP_Escapement_Data[[#This Row],[DATE]]-DATE(STAMP_Escapement_Data[[#This Row],[YEAR]],8,1)</f>
        <v>86</v>
      </c>
    </row>
    <row r="421" spans="1:9" x14ac:dyDescent="0.25">
      <c r="A421" s="1">
        <v>33904</v>
      </c>
      <c r="B421">
        <v>1027</v>
      </c>
      <c r="C421">
        <v>1992</v>
      </c>
      <c r="D421">
        <v>28</v>
      </c>
      <c r="E421">
        <v>10</v>
      </c>
      <c r="F421">
        <v>2305</v>
      </c>
      <c r="G421">
        <v>24</v>
      </c>
      <c r="H421">
        <f>SUMIFS($F$2:F421,$C$2:C421,C421)</f>
        <v>135961</v>
      </c>
      <c r="I421" s="8">
        <f>STAMP_Escapement_Data[[#This Row],[DATE]]-DATE(STAMP_Escapement_Data[[#This Row],[YEAR]],8,1)</f>
        <v>87</v>
      </c>
    </row>
    <row r="422" spans="1:9" x14ac:dyDescent="0.25">
      <c r="A422" s="1">
        <v>33905</v>
      </c>
      <c r="B422">
        <v>1028</v>
      </c>
      <c r="C422">
        <v>1992</v>
      </c>
      <c r="D422">
        <v>167</v>
      </c>
      <c r="E422">
        <v>29</v>
      </c>
      <c r="F422">
        <v>1589</v>
      </c>
      <c r="G422">
        <v>17</v>
      </c>
      <c r="H422">
        <f>SUMIFS($F$2:F422,$C$2:C422,C422)</f>
        <v>137550</v>
      </c>
      <c r="I422" s="8">
        <f>STAMP_Escapement_Data[[#This Row],[DATE]]-DATE(STAMP_Escapement_Data[[#This Row],[YEAR]],8,1)</f>
        <v>88</v>
      </c>
    </row>
    <row r="423" spans="1:9" x14ac:dyDescent="0.25">
      <c r="A423" s="1">
        <v>33906</v>
      </c>
      <c r="B423">
        <v>1029</v>
      </c>
      <c r="C423">
        <v>1992</v>
      </c>
      <c r="D423">
        <v>163</v>
      </c>
      <c r="E423">
        <v>17</v>
      </c>
      <c r="F423">
        <v>28</v>
      </c>
      <c r="G423">
        <v>0</v>
      </c>
      <c r="H423">
        <f>SUMIFS($F$2:F423,$C$2:C423,C423)</f>
        <v>137578</v>
      </c>
      <c r="I423" s="8">
        <f>STAMP_Escapement_Data[[#This Row],[DATE]]-DATE(STAMP_Escapement_Data[[#This Row],[YEAR]],8,1)</f>
        <v>89</v>
      </c>
    </row>
    <row r="424" spans="1:9" x14ac:dyDescent="0.25">
      <c r="A424" s="1">
        <v>33907</v>
      </c>
      <c r="B424">
        <v>1030</v>
      </c>
      <c r="C424">
        <v>1992</v>
      </c>
      <c r="D424">
        <v>117</v>
      </c>
      <c r="E424">
        <v>73</v>
      </c>
      <c r="F424">
        <v>2754</v>
      </c>
      <c r="G424">
        <v>36</v>
      </c>
      <c r="H424">
        <f>SUMIFS($F$2:F424,$C$2:C424,C424)</f>
        <v>140332</v>
      </c>
      <c r="I424" s="8">
        <f>STAMP_Escapement_Data[[#This Row],[DATE]]-DATE(STAMP_Escapement_Data[[#This Row],[YEAR]],8,1)</f>
        <v>90</v>
      </c>
    </row>
    <row r="425" spans="1:9" x14ac:dyDescent="0.25">
      <c r="A425" s="1">
        <v>33908</v>
      </c>
      <c r="B425">
        <v>1031</v>
      </c>
      <c r="C425">
        <v>1992</v>
      </c>
      <c r="D425">
        <v>29</v>
      </c>
      <c r="E425">
        <v>2</v>
      </c>
      <c r="F425">
        <v>200</v>
      </c>
      <c r="G425">
        <v>0</v>
      </c>
      <c r="H425">
        <f>SUMIFS($F$2:F425,$C$2:C425,C425)</f>
        <v>140532</v>
      </c>
      <c r="I425" s="8">
        <f>STAMP_Escapement_Data[[#This Row],[DATE]]-DATE(STAMP_Escapement_Data[[#This Row],[YEAR]],8,1)</f>
        <v>91</v>
      </c>
    </row>
    <row r="426" spans="1:9" x14ac:dyDescent="0.25">
      <c r="A426" s="1">
        <v>33909</v>
      </c>
      <c r="B426">
        <v>1101</v>
      </c>
      <c r="C426">
        <v>1992</v>
      </c>
      <c r="D426">
        <v>0</v>
      </c>
      <c r="E426">
        <v>0</v>
      </c>
      <c r="F426">
        <v>31</v>
      </c>
      <c r="G426">
        <v>2</v>
      </c>
      <c r="H426">
        <f>SUMIFS($F$2:F426,$C$2:C426,C426)</f>
        <v>140563</v>
      </c>
      <c r="I426" s="8">
        <f>STAMP_Escapement_Data[[#This Row],[DATE]]-DATE(STAMP_Escapement_Data[[#This Row],[YEAR]],8,1)</f>
        <v>92</v>
      </c>
    </row>
    <row r="427" spans="1:9" x14ac:dyDescent="0.25">
      <c r="A427" s="1">
        <v>33910</v>
      </c>
      <c r="B427">
        <v>1102</v>
      </c>
      <c r="C427">
        <v>1992</v>
      </c>
      <c r="D427">
        <v>15</v>
      </c>
      <c r="E427">
        <v>3</v>
      </c>
      <c r="F427">
        <v>12</v>
      </c>
      <c r="G427">
        <v>0</v>
      </c>
      <c r="H427">
        <f>SUMIFS($F$2:F427,$C$2:C427,C427)</f>
        <v>140575</v>
      </c>
      <c r="I427" s="8">
        <f>STAMP_Escapement_Data[[#This Row],[DATE]]-DATE(STAMP_Escapement_Data[[#This Row],[YEAR]],8,1)</f>
        <v>93</v>
      </c>
    </row>
    <row r="428" spans="1:9" x14ac:dyDescent="0.25">
      <c r="A428" s="1">
        <v>33911</v>
      </c>
      <c r="B428">
        <v>1103</v>
      </c>
      <c r="C428">
        <v>1992</v>
      </c>
      <c r="D428">
        <v>41</v>
      </c>
      <c r="E428">
        <v>14</v>
      </c>
      <c r="F428">
        <v>35</v>
      </c>
      <c r="G428">
        <v>1</v>
      </c>
      <c r="H428">
        <f>SUMIFS($F$2:F428,$C$2:C428,C428)</f>
        <v>140610</v>
      </c>
      <c r="I428" s="8">
        <f>STAMP_Escapement_Data[[#This Row],[DATE]]-DATE(STAMP_Escapement_Data[[#This Row],[YEAR]],8,1)</f>
        <v>94</v>
      </c>
    </row>
    <row r="429" spans="1:9" x14ac:dyDescent="0.25">
      <c r="A429" s="1">
        <v>33912</v>
      </c>
      <c r="B429">
        <v>1104</v>
      </c>
      <c r="C429">
        <v>1992</v>
      </c>
      <c r="D429">
        <v>22</v>
      </c>
      <c r="E429">
        <v>12</v>
      </c>
      <c r="F429">
        <v>32</v>
      </c>
      <c r="G429">
        <v>1</v>
      </c>
      <c r="H429">
        <f>SUMIFS($F$2:F429,$C$2:C429,C429)</f>
        <v>140642</v>
      </c>
      <c r="I429" s="8">
        <f>STAMP_Escapement_Data[[#This Row],[DATE]]-DATE(STAMP_Escapement_Data[[#This Row],[YEAR]],8,1)</f>
        <v>95</v>
      </c>
    </row>
    <row r="430" spans="1:9" x14ac:dyDescent="0.25">
      <c r="A430" s="1">
        <v>33913</v>
      </c>
      <c r="B430">
        <v>1105</v>
      </c>
      <c r="C430">
        <v>1992</v>
      </c>
      <c r="D430">
        <v>36</v>
      </c>
      <c r="E430">
        <v>12</v>
      </c>
      <c r="F430">
        <v>46</v>
      </c>
      <c r="G430">
        <v>0</v>
      </c>
      <c r="H430">
        <f>SUMIFS($F$2:F430,$C$2:C430,C430)</f>
        <v>140688</v>
      </c>
      <c r="I430" s="8">
        <f>STAMP_Escapement_Data[[#This Row],[DATE]]-DATE(STAMP_Escapement_Data[[#This Row],[YEAR]],8,1)</f>
        <v>96</v>
      </c>
    </row>
    <row r="431" spans="1:9" x14ac:dyDescent="0.25">
      <c r="A431" s="1">
        <v>33914</v>
      </c>
      <c r="B431">
        <v>1106</v>
      </c>
      <c r="C431">
        <v>1992</v>
      </c>
      <c r="D431">
        <v>21</v>
      </c>
      <c r="E431">
        <v>14</v>
      </c>
      <c r="F431">
        <v>30</v>
      </c>
      <c r="G431">
        <v>0</v>
      </c>
      <c r="H431">
        <f>SUMIFS($F$2:F431,$C$2:C431,C431)</f>
        <v>140718</v>
      </c>
      <c r="I431" s="8">
        <f>STAMP_Escapement_Data[[#This Row],[DATE]]-DATE(STAMP_Escapement_Data[[#This Row],[YEAR]],8,1)</f>
        <v>97</v>
      </c>
    </row>
    <row r="432" spans="1:9" x14ac:dyDescent="0.25">
      <c r="A432" s="1">
        <v>33915</v>
      </c>
      <c r="B432">
        <v>1107</v>
      </c>
      <c r="C432">
        <v>1992</v>
      </c>
      <c r="D432">
        <v>14</v>
      </c>
      <c r="E432">
        <v>2</v>
      </c>
      <c r="F432">
        <v>46</v>
      </c>
      <c r="G432">
        <v>0</v>
      </c>
      <c r="H432">
        <f>SUMIFS($F$2:F432,$C$2:C432,C432)</f>
        <v>140764</v>
      </c>
      <c r="I432" s="8">
        <f>STAMP_Escapement_Data[[#This Row],[DATE]]-DATE(STAMP_Escapement_Data[[#This Row],[YEAR]],8,1)</f>
        <v>98</v>
      </c>
    </row>
    <row r="433" spans="1:9" x14ac:dyDescent="0.25">
      <c r="A433" s="1">
        <v>33916</v>
      </c>
      <c r="B433">
        <v>1108</v>
      </c>
      <c r="C433">
        <v>1992</v>
      </c>
      <c r="D433">
        <v>13</v>
      </c>
      <c r="E433">
        <v>6</v>
      </c>
      <c r="F433">
        <v>23</v>
      </c>
      <c r="G433">
        <v>0</v>
      </c>
      <c r="H433">
        <f>SUMIFS($F$2:F433,$C$2:C433,C433)</f>
        <v>140787</v>
      </c>
      <c r="I433" s="8">
        <f>STAMP_Escapement_Data[[#This Row],[DATE]]-DATE(STAMP_Escapement_Data[[#This Row],[YEAR]],8,1)</f>
        <v>99</v>
      </c>
    </row>
    <row r="434" spans="1:9" x14ac:dyDescent="0.25">
      <c r="A434" s="1">
        <v>33917</v>
      </c>
      <c r="B434">
        <v>1109</v>
      </c>
      <c r="C434">
        <v>1992</v>
      </c>
      <c r="D434">
        <v>16</v>
      </c>
      <c r="E434">
        <v>8</v>
      </c>
      <c r="F434">
        <v>11</v>
      </c>
      <c r="G434">
        <v>0</v>
      </c>
      <c r="H434">
        <f>SUMIFS($F$2:F434,$C$2:C434,C434)</f>
        <v>140798</v>
      </c>
      <c r="I434" s="8">
        <f>STAMP_Escapement_Data[[#This Row],[DATE]]-DATE(STAMP_Escapement_Data[[#This Row],[YEAR]],8,1)</f>
        <v>100</v>
      </c>
    </row>
    <row r="435" spans="1:9" x14ac:dyDescent="0.25">
      <c r="A435" s="1">
        <v>33918</v>
      </c>
      <c r="B435">
        <v>1110</v>
      </c>
      <c r="C435">
        <v>1992</v>
      </c>
      <c r="D435">
        <v>14</v>
      </c>
      <c r="E435">
        <v>8</v>
      </c>
      <c r="F435">
        <v>7</v>
      </c>
      <c r="G435">
        <v>0</v>
      </c>
      <c r="H435">
        <f>SUMIFS($F$2:F435,$C$2:C435,C435)</f>
        <v>140805</v>
      </c>
      <c r="I435" s="8">
        <f>STAMP_Escapement_Data[[#This Row],[DATE]]-DATE(STAMP_Escapement_Data[[#This Row],[YEAR]],8,1)</f>
        <v>101</v>
      </c>
    </row>
    <row r="436" spans="1:9" x14ac:dyDescent="0.25">
      <c r="A436" s="1">
        <v>34214</v>
      </c>
      <c r="B436">
        <v>902</v>
      </c>
      <c r="C436">
        <v>1993</v>
      </c>
      <c r="D436">
        <v>50</v>
      </c>
      <c r="E436">
        <v>3</v>
      </c>
      <c r="F436">
        <v>138</v>
      </c>
      <c r="G436">
        <v>28</v>
      </c>
      <c r="H436">
        <f>SUMIFS($F$2:F436,$C$2:C436,C436)</f>
        <v>138</v>
      </c>
      <c r="I436" s="8">
        <f>STAMP_Escapement_Data[[#This Row],[DATE]]-DATE(STAMP_Escapement_Data[[#This Row],[YEAR]],8,1)</f>
        <v>32</v>
      </c>
    </row>
    <row r="437" spans="1:9" x14ac:dyDescent="0.25">
      <c r="A437" s="1">
        <v>34215</v>
      </c>
      <c r="B437">
        <v>903</v>
      </c>
      <c r="C437">
        <v>1993</v>
      </c>
      <c r="D437">
        <v>41</v>
      </c>
      <c r="E437">
        <v>6</v>
      </c>
      <c r="F437">
        <v>475</v>
      </c>
      <c r="G437">
        <v>74</v>
      </c>
      <c r="H437">
        <f>SUMIFS($F$2:F437,$C$2:C437,C437)</f>
        <v>613</v>
      </c>
      <c r="I437" s="8">
        <f>STAMP_Escapement_Data[[#This Row],[DATE]]-DATE(STAMP_Escapement_Data[[#This Row],[YEAR]],8,1)</f>
        <v>33</v>
      </c>
    </row>
    <row r="438" spans="1:9" x14ac:dyDescent="0.25">
      <c r="A438" s="1">
        <v>34216</v>
      </c>
      <c r="B438">
        <v>904</v>
      </c>
      <c r="C438">
        <v>1993</v>
      </c>
      <c r="D438">
        <v>13</v>
      </c>
      <c r="E438">
        <v>8</v>
      </c>
      <c r="F438">
        <v>263</v>
      </c>
      <c r="G438">
        <v>49</v>
      </c>
      <c r="H438">
        <f>SUMIFS($F$2:F438,$C$2:C438,C438)</f>
        <v>876</v>
      </c>
      <c r="I438" s="8">
        <f>STAMP_Escapement_Data[[#This Row],[DATE]]-DATE(STAMP_Escapement_Data[[#This Row],[YEAR]],8,1)</f>
        <v>34</v>
      </c>
    </row>
    <row r="439" spans="1:9" x14ac:dyDescent="0.25">
      <c r="A439" s="1">
        <v>34217</v>
      </c>
      <c r="B439">
        <v>905</v>
      </c>
      <c r="C439">
        <v>1993</v>
      </c>
      <c r="D439">
        <v>8</v>
      </c>
      <c r="E439">
        <v>5</v>
      </c>
      <c r="F439">
        <v>115</v>
      </c>
      <c r="G439">
        <v>20</v>
      </c>
      <c r="H439">
        <f>SUMIFS($F$2:F439,$C$2:C439,C439)</f>
        <v>991</v>
      </c>
      <c r="I439" s="8">
        <f>STAMP_Escapement_Data[[#This Row],[DATE]]-DATE(STAMP_Escapement_Data[[#This Row],[YEAR]],8,1)</f>
        <v>35</v>
      </c>
    </row>
    <row r="440" spans="1:9" x14ac:dyDescent="0.25">
      <c r="A440" s="1">
        <v>34218</v>
      </c>
      <c r="B440">
        <v>906</v>
      </c>
      <c r="C440">
        <v>1993</v>
      </c>
      <c r="D440">
        <v>9</v>
      </c>
      <c r="E440">
        <v>8</v>
      </c>
      <c r="F440">
        <v>96</v>
      </c>
      <c r="G440">
        <v>63</v>
      </c>
      <c r="H440">
        <f>SUMIFS($F$2:F440,$C$2:C440,C440)</f>
        <v>1087</v>
      </c>
      <c r="I440" s="8">
        <f>STAMP_Escapement_Data[[#This Row],[DATE]]-DATE(STAMP_Escapement_Data[[#This Row],[YEAR]],8,1)</f>
        <v>36</v>
      </c>
    </row>
    <row r="441" spans="1:9" x14ac:dyDescent="0.25">
      <c r="A441" s="1">
        <v>34219</v>
      </c>
      <c r="B441">
        <v>907</v>
      </c>
      <c r="C441">
        <v>1993</v>
      </c>
      <c r="D441">
        <v>5</v>
      </c>
      <c r="E441">
        <v>3</v>
      </c>
      <c r="F441">
        <v>345</v>
      </c>
      <c r="G441">
        <v>89</v>
      </c>
      <c r="H441">
        <f>SUMIFS($F$2:F441,$C$2:C441,C441)</f>
        <v>1432</v>
      </c>
      <c r="I441" s="8">
        <f>STAMP_Escapement_Data[[#This Row],[DATE]]-DATE(STAMP_Escapement_Data[[#This Row],[YEAR]],8,1)</f>
        <v>37</v>
      </c>
    </row>
    <row r="442" spans="1:9" x14ac:dyDescent="0.25">
      <c r="A442" s="1">
        <v>34220</v>
      </c>
      <c r="B442">
        <v>908</v>
      </c>
      <c r="C442">
        <v>1993</v>
      </c>
      <c r="D442">
        <v>7</v>
      </c>
      <c r="E442">
        <v>8</v>
      </c>
      <c r="F442">
        <v>125</v>
      </c>
      <c r="G442">
        <v>22</v>
      </c>
      <c r="H442">
        <f>SUMIFS($F$2:F442,$C$2:C442,C442)</f>
        <v>1557</v>
      </c>
      <c r="I442" s="8">
        <f>STAMP_Escapement_Data[[#This Row],[DATE]]-DATE(STAMP_Escapement_Data[[#This Row],[YEAR]],8,1)</f>
        <v>38</v>
      </c>
    </row>
    <row r="443" spans="1:9" x14ac:dyDescent="0.25">
      <c r="A443" s="1">
        <v>34221</v>
      </c>
      <c r="B443">
        <v>909</v>
      </c>
      <c r="C443">
        <v>1993</v>
      </c>
      <c r="D443">
        <v>24</v>
      </c>
      <c r="E443">
        <v>7</v>
      </c>
      <c r="F443">
        <v>108</v>
      </c>
      <c r="G443">
        <v>8</v>
      </c>
      <c r="H443">
        <f>SUMIFS($F$2:F443,$C$2:C443,C443)</f>
        <v>1665</v>
      </c>
      <c r="I443" s="8">
        <f>STAMP_Escapement_Data[[#This Row],[DATE]]-DATE(STAMP_Escapement_Data[[#This Row],[YEAR]],8,1)</f>
        <v>39</v>
      </c>
    </row>
    <row r="444" spans="1:9" x14ac:dyDescent="0.25">
      <c r="A444" s="1">
        <v>34222</v>
      </c>
      <c r="B444">
        <v>910</v>
      </c>
      <c r="C444">
        <v>1993</v>
      </c>
      <c r="D444">
        <v>18</v>
      </c>
      <c r="E444">
        <v>15</v>
      </c>
      <c r="F444">
        <v>102</v>
      </c>
      <c r="G444">
        <v>14</v>
      </c>
      <c r="H444">
        <f>SUMIFS($F$2:F444,$C$2:C444,C444)</f>
        <v>1767</v>
      </c>
      <c r="I444" s="8">
        <f>STAMP_Escapement_Data[[#This Row],[DATE]]-DATE(STAMP_Escapement_Data[[#This Row],[YEAR]],8,1)</f>
        <v>40</v>
      </c>
    </row>
    <row r="445" spans="1:9" x14ac:dyDescent="0.25">
      <c r="A445" s="1">
        <v>34223</v>
      </c>
      <c r="B445">
        <v>911</v>
      </c>
      <c r="C445">
        <v>1993</v>
      </c>
      <c r="D445">
        <v>36</v>
      </c>
      <c r="E445">
        <v>19</v>
      </c>
      <c r="F445">
        <v>281</v>
      </c>
      <c r="G445">
        <v>16</v>
      </c>
      <c r="H445">
        <f>SUMIFS($F$2:F445,$C$2:C445,C445)</f>
        <v>2048</v>
      </c>
      <c r="I445" s="8">
        <f>STAMP_Escapement_Data[[#This Row],[DATE]]-DATE(STAMP_Escapement_Data[[#This Row],[YEAR]],8,1)</f>
        <v>41</v>
      </c>
    </row>
    <row r="446" spans="1:9" x14ac:dyDescent="0.25">
      <c r="A446" s="1">
        <v>34224</v>
      </c>
      <c r="B446">
        <v>912</v>
      </c>
      <c r="C446">
        <v>1993</v>
      </c>
      <c r="D446">
        <v>45</v>
      </c>
      <c r="E446">
        <v>4</v>
      </c>
      <c r="F446">
        <v>124</v>
      </c>
      <c r="G446">
        <v>6</v>
      </c>
      <c r="H446">
        <f>SUMIFS($F$2:F446,$C$2:C446,C446)</f>
        <v>2172</v>
      </c>
      <c r="I446" s="8">
        <f>STAMP_Escapement_Data[[#This Row],[DATE]]-DATE(STAMP_Escapement_Data[[#This Row],[YEAR]],8,1)</f>
        <v>42</v>
      </c>
    </row>
    <row r="447" spans="1:9" x14ac:dyDescent="0.25">
      <c r="A447" s="1">
        <v>34225</v>
      </c>
      <c r="B447">
        <v>913</v>
      </c>
      <c r="C447">
        <v>1993</v>
      </c>
      <c r="D447">
        <v>198</v>
      </c>
      <c r="E447">
        <v>32</v>
      </c>
      <c r="F447">
        <v>317</v>
      </c>
      <c r="G447">
        <v>53</v>
      </c>
      <c r="H447">
        <f>SUMIFS($F$2:F447,$C$2:C447,C447)</f>
        <v>2489</v>
      </c>
      <c r="I447" s="8">
        <f>STAMP_Escapement_Data[[#This Row],[DATE]]-DATE(STAMP_Escapement_Data[[#This Row],[YEAR]],8,1)</f>
        <v>43</v>
      </c>
    </row>
    <row r="448" spans="1:9" x14ac:dyDescent="0.25">
      <c r="A448" s="1">
        <v>34226</v>
      </c>
      <c r="B448">
        <v>914</v>
      </c>
      <c r="C448">
        <v>1993</v>
      </c>
      <c r="D448">
        <v>261</v>
      </c>
      <c r="E448">
        <v>41</v>
      </c>
      <c r="F448">
        <v>2384</v>
      </c>
      <c r="G448">
        <v>68</v>
      </c>
      <c r="H448">
        <f>SUMIFS($F$2:F448,$C$2:C448,C448)</f>
        <v>4873</v>
      </c>
      <c r="I448" s="8">
        <f>STAMP_Escapement_Data[[#This Row],[DATE]]-DATE(STAMP_Escapement_Data[[#This Row],[YEAR]],8,1)</f>
        <v>44</v>
      </c>
    </row>
    <row r="449" spans="1:9" x14ac:dyDescent="0.25">
      <c r="A449" s="1">
        <v>34227</v>
      </c>
      <c r="B449">
        <v>915</v>
      </c>
      <c r="C449">
        <v>1993</v>
      </c>
      <c r="D449">
        <v>239</v>
      </c>
      <c r="E449">
        <v>44</v>
      </c>
      <c r="F449">
        <v>3104</v>
      </c>
      <c r="G449">
        <v>42</v>
      </c>
      <c r="H449">
        <f>SUMIFS($F$2:F449,$C$2:C449,C449)</f>
        <v>7977</v>
      </c>
      <c r="I449" s="8">
        <f>STAMP_Escapement_Data[[#This Row],[DATE]]-DATE(STAMP_Escapement_Data[[#This Row],[YEAR]],8,1)</f>
        <v>45</v>
      </c>
    </row>
    <row r="450" spans="1:9" x14ac:dyDescent="0.25">
      <c r="A450" s="1">
        <v>34228</v>
      </c>
      <c r="B450">
        <v>916</v>
      </c>
      <c r="C450">
        <v>1993</v>
      </c>
      <c r="D450">
        <v>306</v>
      </c>
      <c r="E450">
        <v>34</v>
      </c>
      <c r="F450">
        <v>2266</v>
      </c>
      <c r="G450">
        <v>149</v>
      </c>
      <c r="H450">
        <f>SUMIFS($F$2:F450,$C$2:C450,C450)</f>
        <v>10243</v>
      </c>
      <c r="I450" s="8">
        <f>STAMP_Escapement_Data[[#This Row],[DATE]]-DATE(STAMP_Escapement_Data[[#This Row],[YEAR]],8,1)</f>
        <v>46</v>
      </c>
    </row>
    <row r="451" spans="1:9" x14ac:dyDescent="0.25">
      <c r="A451" s="1">
        <v>34229</v>
      </c>
      <c r="B451">
        <v>917</v>
      </c>
      <c r="C451">
        <v>1993</v>
      </c>
      <c r="D451">
        <v>455</v>
      </c>
      <c r="E451">
        <v>24</v>
      </c>
      <c r="F451">
        <v>1637</v>
      </c>
      <c r="G451">
        <v>70</v>
      </c>
      <c r="H451">
        <f>SUMIFS($F$2:F451,$C$2:C451,C451)</f>
        <v>11880</v>
      </c>
      <c r="I451" s="8">
        <f>STAMP_Escapement_Data[[#This Row],[DATE]]-DATE(STAMP_Escapement_Data[[#This Row],[YEAR]],8,1)</f>
        <v>47</v>
      </c>
    </row>
    <row r="452" spans="1:9" x14ac:dyDescent="0.25">
      <c r="A452" s="1">
        <v>34230</v>
      </c>
      <c r="B452">
        <v>918</v>
      </c>
      <c r="C452">
        <v>1993</v>
      </c>
      <c r="D452">
        <v>426</v>
      </c>
      <c r="E452">
        <v>22</v>
      </c>
      <c r="F452">
        <v>1775</v>
      </c>
      <c r="G452">
        <v>43</v>
      </c>
      <c r="H452">
        <f>SUMIFS($F$2:F452,$C$2:C452,C452)</f>
        <v>13655</v>
      </c>
      <c r="I452" s="8">
        <f>STAMP_Escapement_Data[[#This Row],[DATE]]-DATE(STAMP_Escapement_Data[[#This Row],[YEAR]],8,1)</f>
        <v>48</v>
      </c>
    </row>
    <row r="453" spans="1:9" x14ac:dyDescent="0.25">
      <c r="A453" s="1">
        <v>34231</v>
      </c>
      <c r="B453">
        <v>919</v>
      </c>
      <c r="C453">
        <v>1993</v>
      </c>
      <c r="D453">
        <v>660</v>
      </c>
      <c r="E453">
        <v>23</v>
      </c>
      <c r="F453">
        <v>1828</v>
      </c>
      <c r="G453">
        <v>33</v>
      </c>
      <c r="H453">
        <f>SUMIFS($F$2:F453,$C$2:C453,C453)</f>
        <v>15483</v>
      </c>
      <c r="I453" s="8">
        <f>STAMP_Escapement_Data[[#This Row],[DATE]]-DATE(STAMP_Escapement_Data[[#This Row],[YEAR]],8,1)</f>
        <v>49</v>
      </c>
    </row>
    <row r="454" spans="1:9" x14ac:dyDescent="0.25">
      <c r="A454" s="1">
        <v>34232</v>
      </c>
      <c r="B454">
        <v>920</v>
      </c>
      <c r="C454">
        <v>1993</v>
      </c>
      <c r="D454">
        <v>437</v>
      </c>
      <c r="E454">
        <v>16</v>
      </c>
      <c r="F454">
        <v>4262</v>
      </c>
      <c r="G454">
        <v>70</v>
      </c>
      <c r="H454">
        <f>SUMIFS($F$2:F454,$C$2:C454,C454)</f>
        <v>19745</v>
      </c>
      <c r="I454" s="8">
        <f>STAMP_Escapement_Data[[#This Row],[DATE]]-DATE(STAMP_Escapement_Data[[#This Row],[YEAR]],8,1)</f>
        <v>50</v>
      </c>
    </row>
    <row r="455" spans="1:9" x14ac:dyDescent="0.25">
      <c r="A455" s="1">
        <v>34233</v>
      </c>
      <c r="B455">
        <v>921</v>
      </c>
      <c r="C455">
        <v>1993</v>
      </c>
      <c r="D455">
        <v>451</v>
      </c>
      <c r="E455">
        <v>17</v>
      </c>
      <c r="F455">
        <v>2554</v>
      </c>
      <c r="G455">
        <v>33</v>
      </c>
      <c r="H455">
        <f>SUMIFS($F$2:F455,$C$2:C455,C455)</f>
        <v>22299</v>
      </c>
      <c r="I455" s="8">
        <f>STAMP_Escapement_Data[[#This Row],[DATE]]-DATE(STAMP_Escapement_Data[[#This Row],[YEAR]],8,1)</f>
        <v>51</v>
      </c>
    </row>
    <row r="456" spans="1:9" x14ac:dyDescent="0.25">
      <c r="A456" s="1">
        <v>34234</v>
      </c>
      <c r="B456">
        <v>922</v>
      </c>
      <c r="C456">
        <v>1993</v>
      </c>
      <c r="D456">
        <v>546</v>
      </c>
      <c r="E456">
        <v>21</v>
      </c>
      <c r="F456">
        <v>2237</v>
      </c>
      <c r="G456">
        <v>58</v>
      </c>
      <c r="H456">
        <f>SUMIFS($F$2:F456,$C$2:C456,C456)</f>
        <v>24536</v>
      </c>
      <c r="I456" s="8">
        <f>STAMP_Escapement_Data[[#This Row],[DATE]]-DATE(STAMP_Escapement_Data[[#This Row],[YEAR]],8,1)</f>
        <v>52</v>
      </c>
    </row>
    <row r="457" spans="1:9" x14ac:dyDescent="0.25">
      <c r="A457" s="1">
        <v>34235</v>
      </c>
      <c r="B457">
        <v>923</v>
      </c>
      <c r="C457">
        <v>1993</v>
      </c>
      <c r="D457">
        <v>511</v>
      </c>
      <c r="E457">
        <v>11</v>
      </c>
      <c r="F457">
        <v>1118</v>
      </c>
      <c r="G457">
        <v>22</v>
      </c>
      <c r="H457">
        <f>SUMIFS($F$2:F457,$C$2:C457,C457)</f>
        <v>25654</v>
      </c>
      <c r="I457" s="8">
        <f>STAMP_Escapement_Data[[#This Row],[DATE]]-DATE(STAMP_Escapement_Data[[#This Row],[YEAR]],8,1)</f>
        <v>53</v>
      </c>
    </row>
    <row r="458" spans="1:9" x14ac:dyDescent="0.25">
      <c r="A458" s="1">
        <v>34236</v>
      </c>
      <c r="B458">
        <v>924</v>
      </c>
      <c r="C458">
        <v>1993</v>
      </c>
      <c r="D458">
        <v>655</v>
      </c>
      <c r="E458">
        <v>8</v>
      </c>
      <c r="F458">
        <v>1778</v>
      </c>
      <c r="G458">
        <v>31</v>
      </c>
      <c r="H458">
        <f>SUMIFS($F$2:F458,$C$2:C458,C458)</f>
        <v>27432</v>
      </c>
      <c r="I458" s="8">
        <f>STAMP_Escapement_Data[[#This Row],[DATE]]-DATE(STAMP_Escapement_Data[[#This Row],[YEAR]],8,1)</f>
        <v>54</v>
      </c>
    </row>
    <row r="459" spans="1:9" x14ac:dyDescent="0.25">
      <c r="A459" s="1">
        <v>34237</v>
      </c>
      <c r="B459">
        <v>925</v>
      </c>
      <c r="C459">
        <v>1993</v>
      </c>
      <c r="D459">
        <v>453</v>
      </c>
      <c r="E459">
        <v>8</v>
      </c>
      <c r="F459">
        <v>1037</v>
      </c>
      <c r="G459">
        <v>8</v>
      </c>
      <c r="H459">
        <f>SUMIFS($F$2:F459,$C$2:C459,C459)</f>
        <v>28469</v>
      </c>
      <c r="I459" s="8">
        <f>STAMP_Escapement_Data[[#This Row],[DATE]]-DATE(STAMP_Escapement_Data[[#This Row],[YEAR]],8,1)</f>
        <v>55</v>
      </c>
    </row>
    <row r="460" spans="1:9" x14ac:dyDescent="0.25">
      <c r="A460" s="1">
        <v>34238</v>
      </c>
      <c r="B460">
        <v>926</v>
      </c>
      <c r="C460">
        <v>1993</v>
      </c>
      <c r="D460">
        <v>380</v>
      </c>
      <c r="E460">
        <v>5</v>
      </c>
      <c r="F460">
        <v>1476</v>
      </c>
      <c r="G460">
        <v>11</v>
      </c>
      <c r="H460">
        <f>SUMIFS($F$2:F460,$C$2:C460,C460)</f>
        <v>29945</v>
      </c>
      <c r="I460" s="8">
        <f>STAMP_Escapement_Data[[#This Row],[DATE]]-DATE(STAMP_Escapement_Data[[#This Row],[YEAR]],8,1)</f>
        <v>56</v>
      </c>
    </row>
    <row r="461" spans="1:9" x14ac:dyDescent="0.25">
      <c r="A461" s="1">
        <v>34239</v>
      </c>
      <c r="B461">
        <v>927</v>
      </c>
      <c r="C461">
        <v>1993</v>
      </c>
      <c r="D461">
        <v>263</v>
      </c>
      <c r="E461">
        <v>8</v>
      </c>
      <c r="F461">
        <v>1079</v>
      </c>
      <c r="G461">
        <v>35</v>
      </c>
      <c r="H461">
        <f>SUMIFS($F$2:F461,$C$2:C461,C461)</f>
        <v>31024</v>
      </c>
      <c r="I461" s="8">
        <f>STAMP_Escapement_Data[[#This Row],[DATE]]-DATE(STAMP_Escapement_Data[[#This Row],[YEAR]],8,1)</f>
        <v>57</v>
      </c>
    </row>
    <row r="462" spans="1:9" x14ac:dyDescent="0.25">
      <c r="A462" s="1">
        <v>34240</v>
      </c>
      <c r="B462">
        <v>928</v>
      </c>
      <c r="C462">
        <v>1993</v>
      </c>
      <c r="D462">
        <v>372</v>
      </c>
      <c r="E462">
        <v>5</v>
      </c>
      <c r="F462">
        <v>1172</v>
      </c>
      <c r="G462">
        <v>24</v>
      </c>
      <c r="H462">
        <f>SUMIFS($F$2:F462,$C$2:C462,C462)</f>
        <v>32196</v>
      </c>
      <c r="I462" s="8">
        <f>STAMP_Escapement_Data[[#This Row],[DATE]]-DATE(STAMP_Escapement_Data[[#This Row],[YEAR]],8,1)</f>
        <v>58</v>
      </c>
    </row>
    <row r="463" spans="1:9" x14ac:dyDescent="0.25">
      <c r="A463" s="1">
        <v>34241</v>
      </c>
      <c r="B463">
        <v>929</v>
      </c>
      <c r="C463">
        <v>1993</v>
      </c>
      <c r="D463">
        <v>431</v>
      </c>
      <c r="E463">
        <v>8</v>
      </c>
      <c r="F463">
        <v>1193</v>
      </c>
      <c r="G463">
        <v>24</v>
      </c>
      <c r="H463">
        <f>SUMIFS($F$2:F463,$C$2:C463,C463)</f>
        <v>33389</v>
      </c>
      <c r="I463" s="8">
        <f>STAMP_Escapement_Data[[#This Row],[DATE]]-DATE(STAMP_Escapement_Data[[#This Row],[YEAR]],8,1)</f>
        <v>59</v>
      </c>
    </row>
    <row r="464" spans="1:9" x14ac:dyDescent="0.25">
      <c r="A464" s="1">
        <v>34242</v>
      </c>
      <c r="B464">
        <v>930</v>
      </c>
      <c r="C464">
        <v>1993</v>
      </c>
      <c r="D464">
        <v>262</v>
      </c>
      <c r="E464">
        <v>35</v>
      </c>
      <c r="F464">
        <v>1018</v>
      </c>
      <c r="G464">
        <v>32</v>
      </c>
      <c r="H464">
        <f>SUMIFS($F$2:F464,$C$2:C464,C464)</f>
        <v>34407</v>
      </c>
      <c r="I464" s="8">
        <f>STAMP_Escapement_Data[[#This Row],[DATE]]-DATE(STAMP_Escapement_Data[[#This Row],[YEAR]],8,1)</f>
        <v>60</v>
      </c>
    </row>
    <row r="465" spans="1:9" x14ac:dyDescent="0.25">
      <c r="A465" s="1">
        <v>34243</v>
      </c>
      <c r="B465">
        <v>1001</v>
      </c>
      <c r="C465">
        <v>1993</v>
      </c>
      <c r="D465">
        <v>319</v>
      </c>
      <c r="E465">
        <v>25</v>
      </c>
      <c r="F465">
        <v>1603</v>
      </c>
      <c r="G465">
        <v>39</v>
      </c>
      <c r="H465">
        <f>SUMIFS($F$2:F465,$C$2:C465,C465)</f>
        <v>36010</v>
      </c>
      <c r="I465" s="8">
        <f>STAMP_Escapement_Data[[#This Row],[DATE]]-DATE(STAMP_Escapement_Data[[#This Row],[YEAR]],8,1)</f>
        <v>61</v>
      </c>
    </row>
    <row r="466" spans="1:9" x14ac:dyDescent="0.25">
      <c r="A466" s="1">
        <v>34244</v>
      </c>
      <c r="B466">
        <v>1002</v>
      </c>
      <c r="C466">
        <v>1993</v>
      </c>
      <c r="D466">
        <v>337</v>
      </c>
      <c r="E466">
        <v>13</v>
      </c>
      <c r="F466">
        <v>2522</v>
      </c>
      <c r="G466">
        <v>40</v>
      </c>
      <c r="H466">
        <f>SUMIFS($F$2:F466,$C$2:C466,C466)</f>
        <v>38532</v>
      </c>
      <c r="I466" s="8">
        <f>STAMP_Escapement_Data[[#This Row],[DATE]]-DATE(STAMP_Escapement_Data[[#This Row],[YEAR]],8,1)</f>
        <v>62</v>
      </c>
    </row>
    <row r="467" spans="1:9" x14ac:dyDescent="0.25">
      <c r="A467" s="1">
        <v>34245</v>
      </c>
      <c r="B467">
        <v>1003</v>
      </c>
      <c r="C467">
        <v>1993</v>
      </c>
      <c r="D467">
        <v>288</v>
      </c>
      <c r="E467">
        <v>15</v>
      </c>
      <c r="F467">
        <v>4208</v>
      </c>
      <c r="G467">
        <v>52</v>
      </c>
      <c r="H467">
        <f>SUMIFS($F$2:F467,$C$2:C467,C467)</f>
        <v>42740</v>
      </c>
      <c r="I467" s="8">
        <f>STAMP_Escapement_Data[[#This Row],[DATE]]-DATE(STAMP_Escapement_Data[[#This Row],[YEAR]],8,1)</f>
        <v>63</v>
      </c>
    </row>
    <row r="468" spans="1:9" x14ac:dyDescent="0.25">
      <c r="A468" s="1">
        <v>34246</v>
      </c>
      <c r="B468">
        <v>1004</v>
      </c>
      <c r="C468">
        <v>1993</v>
      </c>
      <c r="D468">
        <v>663</v>
      </c>
      <c r="E468">
        <v>40</v>
      </c>
      <c r="F468">
        <v>5250</v>
      </c>
      <c r="G468">
        <v>46</v>
      </c>
      <c r="H468">
        <f>SUMIFS($F$2:F468,$C$2:C468,C468)</f>
        <v>47990</v>
      </c>
      <c r="I468" s="8">
        <f>STAMP_Escapement_Data[[#This Row],[DATE]]-DATE(STAMP_Escapement_Data[[#This Row],[YEAR]],8,1)</f>
        <v>64</v>
      </c>
    </row>
    <row r="469" spans="1:9" x14ac:dyDescent="0.25">
      <c r="A469" s="1">
        <v>34247</v>
      </c>
      <c r="B469">
        <v>1005</v>
      </c>
      <c r="C469">
        <v>1993</v>
      </c>
      <c r="D469">
        <v>434</v>
      </c>
      <c r="E469">
        <v>15</v>
      </c>
      <c r="F469">
        <v>5894</v>
      </c>
      <c r="G469">
        <v>15</v>
      </c>
      <c r="H469">
        <f>SUMIFS($F$2:F469,$C$2:C469,C469)</f>
        <v>53884</v>
      </c>
      <c r="I469" s="8">
        <f>STAMP_Escapement_Data[[#This Row],[DATE]]-DATE(STAMP_Escapement_Data[[#This Row],[YEAR]],8,1)</f>
        <v>65</v>
      </c>
    </row>
    <row r="470" spans="1:9" x14ac:dyDescent="0.25">
      <c r="A470" s="1">
        <v>34248</v>
      </c>
      <c r="B470">
        <v>1006</v>
      </c>
      <c r="C470">
        <v>1993</v>
      </c>
      <c r="D470">
        <v>608</v>
      </c>
      <c r="E470">
        <v>68</v>
      </c>
      <c r="F470">
        <v>4339</v>
      </c>
      <c r="G470">
        <v>6</v>
      </c>
      <c r="H470">
        <f>SUMIFS($F$2:F470,$C$2:C470,C470)</f>
        <v>58223</v>
      </c>
      <c r="I470" s="8">
        <f>STAMP_Escapement_Data[[#This Row],[DATE]]-DATE(STAMP_Escapement_Data[[#This Row],[YEAR]],8,1)</f>
        <v>66</v>
      </c>
    </row>
    <row r="471" spans="1:9" x14ac:dyDescent="0.25">
      <c r="A471" s="1">
        <v>34249</v>
      </c>
      <c r="B471">
        <v>1007</v>
      </c>
      <c r="C471">
        <v>1993</v>
      </c>
      <c r="D471">
        <v>322</v>
      </c>
      <c r="E471">
        <v>23</v>
      </c>
      <c r="F471">
        <v>3064</v>
      </c>
      <c r="G471">
        <v>12</v>
      </c>
      <c r="H471">
        <f>SUMIFS($F$2:F471,$C$2:C471,C471)</f>
        <v>61287</v>
      </c>
      <c r="I471" s="8">
        <f>STAMP_Escapement_Data[[#This Row],[DATE]]-DATE(STAMP_Escapement_Data[[#This Row],[YEAR]],8,1)</f>
        <v>67</v>
      </c>
    </row>
    <row r="472" spans="1:9" x14ac:dyDescent="0.25">
      <c r="A472" s="1">
        <v>34250</v>
      </c>
      <c r="B472">
        <v>1008</v>
      </c>
      <c r="C472">
        <v>1993</v>
      </c>
      <c r="D472">
        <v>290</v>
      </c>
      <c r="E472">
        <v>10</v>
      </c>
      <c r="F472">
        <v>2768</v>
      </c>
      <c r="G472">
        <v>4</v>
      </c>
      <c r="H472">
        <f>SUMIFS($F$2:F472,$C$2:C472,C472)</f>
        <v>64055</v>
      </c>
      <c r="I472" s="8">
        <f>STAMP_Escapement_Data[[#This Row],[DATE]]-DATE(STAMP_Escapement_Data[[#This Row],[YEAR]],8,1)</f>
        <v>68</v>
      </c>
    </row>
    <row r="473" spans="1:9" x14ac:dyDescent="0.25">
      <c r="A473" s="1">
        <v>34251</v>
      </c>
      <c r="B473">
        <v>1009</v>
      </c>
      <c r="C473">
        <v>1993</v>
      </c>
      <c r="D473">
        <v>493</v>
      </c>
      <c r="E473">
        <v>13</v>
      </c>
      <c r="F473">
        <v>2989</v>
      </c>
      <c r="G473">
        <v>24</v>
      </c>
      <c r="H473">
        <f>SUMIFS($F$2:F473,$C$2:C473,C473)</f>
        <v>67044</v>
      </c>
      <c r="I473" s="8">
        <f>STAMP_Escapement_Data[[#This Row],[DATE]]-DATE(STAMP_Escapement_Data[[#This Row],[YEAR]],8,1)</f>
        <v>69</v>
      </c>
    </row>
    <row r="474" spans="1:9" x14ac:dyDescent="0.25">
      <c r="A474" s="1">
        <v>34252</v>
      </c>
      <c r="B474">
        <v>1010</v>
      </c>
      <c r="C474">
        <v>1993</v>
      </c>
      <c r="D474">
        <v>549</v>
      </c>
      <c r="E474">
        <v>9</v>
      </c>
      <c r="F474">
        <v>6386</v>
      </c>
      <c r="G474">
        <v>27</v>
      </c>
      <c r="H474">
        <f>SUMIFS($F$2:F474,$C$2:C474,C474)</f>
        <v>73430</v>
      </c>
      <c r="I474" s="8">
        <f>STAMP_Escapement_Data[[#This Row],[DATE]]-DATE(STAMP_Escapement_Data[[#This Row],[YEAR]],8,1)</f>
        <v>70</v>
      </c>
    </row>
    <row r="475" spans="1:9" x14ac:dyDescent="0.25">
      <c r="A475" s="1">
        <v>34253</v>
      </c>
      <c r="B475">
        <v>1011</v>
      </c>
      <c r="C475">
        <v>1993</v>
      </c>
      <c r="D475">
        <v>399</v>
      </c>
      <c r="E475">
        <v>2</v>
      </c>
      <c r="F475">
        <v>5966</v>
      </c>
      <c r="G475">
        <v>28</v>
      </c>
      <c r="H475">
        <f>SUMIFS($F$2:F475,$C$2:C475,C475)</f>
        <v>79396</v>
      </c>
      <c r="I475" s="8">
        <f>STAMP_Escapement_Data[[#This Row],[DATE]]-DATE(STAMP_Escapement_Data[[#This Row],[YEAR]],8,1)</f>
        <v>71</v>
      </c>
    </row>
    <row r="476" spans="1:9" x14ac:dyDescent="0.25">
      <c r="A476" s="1">
        <v>34254</v>
      </c>
      <c r="B476">
        <v>1012</v>
      </c>
      <c r="C476">
        <v>1993</v>
      </c>
      <c r="D476">
        <v>395</v>
      </c>
      <c r="E476">
        <v>17</v>
      </c>
      <c r="F476">
        <v>3106</v>
      </c>
      <c r="G476">
        <v>10</v>
      </c>
      <c r="H476">
        <f>SUMIFS($F$2:F476,$C$2:C476,C476)</f>
        <v>82502</v>
      </c>
      <c r="I476" s="8">
        <f>STAMP_Escapement_Data[[#This Row],[DATE]]-DATE(STAMP_Escapement_Data[[#This Row],[YEAR]],8,1)</f>
        <v>72</v>
      </c>
    </row>
    <row r="477" spans="1:9" x14ac:dyDescent="0.25">
      <c r="A477" s="1">
        <v>34255</v>
      </c>
      <c r="B477">
        <v>1013</v>
      </c>
      <c r="C477">
        <v>1993</v>
      </c>
      <c r="D477">
        <v>413</v>
      </c>
      <c r="E477">
        <v>21</v>
      </c>
      <c r="F477">
        <v>2002</v>
      </c>
      <c r="G477">
        <v>7</v>
      </c>
      <c r="H477">
        <f>SUMIFS($F$2:F477,$C$2:C477,C477)</f>
        <v>84504</v>
      </c>
      <c r="I477" s="8">
        <f>STAMP_Escapement_Data[[#This Row],[DATE]]-DATE(STAMP_Escapement_Data[[#This Row],[YEAR]],8,1)</f>
        <v>73</v>
      </c>
    </row>
    <row r="478" spans="1:9" x14ac:dyDescent="0.25">
      <c r="A478" s="1">
        <v>34256</v>
      </c>
      <c r="B478">
        <v>1014</v>
      </c>
      <c r="C478">
        <v>1993</v>
      </c>
      <c r="D478">
        <v>352</v>
      </c>
      <c r="E478">
        <v>22</v>
      </c>
      <c r="F478">
        <v>2050</v>
      </c>
      <c r="G478">
        <v>12</v>
      </c>
      <c r="H478">
        <f>SUMIFS($F$2:F478,$C$2:C478,C478)</f>
        <v>86554</v>
      </c>
      <c r="I478" s="8">
        <f>STAMP_Escapement_Data[[#This Row],[DATE]]-DATE(STAMP_Escapement_Data[[#This Row],[YEAR]],8,1)</f>
        <v>74</v>
      </c>
    </row>
    <row r="479" spans="1:9" x14ac:dyDescent="0.25">
      <c r="A479" s="1">
        <v>34257</v>
      </c>
      <c r="B479">
        <v>1015</v>
      </c>
      <c r="C479">
        <v>1993</v>
      </c>
      <c r="D479">
        <v>255</v>
      </c>
      <c r="E479">
        <v>13</v>
      </c>
      <c r="F479">
        <v>1502</v>
      </c>
      <c r="G479">
        <v>10</v>
      </c>
      <c r="H479">
        <f>SUMIFS($F$2:F479,$C$2:C479,C479)</f>
        <v>88056</v>
      </c>
      <c r="I479" s="8">
        <f>STAMP_Escapement_Data[[#This Row],[DATE]]-DATE(STAMP_Escapement_Data[[#This Row],[YEAR]],8,1)</f>
        <v>75</v>
      </c>
    </row>
    <row r="480" spans="1:9" x14ac:dyDescent="0.25">
      <c r="A480" s="1">
        <v>34258</v>
      </c>
      <c r="B480">
        <v>1016</v>
      </c>
      <c r="C480">
        <v>1993</v>
      </c>
      <c r="D480">
        <v>251</v>
      </c>
      <c r="E480">
        <v>5</v>
      </c>
      <c r="F480">
        <v>1270</v>
      </c>
      <c r="G480">
        <v>24</v>
      </c>
      <c r="H480">
        <f>SUMIFS($F$2:F480,$C$2:C480,C480)</f>
        <v>89326</v>
      </c>
      <c r="I480" s="8">
        <f>STAMP_Escapement_Data[[#This Row],[DATE]]-DATE(STAMP_Escapement_Data[[#This Row],[YEAR]],8,1)</f>
        <v>76</v>
      </c>
    </row>
    <row r="481" spans="1:9" x14ac:dyDescent="0.25">
      <c r="A481" s="1">
        <v>34259</v>
      </c>
      <c r="B481">
        <v>1017</v>
      </c>
      <c r="C481">
        <v>1993</v>
      </c>
      <c r="D481">
        <v>142</v>
      </c>
      <c r="E481">
        <v>5</v>
      </c>
      <c r="F481">
        <v>1047</v>
      </c>
      <c r="G481">
        <v>44</v>
      </c>
      <c r="H481">
        <f>SUMIFS($F$2:F481,$C$2:C481,C481)</f>
        <v>90373</v>
      </c>
      <c r="I481" s="8">
        <f>STAMP_Escapement_Data[[#This Row],[DATE]]-DATE(STAMP_Escapement_Data[[#This Row],[YEAR]],8,1)</f>
        <v>77</v>
      </c>
    </row>
    <row r="482" spans="1:9" x14ac:dyDescent="0.25">
      <c r="A482" s="1">
        <v>34260</v>
      </c>
      <c r="B482">
        <v>1018</v>
      </c>
      <c r="C482">
        <v>1993</v>
      </c>
      <c r="D482">
        <v>134</v>
      </c>
      <c r="E482">
        <v>4</v>
      </c>
      <c r="F482">
        <v>839</v>
      </c>
      <c r="G482">
        <v>66</v>
      </c>
      <c r="H482">
        <f>SUMIFS($F$2:F482,$C$2:C482,C482)</f>
        <v>91212</v>
      </c>
      <c r="I482" s="8">
        <f>STAMP_Escapement_Data[[#This Row],[DATE]]-DATE(STAMP_Escapement_Data[[#This Row],[YEAR]],8,1)</f>
        <v>78</v>
      </c>
    </row>
    <row r="483" spans="1:9" x14ac:dyDescent="0.25">
      <c r="A483" s="1">
        <v>34261</v>
      </c>
      <c r="B483">
        <v>1019</v>
      </c>
      <c r="C483">
        <v>1993</v>
      </c>
      <c r="D483">
        <v>171</v>
      </c>
      <c r="E483">
        <v>1</v>
      </c>
      <c r="F483">
        <v>716</v>
      </c>
      <c r="G483">
        <v>50</v>
      </c>
      <c r="H483">
        <f>SUMIFS($F$2:F483,$C$2:C483,C483)</f>
        <v>91928</v>
      </c>
      <c r="I483" s="8">
        <f>STAMP_Escapement_Data[[#This Row],[DATE]]-DATE(STAMP_Escapement_Data[[#This Row],[YEAR]],8,1)</f>
        <v>79</v>
      </c>
    </row>
    <row r="484" spans="1:9" x14ac:dyDescent="0.25">
      <c r="A484" s="1">
        <v>34262</v>
      </c>
      <c r="B484">
        <v>1020</v>
      </c>
      <c r="C484">
        <v>1993</v>
      </c>
      <c r="D484">
        <v>180</v>
      </c>
      <c r="E484">
        <v>5</v>
      </c>
      <c r="F484">
        <v>904</v>
      </c>
      <c r="G484">
        <v>48</v>
      </c>
      <c r="H484">
        <f>SUMIFS($F$2:F484,$C$2:C484,C484)</f>
        <v>92832</v>
      </c>
      <c r="I484" s="8">
        <f>STAMP_Escapement_Data[[#This Row],[DATE]]-DATE(STAMP_Escapement_Data[[#This Row],[YEAR]],8,1)</f>
        <v>80</v>
      </c>
    </row>
    <row r="485" spans="1:9" x14ac:dyDescent="0.25">
      <c r="A485" s="1">
        <v>34263</v>
      </c>
      <c r="B485">
        <v>1021</v>
      </c>
      <c r="C485">
        <v>1993</v>
      </c>
      <c r="D485">
        <v>83</v>
      </c>
      <c r="E485">
        <v>5</v>
      </c>
      <c r="F485">
        <v>576</v>
      </c>
      <c r="G485">
        <v>9</v>
      </c>
      <c r="H485">
        <f>SUMIFS($F$2:F485,$C$2:C485,C485)</f>
        <v>93408</v>
      </c>
      <c r="I485" s="8">
        <f>STAMP_Escapement_Data[[#This Row],[DATE]]-DATE(STAMP_Escapement_Data[[#This Row],[YEAR]],8,1)</f>
        <v>81</v>
      </c>
    </row>
    <row r="486" spans="1:9" x14ac:dyDescent="0.25">
      <c r="A486" s="1">
        <v>34264</v>
      </c>
      <c r="B486">
        <v>1022</v>
      </c>
      <c r="C486">
        <v>1993</v>
      </c>
      <c r="D486">
        <v>113</v>
      </c>
      <c r="E486">
        <v>5</v>
      </c>
      <c r="F486">
        <v>610</v>
      </c>
      <c r="G486">
        <v>8</v>
      </c>
      <c r="H486">
        <f>SUMIFS($F$2:F486,$C$2:C486,C486)</f>
        <v>94018</v>
      </c>
      <c r="I486" s="8">
        <f>STAMP_Escapement_Data[[#This Row],[DATE]]-DATE(STAMP_Escapement_Data[[#This Row],[YEAR]],8,1)</f>
        <v>82</v>
      </c>
    </row>
    <row r="487" spans="1:9" x14ac:dyDescent="0.25">
      <c r="A487" s="1">
        <v>34265</v>
      </c>
      <c r="B487">
        <v>1023</v>
      </c>
      <c r="C487">
        <v>1993</v>
      </c>
      <c r="D487">
        <v>271</v>
      </c>
      <c r="E487">
        <v>9</v>
      </c>
      <c r="F487">
        <v>1010</v>
      </c>
      <c r="G487">
        <v>3</v>
      </c>
      <c r="H487">
        <f>SUMIFS($F$2:F487,$C$2:C487,C487)</f>
        <v>95028</v>
      </c>
      <c r="I487" s="8">
        <f>STAMP_Escapement_Data[[#This Row],[DATE]]-DATE(STAMP_Escapement_Data[[#This Row],[YEAR]],8,1)</f>
        <v>83</v>
      </c>
    </row>
    <row r="488" spans="1:9" x14ac:dyDescent="0.25">
      <c r="A488" s="1">
        <v>34266</v>
      </c>
      <c r="B488">
        <v>1024</v>
      </c>
      <c r="C488">
        <v>1993</v>
      </c>
      <c r="D488">
        <v>97</v>
      </c>
      <c r="E488">
        <v>8</v>
      </c>
      <c r="F488">
        <v>363</v>
      </c>
      <c r="G488">
        <v>0</v>
      </c>
      <c r="H488">
        <f>SUMIFS($F$2:F488,$C$2:C488,C488)</f>
        <v>95391</v>
      </c>
      <c r="I488" s="8">
        <f>STAMP_Escapement_Data[[#This Row],[DATE]]-DATE(STAMP_Escapement_Data[[#This Row],[YEAR]],8,1)</f>
        <v>84</v>
      </c>
    </row>
    <row r="489" spans="1:9" x14ac:dyDescent="0.25">
      <c r="A489" s="1">
        <v>34267</v>
      </c>
      <c r="B489">
        <v>1025</v>
      </c>
      <c r="C489">
        <v>1993</v>
      </c>
      <c r="D489">
        <v>68</v>
      </c>
      <c r="E489">
        <v>3</v>
      </c>
      <c r="F489">
        <v>246</v>
      </c>
      <c r="G489">
        <v>1</v>
      </c>
      <c r="H489">
        <f>SUMIFS($F$2:F489,$C$2:C489,C489)</f>
        <v>95637</v>
      </c>
      <c r="I489" s="8">
        <f>STAMP_Escapement_Data[[#This Row],[DATE]]-DATE(STAMP_Escapement_Data[[#This Row],[YEAR]],8,1)</f>
        <v>85</v>
      </c>
    </row>
    <row r="490" spans="1:9" x14ac:dyDescent="0.25">
      <c r="A490" s="1">
        <v>34268</v>
      </c>
      <c r="B490">
        <v>1026</v>
      </c>
      <c r="C490">
        <v>1993</v>
      </c>
      <c r="D490">
        <v>37</v>
      </c>
      <c r="E490">
        <v>3</v>
      </c>
      <c r="F490">
        <v>154</v>
      </c>
      <c r="G490">
        <v>4</v>
      </c>
      <c r="H490">
        <f>SUMIFS($F$2:F490,$C$2:C490,C490)</f>
        <v>95791</v>
      </c>
      <c r="I490" s="8">
        <f>STAMP_Escapement_Data[[#This Row],[DATE]]-DATE(STAMP_Escapement_Data[[#This Row],[YEAR]],8,1)</f>
        <v>86</v>
      </c>
    </row>
    <row r="491" spans="1:9" x14ac:dyDescent="0.25">
      <c r="A491" s="1">
        <v>34269</v>
      </c>
      <c r="B491">
        <v>1027</v>
      </c>
      <c r="C491">
        <v>1993</v>
      </c>
      <c r="D491">
        <v>27</v>
      </c>
      <c r="E491">
        <v>3</v>
      </c>
      <c r="F491">
        <v>114</v>
      </c>
      <c r="G491">
        <v>3</v>
      </c>
      <c r="H491">
        <f>SUMIFS($F$2:F491,$C$2:C491,C491)</f>
        <v>95905</v>
      </c>
      <c r="I491" s="8">
        <f>STAMP_Escapement_Data[[#This Row],[DATE]]-DATE(STAMP_Escapement_Data[[#This Row],[YEAR]],8,1)</f>
        <v>87</v>
      </c>
    </row>
    <row r="492" spans="1:9" x14ac:dyDescent="0.25">
      <c r="A492" s="1">
        <v>34270</v>
      </c>
      <c r="B492">
        <v>1028</v>
      </c>
      <c r="C492">
        <v>1993</v>
      </c>
      <c r="D492">
        <v>21</v>
      </c>
      <c r="E492">
        <v>4</v>
      </c>
      <c r="F492">
        <v>66</v>
      </c>
      <c r="G492">
        <v>4</v>
      </c>
      <c r="H492">
        <f>SUMIFS($F$2:F492,$C$2:C492,C492)</f>
        <v>95971</v>
      </c>
      <c r="I492" s="8">
        <f>STAMP_Escapement_Data[[#This Row],[DATE]]-DATE(STAMP_Escapement_Data[[#This Row],[YEAR]],8,1)</f>
        <v>88</v>
      </c>
    </row>
    <row r="493" spans="1:9" x14ac:dyDescent="0.25">
      <c r="A493" s="1">
        <v>34271</v>
      </c>
      <c r="B493">
        <v>1029</v>
      </c>
      <c r="C493">
        <v>1993</v>
      </c>
      <c r="D493">
        <v>34</v>
      </c>
      <c r="E493">
        <v>2</v>
      </c>
      <c r="F493">
        <v>54</v>
      </c>
      <c r="G493">
        <v>3</v>
      </c>
      <c r="H493">
        <f>SUMIFS($F$2:F493,$C$2:C493,C493)</f>
        <v>96025</v>
      </c>
      <c r="I493" s="8">
        <f>STAMP_Escapement_Data[[#This Row],[DATE]]-DATE(STAMP_Escapement_Data[[#This Row],[YEAR]],8,1)</f>
        <v>89</v>
      </c>
    </row>
    <row r="494" spans="1:9" x14ac:dyDescent="0.25">
      <c r="A494" s="1">
        <v>34272</v>
      </c>
      <c r="B494">
        <v>1030</v>
      </c>
      <c r="C494">
        <v>1993</v>
      </c>
      <c r="D494">
        <v>25</v>
      </c>
      <c r="E494">
        <v>0</v>
      </c>
      <c r="F494">
        <v>44</v>
      </c>
      <c r="G494">
        <v>3</v>
      </c>
      <c r="H494">
        <f>SUMIFS($F$2:F494,$C$2:C494,C494)</f>
        <v>96069</v>
      </c>
      <c r="I494" s="8">
        <f>STAMP_Escapement_Data[[#This Row],[DATE]]-DATE(STAMP_Escapement_Data[[#This Row],[YEAR]],8,1)</f>
        <v>90</v>
      </c>
    </row>
    <row r="495" spans="1:9" x14ac:dyDescent="0.25">
      <c r="A495" s="1">
        <v>34273</v>
      </c>
      <c r="B495">
        <v>1031</v>
      </c>
      <c r="C495">
        <v>1993</v>
      </c>
      <c r="D495">
        <v>9</v>
      </c>
      <c r="E495">
        <v>4</v>
      </c>
      <c r="F495">
        <v>30</v>
      </c>
      <c r="G495">
        <v>1</v>
      </c>
      <c r="H495">
        <f>SUMIFS($F$2:F495,$C$2:C495,C495)</f>
        <v>96099</v>
      </c>
      <c r="I495" s="8">
        <f>STAMP_Escapement_Data[[#This Row],[DATE]]-DATE(STAMP_Escapement_Data[[#This Row],[YEAR]],8,1)</f>
        <v>91</v>
      </c>
    </row>
    <row r="496" spans="1:9" x14ac:dyDescent="0.25">
      <c r="A496" s="1">
        <v>34274</v>
      </c>
      <c r="B496">
        <v>1101</v>
      </c>
      <c r="C496">
        <v>1993</v>
      </c>
      <c r="D496">
        <v>23</v>
      </c>
      <c r="E496">
        <v>0</v>
      </c>
      <c r="F496">
        <v>27</v>
      </c>
      <c r="G496">
        <v>0</v>
      </c>
      <c r="H496">
        <f>SUMIFS($F$2:F496,$C$2:C496,C496)</f>
        <v>96126</v>
      </c>
      <c r="I496" s="8">
        <f>STAMP_Escapement_Data[[#This Row],[DATE]]-DATE(STAMP_Escapement_Data[[#This Row],[YEAR]],8,1)</f>
        <v>92</v>
      </c>
    </row>
    <row r="497" spans="1:9" x14ac:dyDescent="0.25">
      <c r="A497" s="1">
        <v>34275</v>
      </c>
      <c r="B497">
        <v>1102</v>
      </c>
      <c r="C497">
        <v>1993</v>
      </c>
      <c r="D497">
        <v>16</v>
      </c>
      <c r="E497">
        <v>4</v>
      </c>
      <c r="F497">
        <v>25</v>
      </c>
      <c r="G497">
        <v>0</v>
      </c>
      <c r="H497">
        <f>SUMIFS($F$2:F497,$C$2:C497,C497)</f>
        <v>96151</v>
      </c>
      <c r="I497" s="8">
        <f>STAMP_Escapement_Data[[#This Row],[DATE]]-DATE(STAMP_Escapement_Data[[#This Row],[YEAR]],8,1)</f>
        <v>93</v>
      </c>
    </row>
    <row r="498" spans="1:9" x14ac:dyDescent="0.25">
      <c r="A498" s="1">
        <v>34276</v>
      </c>
      <c r="B498">
        <v>1103</v>
      </c>
      <c r="C498">
        <v>1993</v>
      </c>
      <c r="D498">
        <v>40</v>
      </c>
      <c r="E498">
        <v>8</v>
      </c>
      <c r="F498">
        <v>33</v>
      </c>
      <c r="G498">
        <v>1</v>
      </c>
      <c r="H498">
        <f>SUMIFS($F$2:F498,$C$2:C498,C498)</f>
        <v>96184</v>
      </c>
      <c r="I498" s="8">
        <f>STAMP_Escapement_Data[[#This Row],[DATE]]-DATE(STAMP_Escapement_Data[[#This Row],[YEAR]],8,1)</f>
        <v>94</v>
      </c>
    </row>
    <row r="499" spans="1:9" x14ac:dyDescent="0.25">
      <c r="A499" s="1">
        <v>34277</v>
      </c>
      <c r="B499">
        <v>1104</v>
      </c>
      <c r="C499">
        <v>1993</v>
      </c>
      <c r="D499">
        <v>15</v>
      </c>
      <c r="E499">
        <v>5</v>
      </c>
      <c r="F499">
        <v>26</v>
      </c>
      <c r="G499">
        <v>2</v>
      </c>
      <c r="H499">
        <f>SUMIFS($F$2:F499,$C$2:C499,C499)</f>
        <v>96210</v>
      </c>
      <c r="I499" s="8">
        <f>STAMP_Escapement_Data[[#This Row],[DATE]]-DATE(STAMP_Escapement_Data[[#This Row],[YEAR]],8,1)</f>
        <v>95</v>
      </c>
    </row>
    <row r="500" spans="1:9" x14ac:dyDescent="0.25">
      <c r="A500" s="1">
        <v>34278</v>
      </c>
      <c r="B500">
        <v>1105</v>
      </c>
      <c r="C500">
        <v>1993</v>
      </c>
      <c r="D500">
        <v>13</v>
      </c>
      <c r="E500">
        <v>4</v>
      </c>
      <c r="F500">
        <v>12</v>
      </c>
      <c r="G500">
        <v>3</v>
      </c>
      <c r="H500">
        <f>SUMIFS($F$2:F500,$C$2:C500,C500)</f>
        <v>96222</v>
      </c>
      <c r="I500" s="8">
        <f>STAMP_Escapement_Data[[#This Row],[DATE]]-DATE(STAMP_Escapement_Data[[#This Row],[YEAR]],8,1)</f>
        <v>96</v>
      </c>
    </row>
    <row r="501" spans="1:9" x14ac:dyDescent="0.25">
      <c r="A501" s="1">
        <v>34279</v>
      </c>
      <c r="B501">
        <v>1106</v>
      </c>
      <c r="C501">
        <v>1993</v>
      </c>
      <c r="D501">
        <v>13</v>
      </c>
      <c r="E501">
        <v>5</v>
      </c>
      <c r="F501">
        <v>14</v>
      </c>
      <c r="G501">
        <v>2</v>
      </c>
      <c r="H501">
        <f>SUMIFS($F$2:F501,$C$2:C501,C501)</f>
        <v>96236</v>
      </c>
      <c r="I501" s="8">
        <f>STAMP_Escapement_Data[[#This Row],[DATE]]-DATE(STAMP_Escapement_Data[[#This Row],[YEAR]],8,1)</f>
        <v>97</v>
      </c>
    </row>
    <row r="502" spans="1:9" x14ac:dyDescent="0.25">
      <c r="A502" s="1">
        <v>34280</v>
      </c>
      <c r="B502">
        <v>1107</v>
      </c>
      <c r="C502">
        <v>1993</v>
      </c>
      <c r="D502">
        <v>6</v>
      </c>
      <c r="E502">
        <v>2</v>
      </c>
      <c r="F502">
        <v>5</v>
      </c>
      <c r="G502">
        <v>1</v>
      </c>
      <c r="H502">
        <f>SUMIFS($F$2:F502,$C$2:C502,C502)</f>
        <v>96241</v>
      </c>
      <c r="I502" s="8">
        <f>STAMP_Escapement_Data[[#This Row],[DATE]]-DATE(STAMP_Escapement_Data[[#This Row],[YEAR]],8,1)</f>
        <v>98</v>
      </c>
    </row>
    <row r="503" spans="1:9" x14ac:dyDescent="0.25">
      <c r="A503" s="1">
        <v>34281</v>
      </c>
      <c r="B503">
        <v>1108</v>
      </c>
      <c r="C503">
        <v>1993</v>
      </c>
      <c r="D503">
        <v>5</v>
      </c>
      <c r="E503">
        <v>8</v>
      </c>
      <c r="F503">
        <v>6</v>
      </c>
      <c r="G503">
        <v>0</v>
      </c>
      <c r="H503">
        <f>SUMIFS($F$2:F503,$C$2:C503,C503)</f>
        <v>96247</v>
      </c>
      <c r="I503" s="8">
        <f>STAMP_Escapement_Data[[#This Row],[DATE]]-DATE(STAMP_Escapement_Data[[#This Row],[YEAR]],8,1)</f>
        <v>99</v>
      </c>
    </row>
    <row r="504" spans="1:9" x14ac:dyDescent="0.25">
      <c r="A504" s="1">
        <v>34282</v>
      </c>
      <c r="B504">
        <v>1109</v>
      </c>
      <c r="C504">
        <v>1993</v>
      </c>
      <c r="D504">
        <v>4</v>
      </c>
      <c r="E504">
        <v>4</v>
      </c>
      <c r="F504">
        <v>6</v>
      </c>
      <c r="G504">
        <v>1</v>
      </c>
      <c r="H504">
        <f>SUMIFS($F$2:F504,$C$2:C504,C504)</f>
        <v>96253</v>
      </c>
      <c r="I504" s="8">
        <f>STAMP_Escapement_Data[[#This Row],[DATE]]-DATE(STAMP_Escapement_Data[[#This Row],[YEAR]],8,1)</f>
        <v>100</v>
      </c>
    </row>
    <row r="505" spans="1:9" x14ac:dyDescent="0.25">
      <c r="A505" s="1">
        <v>34283</v>
      </c>
      <c r="B505">
        <v>1110</v>
      </c>
      <c r="C505">
        <v>1993</v>
      </c>
      <c r="D505">
        <v>3</v>
      </c>
      <c r="E505">
        <v>1</v>
      </c>
      <c r="F505">
        <v>4</v>
      </c>
      <c r="G505">
        <v>0</v>
      </c>
      <c r="H505">
        <f>SUMIFS($F$2:F505,$C$2:C505,C505)</f>
        <v>96257</v>
      </c>
      <c r="I505" s="8">
        <f>STAMP_Escapement_Data[[#This Row],[DATE]]-DATE(STAMP_Escapement_Data[[#This Row],[YEAR]],8,1)</f>
        <v>101</v>
      </c>
    </row>
    <row r="506" spans="1:9" x14ac:dyDescent="0.25">
      <c r="A506" s="1">
        <v>34578</v>
      </c>
      <c r="B506">
        <v>901</v>
      </c>
      <c r="C506">
        <v>1994</v>
      </c>
      <c r="D506">
        <v>0</v>
      </c>
      <c r="E506">
        <v>0</v>
      </c>
      <c r="F506">
        <v>74</v>
      </c>
      <c r="G506">
        <v>5</v>
      </c>
      <c r="H506">
        <f>SUMIFS($F$2:F506,$C$2:C506,C506)</f>
        <v>74</v>
      </c>
      <c r="I506" s="8">
        <f>STAMP_Escapement_Data[[#This Row],[DATE]]-DATE(STAMP_Escapement_Data[[#This Row],[YEAR]],8,1)</f>
        <v>31</v>
      </c>
    </row>
    <row r="507" spans="1:9" x14ac:dyDescent="0.25">
      <c r="A507" s="1">
        <v>34579</v>
      </c>
      <c r="B507">
        <v>902</v>
      </c>
      <c r="C507">
        <v>1994</v>
      </c>
      <c r="D507">
        <v>0</v>
      </c>
      <c r="E507">
        <v>0</v>
      </c>
      <c r="F507">
        <v>37</v>
      </c>
      <c r="G507">
        <v>3</v>
      </c>
      <c r="H507">
        <f>SUMIFS($F$2:F507,$C$2:C507,C507)</f>
        <v>111</v>
      </c>
      <c r="I507" s="8">
        <f>STAMP_Escapement_Data[[#This Row],[DATE]]-DATE(STAMP_Escapement_Data[[#This Row],[YEAR]],8,1)</f>
        <v>32</v>
      </c>
    </row>
    <row r="508" spans="1:9" x14ac:dyDescent="0.25">
      <c r="A508" s="1">
        <v>34580</v>
      </c>
      <c r="B508">
        <v>903</v>
      </c>
      <c r="C508">
        <v>1994</v>
      </c>
      <c r="D508">
        <v>0</v>
      </c>
      <c r="E508">
        <v>0</v>
      </c>
      <c r="F508">
        <v>25</v>
      </c>
      <c r="G508">
        <v>7</v>
      </c>
      <c r="H508">
        <f>SUMIFS($F$2:F508,$C$2:C508,C508)</f>
        <v>136</v>
      </c>
      <c r="I508" s="8">
        <f>STAMP_Escapement_Data[[#This Row],[DATE]]-DATE(STAMP_Escapement_Data[[#This Row],[YEAR]],8,1)</f>
        <v>33</v>
      </c>
    </row>
    <row r="509" spans="1:9" x14ac:dyDescent="0.25">
      <c r="A509" s="1">
        <v>34581</v>
      </c>
      <c r="B509">
        <v>904</v>
      </c>
      <c r="C509">
        <v>1994</v>
      </c>
      <c r="D509">
        <v>0</v>
      </c>
      <c r="E509">
        <v>0</v>
      </c>
      <c r="F509">
        <v>175</v>
      </c>
      <c r="G509">
        <v>11</v>
      </c>
      <c r="H509">
        <f>SUMIFS($F$2:F509,$C$2:C509,C509)</f>
        <v>311</v>
      </c>
      <c r="I509" s="8">
        <f>STAMP_Escapement_Data[[#This Row],[DATE]]-DATE(STAMP_Escapement_Data[[#This Row],[YEAR]],8,1)</f>
        <v>34</v>
      </c>
    </row>
    <row r="510" spans="1:9" x14ac:dyDescent="0.25">
      <c r="A510" s="1">
        <v>34582</v>
      </c>
      <c r="B510">
        <v>905</v>
      </c>
      <c r="C510">
        <v>1994</v>
      </c>
      <c r="D510">
        <v>3</v>
      </c>
      <c r="E510">
        <v>0</v>
      </c>
      <c r="F510">
        <v>272</v>
      </c>
      <c r="G510">
        <v>17</v>
      </c>
      <c r="H510">
        <f>SUMIFS($F$2:F510,$C$2:C510,C510)</f>
        <v>583</v>
      </c>
      <c r="I510" s="8">
        <f>STAMP_Escapement_Data[[#This Row],[DATE]]-DATE(STAMP_Escapement_Data[[#This Row],[YEAR]],8,1)</f>
        <v>35</v>
      </c>
    </row>
    <row r="511" spans="1:9" x14ac:dyDescent="0.25">
      <c r="A511" s="1">
        <v>34583</v>
      </c>
      <c r="B511">
        <v>906</v>
      </c>
      <c r="C511">
        <v>1994</v>
      </c>
      <c r="D511">
        <v>14</v>
      </c>
      <c r="E511">
        <v>60</v>
      </c>
      <c r="F511">
        <v>142</v>
      </c>
      <c r="G511">
        <v>28</v>
      </c>
      <c r="H511">
        <f>SUMIFS($F$2:F511,$C$2:C511,C511)</f>
        <v>725</v>
      </c>
      <c r="I511" s="8">
        <f>STAMP_Escapement_Data[[#This Row],[DATE]]-DATE(STAMP_Escapement_Data[[#This Row],[YEAR]],8,1)</f>
        <v>36</v>
      </c>
    </row>
    <row r="512" spans="1:9" x14ac:dyDescent="0.25">
      <c r="A512" s="1">
        <v>34584</v>
      </c>
      <c r="B512">
        <v>907</v>
      </c>
      <c r="C512">
        <v>1994</v>
      </c>
      <c r="D512">
        <v>58</v>
      </c>
      <c r="E512">
        <v>100</v>
      </c>
      <c r="F512">
        <v>143</v>
      </c>
      <c r="G512">
        <v>15</v>
      </c>
      <c r="H512">
        <f>SUMIFS($F$2:F512,$C$2:C512,C512)</f>
        <v>868</v>
      </c>
      <c r="I512" s="8">
        <f>STAMP_Escapement_Data[[#This Row],[DATE]]-DATE(STAMP_Escapement_Data[[#This Row],[YEAR]],8,1)</f>
        <v>37</v>
      </c>
    </row>
    <row r="513" spans="1:9" x14ac:dyDescent="0.25">
      <c r="A513" s="1">
        <v>34585</v>
      </c>
      <c r="B513">
        <v>908</v>
      </c>
      <c r="C513">
        <v>1994</v>
      </c>
      <c r="D513">
        <v>48</v>
      </c>
      <c r="E513">
        <v>100</v>
      </c>
      <c r="F513">
        <v>2045</v>
      </c>
      <c r="G513">
        <v>22</v>
      </c>
      <c r="H513">
        <f>SUMIFS($F$2:F513,$C$2:C513,C513)</f>
        <v>2913</v>
      </c>
      <c r="I513" s="8">
        <f>STAMP_Escapement_Data[[#This Row],[DATE]]-DATE(STAMP_Escapement_Data[[#This Row],[YEAR]],8,1)</f>
        <v>38</v>
      </c>
    </row>
    <row r="514" spans="1:9" x14ac:dyDescent="0.25">
      <c r="A514" s="1">
        <v>34586</v>
      </c>
      <c r="B514">
        <v>909</v>
      </c>
      <c r="C514">
        <v>1994</v>
      </c>
      <c r="D514">
        <v>38</v>
      </c>
      <c r="E514">
        <v>44</v>
      </c>
      <c r="F514">
        <v>4141</v>
      </c>
      <c r="G514">
        <v>38</v>
      </c>
      <c r="H514">
        <f>SUMIFS($F$2:F514,$C$2:C514,C514)</f>
        <v>7054</v>
      </c>
      <c r="I514" s="8">
        <f>STAMP_Escapement_Data[[#This Row],[DATE]]-DATE(STAMP_Escapement_Data[[#This Row],[YEAR]],8,1)</f>
        <v>39</v>
      </c>
    </row>
    <row r="515" spans="1:9" x14ac:dyDescent="0.25">
      <c r="A515" s="1">
        <v>34587</v>
      </c>
      <c r="B515">
        <v>910</v>
      </c>
      <c r="C515">
        <v>1994</v>
      </c>
      <c r="D515">
        <v>50</v>
      </c>
      <c r="E515">
        <v>65</v>
      </c>
      <c r="F515">
        <v>2967</v>
      </c>
      <c r="G515">
        <v>41</v>
      </c>
      <c r="H515">
        <f>SUMIFS($F$2:F515,$C$2:C515,C515)</f>
        <v>10021</v>
      </c>
      <c r="I515" s="8">
        <f>STAMP_Escapement_Data[[#This Row],[DATE]]-DATE(STAMP_Escapement_Data[[#This Row],[YEAR]],8,1)</f>
        <v>40</v>
      </c>
    </row>
    <row r="516" spans="1:9" x14ac:dyDescent="0.25">
      <c r="A516" s="1">
        <v>34588</v>
      </c>
      <c r="B516">
        <v>911</v>
      </c>
      <c r="C516">
        <v>1994</v>
      </c>
      <c r="D516">
        <v>46</v>
      </c>
      <c r="E516">
        <v>75</v>
      </c>
      <c r="F516">
        <v>2416</v>
      </c>
      <c r="G516">
        <v>46</v>
      </c>
      <c r="H516">
        <f>SUMIFS($F$2:F516,$C$2:C516,C516)</f>
        <v>12437</v>
      </c>
      <c r="I516" s="8">
        <f>STAMP_Escapement_Data[[#This Row],[DATE]]-DATE(STAMP_Escapement_Data[[#This Row],[YEAR]],8,1)</f>
        <v>41</v>
      </c>
    </row>
    <row r="517" spans="1:9" x14ac:dyDescent="0.25">
      <c r="A517" s="1">
        <v>34589</v>
      </c>
      <c r="B517">
        <v>912</v>
      </c>
      <c r="C517">
        <v>1994</v>
      </c>
      <c r="D517">
        <v>16</v>
      </c>
      <c r="E517">
        <v>53</v>
      </c>
      <c r="F517">
        <v>1819</v>
      </c>
      <c r="G517">
        <v>45</v>
      </c>
      <c r="H517">
        <f>SUMIFS($F$2:F517,$C$2:C517,C517)</f>
        <v>14256</v>
      </c>
      <c r="I517" s="8">
        <f>STAMP_Escapement_Data[[#This Row],[DATE]]-DATE(STAMP_Escapement_Data[[#This Row],[YEAR]],8,1)</f>
        <v>42</v>
      </c>
    </row>
    <row r="518" spans="1:9" x14ac:dyDescent="0.25">
      <c r="A518" s="1">
        <v>34590</v>
      </c>
      <c r="B518">
        <v>913</v>
      </c>
      <c r="C518">
        <v>1994</v>
      </c>
      <c r="D518">
        <v>12</v>
      </c>
      <c r="E518">
        <v>66</v>
      </c>
      <c r="F518">
        <v>775</v>
      </c>
      <c r="G518">
        <v>61</v>
      </c>
      <c r="H518">
        <f>SUMIFS($F$2:F518,$C$2:C518,C518)</f>
        <v>15031</v>
      </c>
      <c r="I518" s="8">
        <f>STAMP_Escapement_Data[[#This Row],[DATE]]-DATE(STAMP_Escapement_Data[[#This Row],[YEAR]],8,1)</f>
        <v>43</v>
      </c>
    </row>
    <row r="519" spans="1:9" x14ac:dyDescent="0.25">
      <c r="A519" s="1">
        <v>34591</v>
      </c>
      <c r="B519">
        <v>914</v>
      </c>
      <c r="C519">
        <v>1994</v>
      </c>
      <c r="D519">
        <v>23</v>
      </c>
      <c r="E519">
        <v>116</v>
      </c>
      <c r="F519">
        <v>363</v>
      </c>
      <c r="G519">
        <v>59</v>
      </c>
      <c r="H519">
        <f>SUMIFS($F$2:F519,$C$2:C519,C519)</f>
        <v>15394</v>
      </c>
      <c r="I519" s="8">
        <f>STAMP_Escapement_Data[[#This Row],[DATE]]-DATE(STAMP_Escapement_Data[[#This Row],[YEAR]],8,1)</f>
        <v>44</v>
      </c>
    </row>
    <row r="520" spans="1:9" x14ac:dyDescent="0.25">
      <c r="A520" s="1">
        <v>34592</v>
      </c>
      <c r="B520">
        <v>915</v>
      </c>
      <c r="C520">
        <v>1994</v>
      </c>
      <c r="D520">
        <v>15</v>
      </c>
      <c r="E520">
        <v>62</v>
      </c>
      <c r="F520">
        <v>452</v>
      </c>
      <c r="G520">
        <v>35</v>
      </c>
      <c r="H520">
        <f>SUMIFS($F$2:F520,$C$2:C520,C520)</f>
        <v>15846</v>
      </c>
      <c r="I520" s="8">
        <f>STAMP_Escapement_Data[[#This Row],[DATE]]-DATE(STAMP_Escapement_Data[[#This Row],[YEAR]],8,1)</f>
        <v>45</v>
      </c>
    </row>
    <row r="521" spans="1:9" x14ac:dyDescent="0.25">
      <c r="A521" s="1">
        <v>34593</v>
      </c>
      <c r="B521">
        <v>916</v>
      </c>
      <c r="C521">
        <v>1994</v>
      </c>
      <c r="D521">
        <v>5</v>
      </c>
      <c r="E521">
        <v>31</v>
      </c>
      <c r="F521">
        <v>341</v>
      </c>
      <c r="G521">
        <v>22</v>
      </c>
      <c r="H521">
        <f>SUMIFS($F$2:F521,$C$2:C521,C521)</f>
        <v>16187</v>
      </c>
      <c r="I521" s="8">
        <f>STAMP_Escapement_Data[[#This Row],[DATE]]-DATE(STAMP_Escapement_Data[[#This Row],[YEAR]],8,1)</f>
        <v>46</v>
      </c>
    </row>
    <row r="522" spans="1:9" x14ac:dyDescent="0.25">
      <c r="A522" s="1">
        <v>34594</v>
      </c>
      <c r="B522">
        <v>917</v>
      </c>
      <c r="C522">
        <v>1994</v>
      </c>
      <c r="D522">
        <v>44</v>
      </c>
      <c r="E522">
        <v>106</v>
      </c>
      <c r="F522">
        <v>601</v>
      </c>
      <c r="G522">
        <v>26</v>
      </c>
      <c r="H522">
        <f>SUMIFS($F$2:F522,$C$2:C522,C522)</f>
        <v>16788</v>
      </c>
      <c r="I522" s="8">
        <f>STAMP_Escapement_Data[[#This Row],[DATE]]-DATE(STAMP_Escapement_Data[[#This Row],[YEAR]],8,1)</f>
        <v>47</v>
      </c>
    </row>
    <row r="523" spans="1:9" x14ac:dyDescent="0.25">
      <c r="A523" s="1">
        <v>34595</v>
      </c>
      <c r="B523">
        <v>918</v>
      </c>
      <c r="C523">
        <v>1994</v>
      </c>
      <c r="D523">
        <v>28</v>
      </c>
      <c r="E523">
        <v>109</v>
      </c>
      <c r="F523">
        <v>515</v>
      </c>
      <c r="G523">
        <v>16</v>
      </c>
      <c r="H523">
        <f>SUMIFS($F$2:F523,$C$2:C523,C523)</f>
        <v>17303</v>
      </c>
      <c r="I523" s="8">
        <f>STAMP_Escapement_Data[[#This Row],[DATE]]-DATE(STAMP_Escapement_Data[[#This Row],[YEAR]],8,1)</f>
        <v>48</v>
      </c>
    </row>
    <row r="524" spans="1:9" x14ac:dyDescent="0.25">
      <c r="A524" s="1">
        <v>34596</v>
      </c>
      <c r="B524">
        <v>919</v>
      </c>
      <c r="C524">
        <v>1994</v>
      </c>
      <c r="D524">
        <v>15</v>
      </c>
      <c r="E524">
        <v>79</v>
      </c>
      <c r="F524">
        <v>670</v>
      </c>
      <c r="G524">
        <v>41</v>
      </c>
      <c r="H524">
        <f>SUMIFS($F$2:F524,$C$2:C524,C524)</f>
        <v>17973</v>
      </c>
      <c r="I524" s="8">
        <f>STAMP_Escapement_Data[[#This Row],[DATE]]-DATE(STAMP_Escapement_Data[[#This Row],[YEAR]],8,1)</f>
        <v>49</v>
      </c>
    </row>
    <row r="525" spans="1:9" x14ac:dyDescent="0.25">
      <c r="A525" s="1">
        <v>34597</v>
      </c>
      <c r="B525">
        <v>920</v>
      </c>
      <c r="C525">
        <v>1994</v>
      </c>
      <c r="D525">
        <v>15</v>
      </c>
      <c r="E525">
        <v>61</v>
      </c>
      <c r="F525">
        <v>456</v>
      </c>
      <c r="G525">
        <v>29</v>
      </c>
      <c r="H525">
        <f>SUMIFS($F$2:F525,$C$2:C525,C525)</f>
        <v>18429</v>
      </c>
      <c r="I525" s="8">
        <f>STAMP_Escapement_Data[[#This Row],[DATE]]-DATE(STAMP_Escapement_Data[[#This Row],[YEAR]],8,1)</f>
        <v>50</v>
      </c>
    </row>
    <row r="526" spans="1:9" x14ac:dyDescent="0.25">
      <c r="A526" s="1">
        <v>34598</v>
      </c>
      <c r="B526">
        <v>921</v>
      </c>
      <c r="C526">
        <v>1994</v>
      </c>
      <c r="D526">
        <v>13</v>
      </c>
      <c r="E526">
        <v>54</v>
      </c>
      <c r="F526">
        <v>398</v>
      </c>
      <c r="G526">
        <v>23</v>
      </c>
      <c r="H526">
        <f>SUMIFS($F$2:F526,$C$2:C526,C526)</f>
        <v>18827</v>
      </c>
      <c r="I526" s="8">
        <f>STAMP_Escapement_Data[[#This Row],[DATE]]-DATE(STAMP_Escapement_Data[[#This Row],[YEAR]],8,1)</f>
        <v>51</v>
      </c>
    </row>
    <row r="527" spans="1:9" x14ac:dyDescent="0.25">
      <c r="A527" s="1">
        <v>34599</v>
      </c>
      <c r="B527">
        <v>922</v>
      </c>
      <c r="C527">
        <v>1994</v>
      </c>
      <c r="D527">
        <v>27</v>
      </c>
      <c r="E527">
        <v>97</v>
      </c>
      <c r="F527">
        <v>717</v>
      </c>
      <c r="G527">
        <v>11</v>
      </c>
      <c r="H527">
        <f>SUMIFS($F$2:F527,$C$2:C527,C527)</f>
        <v>19544</v>
      </c>
      <c r="I527" s="8">
        <f>STAMP_Escapement_Data[[#This Row],[DATE]]-DATE(STAMP_Escapement_Data[[#This Row],[YEAR]],8,1)</f>
        <v>52</v>
      </c>
    </row>
    <row r="528" spans="1:9" x14ac:dyDescent="0.25">
      <c r="A528" s="1">
        <v>34600</v>
      </c>
      <c r="B528">
        <v>923</v>
      </c>
      <c r="C528">
        <v>1994</v>
      </c>
      <c r="D528">
        <v>32</v>
      </c>
      <c r="E528">
        <v>118</v>
      </c>
      <c r="F528">
        <v>1377</v>
      </c>
      <c r="G528">
        <v>15</v>
      </c>
      <c r="H528">
        <f>SUMIFS($F$2:F528,$C$2:C528,C528)</f>
        <v>20921</v>
      </c>
      <c r="I528" s="8">
        <f>STAMP_Escapement_Data[[#This Row],[DATE]]-DATE(STAMP_Escapement_Data[[#This Row],[YEAR]],8,1)</f>
        <v>53</v>
      </c>
    </row>
    <row r="529" spans="1:9" x14ac:dyDescent="0.25">
      <c r="A529" s="1">
        <v>34601</v>
      </c>
      <c r="B529">
        <v>924</v>
      </c>
      <c r="C529">
        <v>1994</v>
      </c>
      <c r="D529">
        <v>39</v>
      </c>
      <c r="E529">
        <v>137</v>
      </c>
      <c r="F529">
        <v>1315</v>
      </c>
      <c r="G529">
        <v>16</v>
      </c>
      <c r="H529">
        <f>SUMIFS($F$2:F529,$C$2:C529,C529)</f>
        <v>22236</v>
      </c>
      <c r="I529" s="8">
        <f>STAMP_Escapement_Data[[#This Row],[DATE]]-DATE(STAMP_Escapement_Data[[#This Row],[YEAR]],8,1)</f>
        <v>54</v>
      </c>
    </row>
    <row r="530" spans="1:9" x14ac:dyDescent="0.25">
      <c r="A530" s="1">
        <v>34602</v>
      </c>
      <c r="B530">
        <v>925</v>
      </c>
      <c r="C530">
        <v>1994</v>
      </c>
      <c r="D530">
        <v>17</v>
      </c>
      <c r="E530">
        <v>105</v>
      </c>
      <c r="F530">
        <v>1050</v>
      </c>
      <c r="G530">
        <v>9</v>
      </c>
      <c r="H530">
        <f>SUMIFS($F$2:F530,$C$2:C530,C530)</f>
        <v>23286</v>
      </c>
      <c r="I530" s="8">
        <f>STAMP_Escapement_Data[[#This Row],[DATE]]-DATE(STAMP_Escapement_Data[[#This Row],[YEAR]],8,1)</f>
        <v>55</v>
      </c>
    </row>
    <row r="531" spans="1:9" x14ac:dyDescent="0.25">
      <c r="A531" s="1">
        <v>34603</v>
      </c>
      <c r="B531">
        <v>926</v>
      </c>
      <c r="C531">
        <v>1994</v>
      </c>
      <c r="D531">
        <v>5</v>
      </c>
      <c r="E531">
        <v>71</v>
      </c>
      <c r="F531">
        <v>850</v>
      </c>
      <c r="G531">
        <v>10</v>
      </c>
      <c r="H531">
        <f>SUMIFS($F$2:F531,$C$2:C531,C531)</f>
        <v>24136</v>
      </c>
      <c r="I531" s="8">
        <f>STAMP_Escapement_Data[[#This Row],[DATE]]-DATE(STAMP_Escapement_Data[[#This Row],[YEAR]],8,1)</f>
        <v>56</v>
      </c>
    </row>
    <row r="532" spans="1:9" x14ac:dyDescent="0.25">
      <c r="A532" s="1">
        <v>34604</v>
      </c>
      <c r="B532">
        <v>927</v>
      </c>
      <c r="C532">
        <v>1994</v>
      </c>
      <c r="D532">
        <v>15</v>
      </c>
      <c r="E532">
        <v>61</v>
      </c>
      <c r="F532">
        <v>533</v>
      </c>
      <c r="G532">
        <v>7</v>
      </c>
      <c r="H532">
        <f>SUMIFS($F$2:F532,$C$2:C532,C532)</f>
        <v>24669</v>
      </c>
      <c r="I532" s="8">
        <f>STAMP_Escapement_Data[[#This Row],[DATE]]-DATE(STAMP_Escapement_Data[[#This Row],[YEAR]],8,1)</f>
        <v>57</v>
      </c>
    </row>
    <row r="533" spans="1:9" x14ac:dyDescent="0.25">
      <c r="A533" s="1">
        <v>34605</v>
      </c>
      <c r="B533">
        <v>928</v>
      </c>
      <c r="C533">
        <v>1994</v>
      </c>
      <c r="D533">
        <v>22</v>
      </c>
      <c r="E533">
        <v>66</v>
      </c>
      <c r="F533">
        <v>892</v>
      </c>
      <c r="G533">
        <v>6</v>
      </c>
      <c r="H533">
        <f>SUMIFS($F$2:F533,$C$2:C533,C533)</f>
        <v>25561</v>
      </c>
      <c r="I533" s="8">
        <f>STAMP_Escapement_Data[[#This Row],[DATE]]-DATE(STAMP_Escapement_Data[[#This Row],[YEAR]],8,1)</f>
        <v>58</v>
      </c>
    </row>
    <row r="534" spans="1:9" x14ac:dyDescent="0.25">
      <c r="A534" s="1">
        <v>34606</v>
      </c>
      <c r="B534">
        <v>929</v>
      </c>
      <c r="C534">
        <v>1994</v>
      </c>
      <c r="D534">
        <v>30</v>
      </c>
      <c r="E534">
        <v>76</v>
      </c>
      <c r="F534">
        <v>2371</v>
      </c>
      <c r="G534">
        <v>11</v>
      </c>
      <c r="H534">
        <f>SUMIFS($F$2:F534,$C$2:C534,C534)</f>
        <v>27932</v>
      </c>
      <c r="I534" s="8">
        <f>STAMP_Escapement_Data[[#This Row],[DATE]]-DATE(STAMP_Escapement_Data[[#This Row],[YEAR]],8,1)</f>
        <v>59</v>
      </c>
    </row>
    <row r="535" spans="1:9" x14ac:dyDescent="0.25">
      <c r="A535" s="1">
        <v>34607</v>
      </c>
      <c r="B535">
        <v>930</v>
      </c>
      <c r="C535">
        <v>1994</v>
      </c>
      <c r="D535">
        <v>18</v>
      </c>
      <c r="E535">
        <v>80</v>
      </c>
      <c r="F535">
        <v>1990</v>
      </c>
      <c r="G535">
        <v>8</v>
      </c>
      <c r="H535">
        <f>SUMIFS($F$2:F535,$C$2:C535,C535)</f>
        <v>29922</v>
      </c>
      <c r="I535" s="8">
        <f>STAMP_Escapement_Data[[#This Row],[DATE]]-DATE(STAMP_Escapement_Data[[#This Row],[YEAR]],8,1)</f>
        <v>60</v>
      </c>
    </row>
    <row r="536" spans="1:9" x14ac:dyDescent="0.25">
      <c r="A536" s="1">
        <v>34608</v>
      </c>
      <c r="B536">
        <v>1001</v>
      </c>
      <c r="C536">
        <v>1994</v>
      </c>
      <c r="D536">
        <v>31</v>
      </c>
      <c r="E536">
        <v>75</v>
      </c>
      <c r="F536">
        <v>1787</v>
      </c>
      <c r="G536">
        <v>8</v>
      </c>
      <c r="H536">
        <f>SUMIFS($F$2:F536,$C$2:C536,C536)</f>
        <v>31709</v>
      </c>
      <c r="I536" s="8">
        <f>STAMP_Escapement_Data[[#This Row],[DATE]]-DATE(STAMP_Escapement_Data[[#This Row],[YEAR]],8,1)</f>
        <v>61</v>
      </c>
    </row>
    <row r="537" spans="1:9" x14ac:dyDescent="0.25">
      <c r="A537" s="1">
        <v>34609</v>
      </c>
      <c r="B537">
        <v>1002</v>
      </c>
      <c r="C537">
        <v>1994</v>
      </c>
      <c r="D537">
        <v>43</v>
      </c>
      <c r="E537">
        <v>47</v>
      </c>
      <c r="F537">
        <v>3257</v>
      </c>
      <c r="G537">
        <v>2</v>
      </c>
      <c r="H537">
        <f>SUMIFS($F$2:F537,$C$2:C537,C537)</f>
        <v>34966</v>
      </c>
      <c r="I537" s="8">
        <f>STAMP_Escapement_Data[[#This Row],[DATE]]-DATE(STAMP_Escapement_Data[[#This Row],[YEAR]],8,1)</f>
        <v>62</v>
      </c>
    </row>
    <row r="538" spans="1:9" x14ac:dyDescent="0.25">
      <c r="A538" s="1">
        <v>34610</v>
      </c>
      <c r="B538">
        <v>1003</v>
      </c>
      <c r="C538">
        <v>1994</v>
      </c>
      <c r="D538">
        <v>23</v>
      </c>
      <c r="E538">
        <v>74</v>
      </c>
      <c r="F538">
        <v>4061</v>
      </c>
      <c r="G538">
        <v>10</v>
      </c>
      <c r="H538">
        <f>SUMIFS($F$2:F538,$C$2:C538,C538)</f>
        <v>39027</v>
      </c>
      <c r="I538" s="8">
        <f>STAMP_Escapement_Data[[#This Row],[DATE]]-DATE(STAMP_Escapement_Data[[#This Row],[YEAR]],8,1)</f>
        <v>63</v>
      </c>
    </row>
    <row r="539" spans="1:9" x14ac:dyDescent="0.25">
      <c r="A539" s="1">
        <v>34611</v>
      </c>
      <c r="B539">
        <v>1004</v>
      </c>
      <c r="C539">
        <v>1994</v>
      </c>
      <c r="D539">
        <v>34</v>
      </c>
      <c r="E539">
        <v>88</v>
      </c>
      <c r="F539">
        <v>2869</v>
      </c>
      <c r="G539">
        <v>26</v>
      </c>
      <c r="H539">
        <f>SUMIFS($F$2:F539,$C$2:C539,C539)</f>
        <v>41896</v>
      </c>
      <c r="I539" s="8">
        <f>STAMP_Escapement_Data[[#This Row],[DATE]]-DATE(STAMP_Escapement_Data[[#This Row],[YEAR]],8,1)</f>
        <v>64</v>
      </c>
    </row>
    <row r="540" spans="1:9" x14ac:dyDescent="0.25">
      <c r="A540" s="1">
        <v>34612</v>
      </c>
      <c r="B540">
        <v>1005</v>
      </c>
      <c r="C540">
        <v>1994</v>
      </c>
      <c r="D540">
        <v>17</v>
      </c>
      <c r="E540">
        <v>87</v>
      </c>
      <c r="F540">
        <v>1572</v>
      </c>
      <c r="G540">
        <v>26</v>
      </c>
      <c r="H540">
        <f>SUMIFS($F$2:F540,$C$2:C540,C540)</f>
        <v>43468</v>
      </c>
      <c r="I540" s="8">
        <f>STAMP_Escapement_Data[[#This Row],[DATE]]-DATE(STAMP_Escapement_Data[[#This Row],[YEAR]],8,1)</f>
        <v>65</v>
      </c>
    </row>
    <row r="541" spans="1:9" x14ac:dyDescent="0.25">
      <c r="A541" s="1">
        <v>34613</v>
      </c>
      <c r="B541">
        <v>1006</v>
      </c>
      <c r="C541">
        <v>1994</v>
      </c>
      <c r="D541">
        <v>26</v>
      </c>
      <c r="E541">
        <v>83</v>
      </c>
      <c r="F541">
        <v>1725</v>
      </c>
      <c r="G541">
        <v>31</v>
      </c>
      <c r="H541">
        <f>SUMIFS($F$2:F541,$C$2:C541,C541)</f>
        <v>45193</v>
      </c>
      <c r="I541" s="8">
        <f>STAMP_Escapement_Data[[#This Row],[DATE]]-DATE(STAMP_Escapement_Data[[#This Row],[YEAR]],8,1)</f>
        <v>66</v>
      </c>
    </row>
    <row r="542" spans="1:9" x14ac:dyDescent="0.25">
      <c r="A542" s="1">
        <v>34614</v>
      </c>
      <c r="B542">
        <v>1007</v>
      </c>
      <c r="C542">
        <v>1994</v>
      </c>
      <c r="D542">
        <v>20</v>
      </c>
      <c r="E542">
        <v>85</v>
      </c>
      <c r="F542">
        <v>1353</v>
      </c>
      <c r="G542">
        <v>23</v>
      </c>
      <c r="H542">
        <f>SUMIFS($F$2:F542,$C$2:C542,C542)</f>
        <v>46546</v>
      </c>
      <c r="I542" s="8">
        <f>STAMP_Escapement_Data[[#This Row],[DATE]]-DATE(STAMP_Escapement_Data[[#This Row],[YEAR]],8,1)</f>
        <v>67</v>
      </c>
    </row>
    <row r="543" spans="1:9" x14ac:dyDescent="0.25">
      <c r="A543" s="1">
        <v>34615</v>
      </c>
      <c r="B543">
        <v>1008</v>
      </c>
      <c r="C543">
        <v>1994</v>
      </c>
      <c r="D543">
        <v>9</v>
      </c>
      <c r="E543">
        <v>47</v>
      </c>
      <c r="F543">
        <v>918</v>
      </c>
      <c r="G543">
        <v>10</v>
      </c>
      <c r="H543">
        <f>SUMIFS($F$2:F543,$C$2:C543,C543)</f>
        <v>47464</v>
      </c>
      <c r="I543" s="8">
        <f>STAMP_Escapement_Data[[#This Row],[DATE]]-DATE(STAMP_Escapement_Data[[#This Row],[YEAR]],8,1)</f>
        <v>68</v>
      </c>
    </row>
    <row r="544" spans="1:9" x14ac:dyDescent="0.25">
      <c r="A544" s="1">
        <v>34616</v>
      </c>
      <c r="B544">
        <v>1009</v>
      </c>
      <c r="C544">
        <v>1994</v>
      </c>
      <c r="D544">
        <v>9</v>
      </c>
      <c r="E544">
        <v>39</v>
      </c>
      <c r="F544">
        <v>935</v>
      </c>
      <c r="G544">
        <v>9</v>
      </c>
      <c r="H544">
        <f>SUMIFS($F$2:F544,$C$2:C544,C544)</f>
        <v>48399</v>
      </c>
      <c r="I544" s="8">
        <f>STAMP_Escapement_Data[[#This Row],[DATE]]-DATE(STAMP_Escapement_Data[[#This Row],[YEAR]],8,1)</f>
        <v>69</v>
      </c>
    </row>
    <row r="545" spans="1:9" x14ac:dyDescent="0.25">
      <c r="A545" s="1">
        <v>34617</v>
      </c>
      <c r="B545">
        <v>1010</v>
      </c>
      <c r="C545">
        <v>1994</v>
      </c>
      <c r="D545">
        <v>9</v>
      </c>
      <c r="E545">
        <v>46</v>
      </c>
      <c r="F545">
        <v>1222</v>
      </c>
      <c r="G545">
        <v>18</v>
      </c>
      <c r="H545">
        <f>SUMIFS($F$2:F545,$C$2:C545,C545)</f>
        <v>49621</v>
      </c>
      <c r="I545" s="8">
        <f>STAMP_Escapement_Data[[#This Row],[DATE]]-DATE(STAMP_Escapement_Data[[#This Row],[YEAR]],8,1)</f>
        <v>70</v>
      </c>
    </row>
    <row r="546" spans="1:9" x14ac:dyDescent="0.25">
      <c r="A546" s="1">
        <v>34618</v>
      </c>
      <c r="B546">
        <v>1011</v>
      </c>
      <c r="C546">
        <v>1994</v>
      </c>
      <c r="D546">
        <v>12</v>
      </c>
      <c r="E546">
        <v>38</v>
      </c>
      <c r="F546">
        <v>1345</v>
      </c>
      <c r="G546">
        <v>10</v>
      </c>
      <c r="H546">
        <f>SUMIFS($F$2:F546,$C$2:C546,C546)</f>
        <v>50966</v>
      </c>
      <c r="I546" s="8">
        <f>STAMP_Escapement_Data[[#This Row],[DATE]]-DATE(STAMP_Escapement_Data[[#This Row],[YEAR]],8,1)</f>
        <v>71</v>
      </c>
    </row>
    <row r="547" spans="1:9" x14ac:dyDescent="0.25">
      <c r="A547" s="1">
        <v>34619</v>
      </c>
      <c r="B547">
        <v>1012</v>
      </c>
      <c r="C547">
        <v>1994</v>
      </c>
      <c r="D547">
        <v>10</v>
      </c>
      <c r="E547">
        <v>28</v>
      </c>
      <c r="F547">
        <v>933</v>
      </c>
      <c r="G547">
        <v>6</v>
      </c>
      <c r="H547">
        <f>SUMIFS($F$2:F547,$C$2:C547,C547)</f>
        <v>51899</v>
      </c>
      <c r="I547" s="8">
        <f>STAMP_Escapement_Data[[#This Row],[DATE]]-DATE(STAMP_Escapement_Data[[#This Row],[YEAR]],8,1)</f>
        <v>72</v>
      </c>
    </row>
    <row r="548" spans="1:9" x14ac:dyDescent="0.25">
      <c r="A548" s="1">
        <v>34620</v>
      </c>
      <c r="B548">
        <v>1013</v>
      </c>
      <c r="C548">
        <v>1994</v>
      </c>
      <c r="D548">
        <v>4</v>
      </c>
      <c r="E548">
        <v>18</v>
      </c>
      <c r="F548">
        <v>696</v>
      </c>
      <c r="G548">
        <v>10</v>
      </c>
      <c r="H548">
        <f>SUMIFS($F$2:F548,$C$2:C548,C548)</f>
        <v>52595</v>
      </c>
      <c r="I548" s="8">
        <f>STAMP_Escapement_Data[[#This Row],[DATE]]-DATE(STAMP_Escapement_Data[[#This Row],[YEAR]],8,1)</f>
        <v>73</v>
      </c>
    </row>
    <row r="549" spans="1:9" x14ac:dyDescent="0.25">
      <c r="A549" s="1">
        <v>34621</v>
      </c>
      <c r="B549">
        <v>1014</v>
      </c>
      <c r="C549">
        <v>1994</v>
      </c>
      <c r="D549">
        <v>10</v>
      </c>
      <c r="E549">
        <v>23</v>
      </c>
      <c r="F549">
        <v>750</v>
      </c>
      <c r="G549">
        <v>7</v>
      </c>
      <c r="H549">
        <f>SUMIFS($F$2:F549,$C$2:C549,C549)</f>
        <v>53345</v>
      </c>
      <c r="I549" s="8">
        <f>STAMP_Escapement_Data[[#This Row],[DATE]]-DATE(STAMP_Escapement_Data[[#This Row],[YEAR]],8,1)</f>
        <v>74</v>
      </c>
    </row>
    <row r="550" spans="1:9" x14ac:dyDescent="0.25">
      <c r="A550" s="1">
        <v>34622</v>
      </c>
      <c r="B550">
        <v>1015</v>
      </c>
      <c r="C550">
        <v>1994</v>
      </c>
      <c r="D550">
        <v>4</v>
      </c>
      <c r="E550">
        <v>18</v>
      </c>
      <c r="F550">
        <v>487</v>
      </c>
      <c r="G550">
        <v>5</v>
      </c>
      <c r="H550">
        <f>SUMIFS($F$2:F550,$C$2:C550,C550)</f>
        <v>53832</v>
      </c>
      <c r="I550" s="8">
        <f>STAMP_Escapement_Data[[#This Row],[DATE]]-DATE(STAMP_Escapement_Data[[#This Row],[YEAR]],8,1)</f>
        <v>75</v>
      </c>
    </row>
    <row r="551" spans="1:9" x14ac:dyDescent="0.25">
      <c r="A551" s="1">
        <v>34623</v>
      </c>
      <c r="B551">
        <v>1016</v>
      </c>
      <c r="C551">
        <v>1994</v>
      </c>
      <c r="D551">
        <v>7</v>
      </c>
      <c r="E551">
        <v>15</v>
      </c>
      <c r="F551">
        <v>395</v>
      </c>
      <c r="G551">
        <v>5</v>
      </c>
      <c r="H551">
        <f>SUMIFS($F$2:F551,$C$2:C551,C551)</f>
        <v>54227</v>
      </c>
      <c r="I551" s="8">
        <f>STAMP_Escapement_Data[[#This Row],[DATE]]-DATE(STAMP_Escapement_Data[[#This Row],[YEAR]],8,1)</f>
        <v>76</v>
      </c>
    </row>
    <row r="552" spans="1:9" x14ac:dyDescent="0.25">
      <c r="A552" s="1">
        <v>34624</v>
      </c>
      <c r="B552">
        <v>1017</v>
      </c>
      <c r="C552">
        <v>1994</v>
      </c>
      <c r="D552">
        <v>8</v>
      </c>
      <c r="E552">
        <v>25</v>
      </c>
      <c r="F552">
        <v>472</v>
      </c>
      <c r="G552">
        <v>1</v>
      </c>
      <c r="H552">
        <f>SUMIFS($F$2:F552,$C$2:C552,C552)</f>
        <v>54699</v>
      </c>
      <c r="I552" s="8">
        <f>STAMP_Escapement_Data[[#This Row],[DATE]]-DATE(STAMP_Escapement_Data[[#This Row],[YEAR]],8,1)</f>
        <v>77</v>
      </c>
    </row>
    <row r="553" spans="1:9" x14ac:dyDescent="0.25">
      <c r="A553" s="1">
        <v>34625</v>
      </c>
      <c r="B553">
        <v>1018</v>
      </c>
      <c r="C553">
        <v>1994</v>
      </c>
      <c r="D553">
        <v>5</v>
      </c>
      <c r="E553">
        <v>19</v>
      </c>
      <c r="F553">
        <v>377</v>
      </c>
      <c r="G553">
        <v>0</v>
      </c>
      <c r="H553">
        <f>SUMIFS($F$2:F553,$C$2:C553,C553)</f>
        <v>55076</v>
      </c>
      <c r="I553" s="8">
        <f>STAMP_Escapement_Data[[#This Row],[DATE]]-DATE(STAMP_Escapement_Data[[#This Row],[YEAR]],8,1)</f>
        <v>78</v>
      </c>
    </row>
    <row r="554" spans="1:9" x14ac:dyDescent="0.25">
      <c r="A554" s="1">
        <v>34626</v>
      </c>
      <c r="B554">
        <v>1019</v>
      </c>
      <c r="C554">
        <v>1994</v>
      </c>
      <c r="D554">
        <v>9</v>
      </c>
      <c r="E554">
        <v>18</v>
      </c>
      <c r="F554">
        <v>373</v>
      </c>
      <c r="G554">
        <v>7</v>
      </c>
      <c r="H554">
        <f>SUMIFS($F$2:F554,$C$2:C554,C554)</f>
        <v>55449</v>
      </c>
      <c r="I554" s="8">
        <f>STAMP_Escapement_Data[[#This Row],[DATE]]-DATE(STAMP_Escapement_Data[[#This Row],[YEAR]],8,1)</f>
        <v>79</v>
      </c>
    </row>
    <row r="555" spans="1:9" x14ac:dyDescent="0.25">
      <c r="A555" s="1">
        <v>34627</v>
      </c>
      <c r="B555">
        <v>1020</v>
      </c>
      <c r="C555">
        <v>1994</v>
      </c>
      <c r="D555">
        <v>7</v>
      </c>
      <c r="E555">
        <v>15</v>
      </c>
      <c r="F555">
        <v>355</v>
      </c>
      <c r="G555">
        <v>5</v>
      </c>
      <c r="H555">
        <f>SUMIFS($F$2:F555,$C$2:C555,C555)</f>
        <v>55804</v>
      </c>
      <c r="I555" s="8">
        <f>STAMP_Escapement_Data[[#This Row],[DATE]]-DATE(STAMP_Escapement_Data[[#This Row],[YEAR]],8,1)</f>
        <v>80</v>
      </c>
    </row>
    <row r="556" spans="1:9" x14ac:dyDescent="0.25">
      <c r="A556" s="1">
        <v>34628</v>
      </c>
      <c r="B556">
        <v>1021</v>
      </c>
      <c r="C556">
        <v>1994</v>
      </c>
      <c r="D556">
        <v>14</v>
      </c>
      <c r="E556">
        <v>17</v>
      </c>
      <c r="F556">
        <v>395</v>
      </c>
      <c r="G556">
        <v>3</v>
      </c>
      <c r="H556">
        <f>SUMIFS($F$2:F556,$C$2:C556,C556)</f>
        <v>56199</v>
      </c>
      <c r="I556" s="8">
        <f>STAMP_Escapement_Data[[#This Row],[DATE]]-DATE(STAMP_Escapement_Data[[#This Row],[YEAR]],8,1)</f>
        <v>81</v>
      </c>
    </row>
    <row r="557" spans="1:9" x14ac:dyDescent="0.25">
      <c r="A557" s="1">
        <v>34629</v>
      </c>
      <c r="B557">
        <v>1022</v>
      </c>
      <c r="C557">
        <v>1994</v>
      </c>
      <c r="D557">
        <v>6</v>
      </c>
      <c r="E557">
        <v>13</v>
      </c>
      <c r="F557">
        <v>430</v>
      </c>
      <c r="G557">
        <v>5</v>
      </c>
      <c r="H557">
        <f>SUMIFS($F$2:F557,$C$2:C557,C557)</f>
        <v>56629</v>
      </c>
      <c r="I557" s="8">
        <f>STAMP_Escapement_Data[[#This Row],[DATE]]-DATE(STAMP_Escapement_Data[[#This Row],[YEAR]],8,1)</f>
        <v>82</v>
      </c>
    </row>
    <row r="558" spans="1:9" x14ac:dyDescent="0.25">
      <c r="A558" s="1">
        <v>34630</v>
      </c>
      <c r="B558">
        <v>1023</v>
      </c>
      <c r="C558">
        <v>1994</v>
      </c>
      <c r="D558">
        <v>8</v>
      </c>
      <c r="E558">
        <v>11</v>
      </c>
      <c r="F558">
        <v>279</v>
      </c>
      <c r="G558">
        <v>3</v>
      </c>
      <c r="H558">
        <f>SUMIFS($F$2:F558,$C$2:C558,C558)</f>
        <v>56908</v>
      </c>
      <c r="I558" s="8">
        <f>STAMP_Escapement_Data[[#This Row],[DATE]]-DATE(STAMP_Escapement_Data[[#This Row],[YEAR]],8,1)</f>
        <v>83</v>
      </c>
    </row>
    <row r="559" spans="1:9" x14ac:dyDescent="0.25">
      <c r="A559" s="1">
        <v>34631</v>
      </c>
      <c r="B559">
        <v>1024</v>
      </c>
      <c r="C559">
        <v>1994</v>
      </c>
      <c r="D559">
        <v>0</v>
      </c>
      <c r="E559">
        <v>20</v>
      </c>
      <c r="F559">
        <v>160</v>
      </c>
      <c r="G559">
        <v>2</v>
      </c>
      <c r="H559">
        <f>SUMIFS($F$2:F559,$C$2:C559,C559)</f>
        <v>57068</v>
      </c>
      <c r="I559" s="8">
        <f>STAMP_Escapement_Data[[#This Row],[DATE]]-DATE(STAMP_Escapement_Data[[#This Row],[YEAR]],8,1)</f>
        <v>84</v>
      </c>
    </row>
    <row r="560" spans="1:9" x14ac:dyDescent="0.25">
      <c r="A560" s="1">
        <v>34632</v>
      </c>
      <c r="B560">
        <v>1025</v>
      </c>
      <c r="C560">
        <v>1994</v>
      </c>
      <c r="D560">
        <v>0</v>
      </c>
      <c r="E560">
        <v>5</v>
      </c>
      <c r="F560">
        <v>108</v>
      </c>
      <c r="G560">
        <v>8</v>
      </c>
      <c r="H560">
        <f>SUMIFS($F$2:F560,$C$2:C560,C560)</f>
        <v>57176</v>
      </c>
      <c r="I560" s="8">
        <f>STAMP_Escapement_Data[[#This Row],[DATE]]-DATE(STAMP_Escapement_Data[[#This Row],[YEAR]],8,1)</f>
        <v>85</v>
      </c>
    </row>
    <row r="561" spans="1:9" x14ac:dyDescent="0.25">
      <c r="A561" s="1">
        <v>34633</v>
      </c>
      <c r="B561">
        <v>1026</v>
      </c>
      <c r="C561">
        <v>1994</v>
      </c>
      <c r="D561">
        <v>0</v>
      </c>
      <c r="E561">
        <v>5</v>
      </c>
      <c r="F561">
        <v>97</v>
      </c>
      <c r="G561">
        <v>7</v>
      </c>
      <c r="H561">
        <f>SUMIFS($F$2:F561,$C$2:C561,C561)</f>
        <v>57273</v>
      </c>
      <c r="I561" s="8">
        <f>STAMP_Escapement_Data[[#This Row],[DATE]]-DATE(STAMP_Escapement_Data[[#This Row],[YEAR]],8,1)</f>
        <v>86</v>
      </c>
    </row>
    <row r="562" spans="1:9" x14ac:dyDescent="0.25">
      <c r="A562" s="1">
        <v>34634</v>
      </c>
      <c r="B562">
        <v>1027</v>
      </c>
      <c r="C562">
        <v>1994</v>
      </c>
      <c r="D562">
        <v>0</v>
      </c>
      <c r="E562">
        <v>4</v>
      </c>
      <c r="F562">
        <v>86</v>
      </c>
      <c r="G562">
        <v>6</v>
      </c>
      <c r="H562">
        <f>SUMIFS($F$2:F562,$C$2:C562,C562)</f>
        <v>57359</v>
      </c>
      <c r="I562" s="8">
        <f>STAMP_Escapement_Data[[#This Row],[DATE]]-DATE(STAMP_Escapement_Data[[#This Row],[YEAR]],8,1)</f>
        <v>87</v>
      </c>
    </row>
    <row r="563" spans="1:9" x14ac:dyDescent="0.25">
      <c r="A563" s="1">
        <v>34635</v>
      </c>
      <c r="B563">
        <v>1028</v>
      </c>
      <c r="C563">
        <v>1994</v>
      </c>
      <c r="D563">
        <v>0</v>
      </c>
      <c r="E563">
        <v>4</v>
      </c>
      <c r="F563">
        <v>75</v>
      </c>
      <c r="G563">
        <v>6</v>
      </c>
      <c r="H563">
        <f>SUMIFS($F$2:F563,$C$2:C563,C563)</f>
        <v>57434</v>
      </c>
      <c r="I563" s="8">
        <f>STAMP_Escapement_Data[[#This Row],[DATE]]-DATE(STAMP_Escapement_Data[[#This Row],[YEAR]],8,1)</f>
        <v>88</v>
      </c>
    </row>
    <row r="564" spans="1:9" x14ac:dyDescent="0.25">
      <c r="A564" s="1">
        <v>34636</v>
      </c>
      <c r="B564">
        <v>1029</v>
      </c>
      <c r="C564">
        <v>1994</v>
      </c>
      <c r="D564">
        <v>0</v>
      </c>
      <c r="E564">
        <v>4</v>
      </c>
      <c r="F564">
        <v>64</v>
      </c>
      <c r="G564">
        <v>5</v>
      </c>
      <c r="H564">
        <f>SUMIFS($F$2:F564,$C$2:C564,C564)</f>
        <v>57498</v>
      </c>
      <c r="I564" s="8">
        <f>STAMP_Escapement_Data[[#This Row],[DATE]]-DATE(STAMP_Escapement_Data[[#This Row],[YEAR]],8,1)</f>
        <v>89</v>
      </c>
    </row>
    <row r="565" spans="1:9" x14ac:dyDescent="0.25">
      <c r="A565" s="1">
        <v>34637</v>
      </c>
      <c r="B565">
        <v>1030</v>
      </c>
      <c r="C565">
        <v>1994</v>
      </c>
      <c r="D565">
        <v>0</v>
      </c>
      <c r="E565">
        <v>3</v>
      </c>
      <c r="F565">
        <v>53</v>
      </c>
      <c r="G565">
        <v>4</v>
      </c>
      <c r="H565">
        <f>SUMIFS($F$2:F565,$C$2:C565,C565)</f>
        <v>57551</v>
      </c>
      <c r="I565" s="8">
        <f>STAMP_Escapement_Data[[#This Row],[DATE]]-DATE(STAMP_Escapement_Data[[#This Row],[YEAR]],8,1)</f>
        <v>90</v>
      </c>
    </row>
    <row r="566" spans="1:9" x14ac:dyDescent="0.25">
      <c r="A566" s="1">
        <v>34638</v>
      </c>
      <c r="B566">
        <v>1031</v>
      </c>
      <c r="C566">
        <v>1994</v>
      </c>
      <c r="D566">
        <v>0</v>
      </c>
      <c r="E566">
        <v>3</v>
      </c>
      <c r="F566">
        <v>42</v>
      </c>
      <c r="G566">
        <v>3</v>
      </c>
      <c r="H566">
        <f>SUMIFS($F$2:F566,$C$2:C566,C566)</f>
        <v>57593</v>
      </c>
      <c r="I566" s="8">
        <f>STAMP_Escapement_Data[[#This Row],[DATE]]-DATE(STAMP_Escapement_Data[[#This Row],[YEAR]],8,1)</f>
        <v>91</v>
      </c>
    </row>
    <row r="567" spans="1:9" x14ac:dyDescent="0.25">
      <c r="A567" s="1">
        <v>34639</v>
      </c>
      <c r="B567">
        <v>1101</v>
      </c>
      <c r="C567">
        <v>1994</v>
      </c>
      <c r="D567">
        <v>0</v>
      </c>
      <c r="E567">
        <v>3</v>
      </c>
      <c r="F567">
        <v>32</v>
      </c>
      <c r="G567">
        <v>2</v>
      </c>
      <c r="H567">
        <f>SUMIFS($F$2:F567,$C$2:C567,C567)</f>
        <v>57625</v>
      </c>
      <c r="I567" s="8">
        <f>STAMP_Escapement_Data[[#This Row],[DATE]]-DATE(STAMP_Escapement_Data[[#This Row],[YEAR]],8,1)</f>
        <v>92</v>
      </c>
    </row>
    <row r="568" spans="1:9" x14ac:dyDescent="0.25">
      <c r="A568" s="1">
        <v>34640</v>
      </c>
      <c r="B568">
        <v>1102</v>
      </c>
      <c r="C568">
        <v>1994</v>
      </c>
      <c r="D568">
        <v>0</v>
      </c>
      <c r="E568">
        <v>2</v>
      </c>
      <c r="F568">
        <v>21</v>
      </c>
      <c r="G568">
        <v>1</v>
      </c>
      <c r="H568">
        <f>SUMIFS($F$2:F568,$C$2:C568,C568)</f>
        <v>57646</v>
      </c>
      <c r="I568" s="8">
        <f>STAMP_Escapement_Data[[#This Row],[DATE]]-DATE(STAMP_Escapement_Data[[#This Row],[YEAR]],8,1)</f>
        <v>93</v>
      </c>
    </row>
    <row r="569" spans="1:9" x14ac:dyDescent="0.25">
      <c r="A569" s="1">
        <v>34641</v>
      </c>
      <c r="B569">
        <v>1103</v>
      </c>
      <c r="C569">
        <v>1994</v>
      </c>
      <c r="D569">
        <v>0</v>
      </c>
      <c r="E569">
        <v>2</v>
      </c>
      <c r="F569">
        <v>10</v>
      </c>
      <c r="G569">
        <v>0</v>
      </c>
      <c r="H569">
        <f>SUMIFS($F$2:F569,$C$2:C569,C569)</f>
        <v>57656</v>
      </c>
      <c r="I569" s="8">
        <f>STAMP_Escapement_Data[[#This Row],[DATE]]-DATE(STAMP_Escapement_Data[[#This Row],[YEAR]],8,1)</f>
        <v>94</v>
      </c>
    </row>
    <row r="570" spans="1:9" x14ac:dyDescent="0.25">
      <c r="A570" s="1">
        <v>34642</v>
      </c>
      <c r="B570">
        <v>1104</v>
      </c>
      <c r="C570">
        <v>1994</v>
      </c>
      <c r="D570">
        <v>0</v>
      </c>
      <c r="E570">
        <v>0</v>
      </c>
      <c r="F570">
        <v>0</v>
      </c>
      <c r="G570">
        <v>0</v>
      </c>
      <c r="H570">
        <f>SUMIFS($F$2:F570,$C$2:C570,C570)</f>
        <v>57656</v>
      </c>
      <c r="I570" s="8">
        <f>STAMP_Escapement_Data[[#This Row],[DATE]]-DATE(STAMP_Escapement_Data[[#This Row],[YEAR]],8,1)</f>
        <v>95</v>
      </c>
    </row>
    <row r="571" spans="1:9" x14ac:dyDescent="0.25">
      <c r="A571" s="1">
        <v>34643</v>
      </c>
      <c r="B571">
        <v>1105</v>
      </c>
      <c r="C571">
        <v>1994</v>
      </c>
      <c r="D571">
        <v>1</v>
      </c>
      <c r="E571">
        <v>9</v>
      </c>
      <c r="F571">
        <v>14</v>
      </c>
      <c r="G571">
        <v>0</v>
      </c>
      <c r="H571">
        <f>SUMIFS($F$2:F571,$C$2:C571,C571)</f>
        <v>57670</v>
      </c>
      <c r="I571" s="8">
        <f>STAMP_Escapement_Data[[#This Row],[DATE]]-DATE(STAMP_Escapement_Data[[#This Row],[YEAR]],8,1)</f>
        <v>96</v>
      </c>
    </row>
    <row r="572" spans="1:9" x14ac:dyDescent="0.25">
      <c r="A572" s="1">
        <v>34644</v>
      </c>
      <c r="B572">
        <v>1106</v>
      </c>
      <c r="C572">
        <v>1994</v>
      </c>
      <c r="D572">
        <v>2</v>
      </c>
      <c r="E572">
        <v>1</v>
      </c>
      <c r="F572">
        <v>4</v>
      </c>
      <c r="G572">
        <v>0</v>
      </c>
      <c r="H572">
        <f>SUMIFS($F$2:F572,$C$2:C572,C572)</f>
        <v>57674</v>
      </c>
      <c r="I572" s="8">
        <f>STAMP_Escapement_Data[[#This Row],[DATE]]-DATE(STAMP_Escapement_Data[[#This Row],[YEAR]],8,1)</f>
        <v>97</v>
      </c>
    </row>
    <row r="573" spans="1:9" x14ac:dyDescent="0.25">
      <c r="A573" s="1">
        <v>34645</v>
      </c>
      <c r="B573">
        <v>1107</v>
      </c>
      <c r="C573">
        <v>1994</v>
      </c>
      <c r="D573">
        <v>1</v>
      </c>
      <c r="E573">
        <v>0</v>
      </c>
      <c r="F573">
        <v>2</v>
      </c>
      <c r="G573">
        <v>0</v>
      </c>
      <c r="H573">
        <f>SUMIFS($F$2:F573,$C$2:C573,C573)</f>
        <v>57676</v>
      </c>
      <c r="I573" s="8">
        <f>STAMP_Escapement_Data[[#This Row],[DATE]]-DATE(STAMP_Escapement_Data[[#This Row],[YEAR]],8,1)</f>
        <v>98</v>
      </c>
    </row>
    <row r="574" spans="1:9" x14ac:dyDescent="0.25">
      <c r="A574" s="1">
        <v>34646</v>
      </c>
      <c r="B574">
        <v>1108</v>
      </c>
      <c r="C574">
        <v>1994</v>
      </c>
      <c r="D574">
        <v>0</v>
      </c>
      <c r="E574">
        <v>0</v>
      </c>
      <c r="F574">
        <v>2</v>
      </c>
      <c r="G574">
        <v>0</v>
      </c>
      <c r="H574">
        <f>SUMIFS($F$2:F574,$C$2:C574,C574)</f>
        <v>57678</v>
      </c>
      <c r="I574" s="8">
        <f>STAMP_Escapement_Data[[#This Row],[DATE]]-DATE(STAMP_Escapement_Data[[#This Row],[YEAR]],8,1)</f>
        <v>99</v>
      </c>
    </row>
    <row r="575" spans="1:9" x14ac:dyDescent="0.25">
      <c r="A575" s="1">
        <v>34944</v>
      </c>
      <c r="B575">
        <v>902</v>
      </c>
      <c r="C575">
        <v>1995</v>
      </c>
      <c r="D575">
        <v>141</v>
      </c>
      <c r="E575">
        <v>19</v>
      </c>
      <c r="F575">
        <v>263</v>
      </c>
      <c r="G575">
        <v>22</v>
      </c>
      <c r="H575">
        <f>SUMIFS($F$2:F575,$C$2:C575,C575)</f>
        <v>263</v>
      </c>
      <c r="I575" s="8">
        <f>STAMP_Escapement_Data[[#This Row],[DATE]]-DATE(STAMP_Escapement_Data[[#This Row],[YEAR]],8,1)</f>
        <v>32</v>
      </c>
    </row>
    <row r="576" spans="1:9" x14ac:dyDescent="0.25">
      <c r="A576" s="1">
        <v>34945</v>
      </c>
      <c r="B576">
        <v>903</v>
      </c>
      <c r="C576">
        <v>1995</v>
      </c>
      <c r="D576">
        <v>216</v>
      </c>
      <c r="E576">
        <v>39</v>
      </c>
      <c r="F576">
        <v>195</v>
      </c>
      <c r="G576">
        <v>28</v>
      </c>
      <c r="H576">
        <f>SUMIFS($F$2:F576,$C$2:C576,C576)</f>
        <v>458</v>
      </c>
      <c r="I576" s="8">
        <f>STAMP_Escapement_Data[[#This Row],[DATE]]-DATE(STAMP_Escapement_Data[[#This Row],[YEAR]],8,1)</f>
        <v>33</v>
      </c>
    </row>
    <row r="577" spans="1:9" x14ac:dyDescent="0.25">
      <c r="A577" s="1">
        <v>34946</v>
      </c>
      <c r="B577">
        <v>904</v>
      </c>
      <c r="C577">
        <v>1995</v>
      </c>
      <c r="D577">
        <v>126</v>
      </c>
      <c r="E577">
        <v>17</v>
      </c>
      <c r="F577">
        <v>115</v>
      </c>
      <c r="G577">
        <v>14</v>
      </c>
      <c r="H577">
        <f>SUMIFS($F$2:F577,$C$2:C577,C577)</f>
        <v>573</v>
      </c>
      <c r="I577" s="8">
        <f>STAMP_Escapement_Data[[#This Row],[DATE]]-DATE(STAMP_Escapement_Data[[#This Row],[YEAR]],8,1)</f>
        <v>34</v>
      </c>
    </row>
    <row r="578" spans="1:9" x14ac:dyDescent="0.25">
      <c r="A578" s="1">
        <v>34947</v>
      </c>
      <c r="B578">
        <v>905</v>
      </c>
      <c r="C578">
        <v>1995</v>
      </c>
      <c r="D578">
        <v>849</v>
      </c>
      <c r="E578">
        <v>43</v>
      </c>
      <c r="F578">
        <v>380</v>
      </c>
      <c r="G578">
        <v>15</v>
      </c>
      <c r="H578">
        <f>SUMIFS($F$2:F578,$C$2:C578,C578)</f>
        <v>953</v>
      </c>
      <c r="I578" s="8">
        <f>STAMP_Escapement_Data[[#This Row],[DATE]]-DATE(STAMP_Escapement_Data[[#This Row],[YEAR]],8,1)</f>
        <v>35</v>
      </c>
    </row>
    <row r="579" spans="1:9" x14ac:dyDescent="0.25">
      <c r="A579" s="1">
        <v>34948</v>
      </c>
      <c r="B579">
        <v>906</v>
      </c>
      <c r="C579">
        <v>1995</v>
      </c>
      <c r="D579">
        <v>458</v>
      </c>
      <c r="E579">
        <v>39</v>
      </c>
      <c r="F579">
        <v>309</v>
      </c>
      <c r="G579">
        <v>17</v>
      </c>
      <c r="H579">
        <f>SUMIFS($F$2:F579,$C$2:C579,C579)</f>
        <v>1262</v>
      </c>
      <c r="I579" s="8">
        <f>STAMP_Escapement_Data[[#This Row],[DATE]]-DATE(STAMP_Escapement_Data[[#This Row],[YEAR]],8,1)</f>
        <v>36</v>
      </c>
    </row>
    <row r="580" spans="1:9" x14ac:dyDescent="0.25">
      <c r="A580" s="1">
        <v>34949</v>
      </c>
      <c r="B580">
        <v>907</v>
      </c>
      <c r="C580">
        <v>1995</v>
      </c>
      <c r="D580">
        <v>282</v>
      </c>
      <c r="E580">
        <v>31</v>
      </c>
      <c r="F580">
        <v>70</v>
      </c>
      <c r="G580">
        <v>18</v>
      </c>
      <c r="H580">
        <f>SUMIFS($F$2:F580,$C$2:C580,C580)</f>
        <v>1332</v>
      </c>
      <c r="I580" s="8">
        <f>STAMP_Escapement_Data[[#This Row],[DATE]]-DATE(STAMP_Escapement_Data[[#This Row],[YEAR]],8,1)</f>
        <v>37</v>
      </c>
    </row>
    <row r="581" spans="1:9" x14ac:dyDescent="0.25">
      <c r="A581" s="1">
        <v>34950</v>
      </c>
      <c r="B581">
        <v>908</v>
      </c>
      <c r="C581">
        <v>1995</v>
      </c>
      <c r="D581">
        <v>419</v>
      </c>
      <c r="E581">
        <v>66</v>
      </c>
      <c r="F581">
        <v>94</v>
      </c>
      <c r="G581">
        <v>12</v>
      </c>
      <c r="H581">
        <f>SUMIFS($F$2:F581,$C$2:C581,C581)</f>
        <v>1426</v>
      </c>
      <c r="I581" s="8">
        <f>STAMP_Escapement_Data[[#This Row],[DATE]]-DATE(STAMP_Escapement_Data[[#This Row],[YEAR]],8,1)</f>
        <v>38</v>
      </c>
    </row>
    <row r="582" spans="1:9" x14ac:dyDescent="0.25">
      <c r="A582" s="1">
        <v>34951</v>
      </c>
      <c r="B582">
        <v>909</v>
      </c>
      <c r="C582">
        <v>1995</v>
      </c>
      <c r="D582">
        <v>402</v>
      </c>
      <c r="E582">
        <v>75</v>
      </c>
      <c r="F582">
        <v>34</v>
      </c>
      <c r="G582">
        <v>5</v>
      </c>
      <c r="H582">
        <f>SUMIFS($F$2:F582,$C$2:C582,C582)</f>
        <v>1460</v>
      </c>
      <c r="I582" s="8">
        <f>STAMP_Escapement_Data[[#This Row],[DATE]]-DATE(STAMP_Escapement_Data[[#This Row],[YEAR]],8,1)</f>
        <v>39</v>
      </c>
    </row>
    <row r="583" spans="1:9" x14ac:dyDescent="0.25">
      <c r="A583" s="1">
        <v>34952</v>
      </c>
      <c r="B583">
        <v>910</v>
      </c>
      <c r="C583">
        <v>1995</v>
      </c>
      <c r="D583">
        <v>487</v>
      </c>
      <c r="E583">
        <v>51</v>
      </c>
      <c r="F583">
        <v>179</v>
      </c>
      <c r="G583">
        <v>17</v>
      </c>
      <c r="H583">
        <f>SUMIFS($F$2:F583,$C$2:C583,C583)</f>
        <v>1639</v>
      </c>
      <c r="I583" s="8">
        <f>STAMP_Escapement_Data[[#This Row],[DATE]]-DATE(STAMP_Escapement_Data[[#This Row],[YEAR]],8,1)</f>
        <v>40</v>
      </c>
    </row>
    <row r="584" spans="1:9" x14ac:dyDescent="0.25">
      <c r="A584" s="1">
        <v>34953</v>
      </c>
      <c r="B584">
        <v>911</v>
      </c>
      <c r="C584">
        <v>1995</v>
      </c>
      <c r="D584">
        <v>761</v>
      </c>
      <c r="E584">
        <v>50</v>
      </c>
      <c r="F584">
        <v>326</v>
      </c>
      <c r="G584">
        <v>46</v>
      </c>
      <c r="H584">
        <f>SUMIFS($F$2:F584,$C$2:C584,C584)</f>
        <v>1965</v>
      </c>
      <c r="I584" s="8">
        <f>STAMP_Escapement_Data[[#This Row],[DATE]]-DATE(STAMP_Escapement_Data[[#This Row],[YEAR]],8,1)</f>
        <v>41</v>
      </c>
    </row>
    <row r="585" spans="1:9" x14ac:dyDescent="0.25">
      <c r="A585" s="1">
        <v>34954</v>
      </c>
      <c r="B585">
        <v>912</v>
      </c>
      <c r="C585">
        <v>1995</v>
      </c>
      <c r="D585">
        <v>715</v>
      </c>
      <c r="E585">
        <v>76</v>
      </c>
      <c r="F585">
        <v>265</v>
      </c>
      <c r="G585">
        <v>63</v>
      </c>
      <c r="H585">
        <f>SUMIFS($F$2:F585,$C$2:C585,C585)</f>
        <v>2230</v>
      </c>
      <c r="I585" s="8">
        <f>STAMP_Escapement_Data[[#This Row],[DATE]]-DATE(STAMP_Escapement_Data[[#This Row],[YEAR]],8,1)</f>
        <v>42</v>
      </c>
    </row>
    <row r="586" spans="1:9" x14ac:dyDescent="0.25">
      <c r="A586" s="1">
        <v>34955</v>
      </c>
      <c r="B586">
        <v>913</v>
      </c>
      <c r="C586">
        <v>1995</v>
      </c>
      <c r="D586">
        <v>484</v>
      </c>
      <c r="E586">
        <v>42</v>
      </c>
      <c r="F586">
        <v>274</v>
      </c>
      <c r="G586">
        <v>48</v>
      </c>
      <c r="H586">
        <f>SUMIFS($F$2:F586,$C$2:C586,C586)</f>
        <v>2504</v>
      </c>
      <c r="I586" s="8">
        <f>STAMP_Escapement_Data[[#This Row],[DATE]]-DATE(STAMP_Escapement_Data[[#This Row],[YEAR]],8,1)</f>
        <v>43</v>
      </c>
    </row>
    <row r="587" spans="1:9" x14ac:dyDescent="0.25">
      <c r="A587" s="1">
        <v>34956</v>
      </c>
      <c r="B587">
        <v>914</v>
      </c>
      <c r="C587">
        <v>1995</v>
      </c>
      <c r="D587">
        <v>349</v>
      </c>
      <c r="E587">
        <v>47</v>
      </c>
      <c r="F587">
        <v>235</v>
      </c>
      <c r="G587">
        <v>31</v>
      </c>
      <c r="H587">
        <f>SUMIFS($F$2:F587,$C$2:C587,C587)</f>
        <v>2739</v>
      </c>
      <c r="I587" s="8">
        <f>STAMP_Escapement_Data[[#This Row],[DATE]]-DATE(STAMP_Escapement_Data[[#This Row],[YEAR]],8,1)</f>
        <v>44</v>
      </c>
    </row>
    <row r="588" spans="1:9" x14ac:dyDescent="0.25">
      <c r="A588" s="1">
        <v>34957</v>
      </c>
      <c r="B588">
        <v>915</v>
      </c>
      <c r="C588">
        <v>1995</v>
      </c>
      <c r="D588">
        <v>261</v>
      </c>
      <c r="E588">
        <v>86</v>
      </c>
      <c r="F588">
        <v>260</v>
      </c>
      <c r="G588">
        <v>58</v>
      </c>
      <c r="H588">
        <f>SUMIFS($F$2:F588,$C$2:C588,C588)</f>
        <v>2999</v>
      </c>
      <c r="I588" s="8">
        <f>STAMP_Escapement_Data[[#This Row],[DATE]]-DATE(STAMP_Escapement_Data[[#This Row],[YEAR]],8,1)</f>
        <v>45</v>
      </c>
    </row>
    <row r="589" spans="1:9" x14ac:dyDescent="0.25">
      <c r="A589" s="1">
        <v>34958</v>
      </c>
      <c r="B589">
        <v>916</v>
      </c>
      <c r="C589">
        <v>1995</v>
      </c>
      <c r="D589">
        <v>163</v>
      </c>
      <c r="E589">
        <v>62</v>
      </c>
      <c r="F589">
        <v>273</v>
      </c>
      <c r="G589">
        <v>42</v>
      </c>
      <c r="H589">
        <f>SUMIFS($F$2:F589,$C$2:C589,C589)</f>
        <v>3272</v>
      </c>
      <c r="I589" s="8">
        <f>STAMP_Escapement_Data[[#This Row],[DATE]]-DATE(STAMP_Escapement_Data[[#This Row],[YEAR]],8,1)</f>
        <v>46</v>
      </c>
    </row>
    <row r="590" spans="1:9" x14ac:dyDescent="0.25">
      <c r="A590" s="1">
        <v>34959</v>
      </c>
      <c r="B590">
        <v>917</v>
      </c>
      <c r="C590">
        <v>1995</v>
      </c>
      <c r="D590">
        <v>540</v>
      </c>
      <c r="E590">
        <v>82</v>
      </c>
      <c r="F590">
        <v>343</v>
      </c>
      <c r="G590">
        <v>85</v>
      </c>
      <c r="H590">
        <f>SUMIFS($F$2:F590,$C$2:C590,C590)</f>
        <v>3615</v>
      </c>
      <c r="I590" s="8">
        <f>STAMP_Escapement_Data[[#This Row],[DATE]]-DATE(STAMP_Escapement_Data[[#This Row],[YEAR]],8,1)</f>
        <v>47</v>
      </c>
    </row>
    <row r="591" spans="1:9" x14ac:dyDescent="0.25">
      <c r="A591" s="1">
        <v>34960</v>
      </c>
      <c r="B591">
        <v>918</v>
      </c>
      <c r="C591">
        <v>1995</v>
      </c>
      <c r="D591">
        <v>1066</v>
      </c>
      <c r="E591">
        <v>74</v>
      </c>
      <c r="F591">
        <v>596</v>
      </c>
      <c r="G591">
        <v>111</v>
      </c>
      <c r="H591">
        <f>SUMIFS($F$2:F591,$C$2:C591,C591)</f>
        <v>4211</v>
      </c>
      <c r="I591" s="8">
        <f>STAMP_Escapement_Data[[#This Row],[DATE]]-DATE(STAMP_Escapement_Data[[#This Row],[YEAR]],8,1)</f>
        <v>48</v>
      </c>
    </row>
    <row r="592" spans="1:9" x14ac:dyDescent="0.25">
      <c r="A592" s="1">
        <v>34961</v>
      </c>
      <c r="B592">
        <v>919</v>
      </c>
      <c r="C592">
        <v>1995</v>
      </c>
      <c r="D592">
        <v>168</v>
      </c>
      <c r="E592">
        <v>17</v>
      </c>
      <c r="F592">
        <v>245</v>
      </c>
      <c r="G592">
        <v>18</v>
      </c>
      <c r="H592">
        <f>SUMIFS($F$2:F592,$C$2:C592,C592)</f>
        <v>4456</v>
      </c>
      <c r="I592" s="8">
        <f>STAMP_Escapement_Data[[#This Row],[DATE]]-DATE(STAMP_Escapement_Data[[#This Row],[YEAR]],8,1)</f>
        <v>49</v>
      </c>
    </row>
    <row r="593" spans="1:9" x14ac:dyDescent="0.25">
      <c r="A593" s="1">
        <v>34962</v>
      </c>
      <c r="B593">
        <v>920</v>
      </c>
      <c r="C593">
        <v>1995</v>
      </c>
      <c r="H593">
        <f>SUMIFS($F$2:F593,$C$2:C593,C593)</f>
        <v>4456</v>
      </c>
      <c r="I593" s="8">
        <f>STAMP_Escapement_Data[[#This Row],[DATE]]-DATE(STAMP_Escapement_Data[[#This Row],[YEAR]],8,1)</f>
        <v>50</v>
      </c>
    </row>
    <row r="594" spans="1:9" x14ac:dyDescent="0.25">
      <c r="A594" s="1">
        <v>34963</v>
      </c>
      <c r="B594">
        <v>921</v>
      </c>
      <c r="C594">
        <v>1995</v>
      </c>
      <c r="D594">
        <v>721</v>
      </c>
      <c r="E594">
        <v>103</v>
      </c>
      <c r="F594">
        <v>500</v>
      </c>
      <c r="G594">
        <v>92</v>
      </c>
      <c r="H594">
        <f>SUMIFS($F$2:F594,$C$2:C594,C594)</f>
        <v>4956</v>
      </c>
      <c r="I594" s="8">
        <f>STAMP_Escapement_Data[[#This Row],[DATE]]-DATE(STAMP_Escapement_Data[[#This Row],[YEAR]],8,1)</f>
        <v>51</v>
      </c>
    </row>
    <row r="595" spans="1:9" x14ac:dyDescent="0.25">
      <c r="A595" s="1">
        <v>34964</v>
      </c>
      <c r="B595">
        <v>922</v>
      </c>
      <c r="C595">
        <v>1995</v>
      </c>
      <c r="D595">
        <v>1392</v>
      </c>
      <c r="E595">
        <v>105</v>
      </c>
      <c r="F595">
        <v>2104</v>
      </c>
      <c r="G595">
        <v>196</v>
      </c>
      <c r="H595">
        <f>SUMIFS($F$2:F595,$C$2:C595,C595)</f>
        <v>7060</v>
      </c>
      <c r="I595" s="8">
        <f>STAMP_Escapement_Data[[#This Row],[DATE]]-DATE(STAMP_Escapement_Data[[#This Row],[YEAR]],8,1)</f>
        <v>52</v>
      </c>
    </row>
    <row r="596" spans="1:9" x14ac:dyDescent="0.25">
      <c r="A596" s="1">
        <v>34965</v>
      </c>
      <c r="B596">
        <v>923</v>
      </c>
      <c r="C596">
        <v>1995</v>
      </c>
      <c r="D596">
        <v>1000</v>
      </c>
      <c r="E596">
        <v>124</v>
      </c>
      <c r="F596">
        <v>1669</v>
      </c>
      <c r="G596">
        <v>93</v>
      </c>
      <c r="H596">
        <f>SUMIFS($F$2:F596,$C$2:C596,C596)</f>
        <v>8729</v>
      </c>
      <c r="I596" s="8">
        <f>STAMP_Escapement_Data[[#This Row],[DATE]]-DATE(STAMP_Escapement_Data[[#This Row],[YEAR]],8,1)</f>
        <v>53</v>
      </c>
    </row>
    <row r="597" spans="1:9" x14ac:dyDescent="0.25">
      <c r="A597" s="1">
        <v>34966</v>
      </c>
      <c r="B597">
        <v>924</v>
      </c>
      <c r="C597">
        <v>1995</v>
      </c>
      <c r="D597">
        <v>1281</v>
      </c>
      <c r="E597">
        <v>240</v>
      </c>
      <c r="F597">
        <v>1401</v>
      </c>
      <c r="G597">
        <v>168</v>
      </c>
      <c r="H597">
        <f>SUMIFS($F$2:F597,$C$2:C597,C597)</f>
        <v>10130</v>
      </c>
      <c r="I597" s="8">
        <f>STAMP_Escapement_Data[[#This Row],[DATE]]-DATE(STAMP_Escapement_Data[[#This Row],[YEAR]],8,1)</f>
        <v>54</v>
      </c>
    </row>
    <row r="598" spans="1:9" x14ac:dyDescent="0.25">
      <c r="A598" s="1">
        <v>34967</v>
      </c>
      <c r="B598">
        <v>925</v>
      </c>
      <c r="C598">
        <v>1995</v>
      </c>
      <c r="D598">
        <v>815</v>
      </c>
      <c r="E598">
        <v>238</v>
      </c>
      <c r="F598">
        <v>895</v>
      </c>
      <c r="G598">
        <v>168</v>
      </c>
      <c r="H598">
        <f>SUMIFS($F$2:F598,$C$2:C598,C598)</f>
        <v>11025</v>
      </c>
      <c r="I598" s="8">
        <f>STAMP_Escapement_Data[[#This Row],[DATE]]-DATE(STAMP_Escapement_Data[[#This Row],[YEAR]],8,1)</f>
        <v>55</v>
      </c>
    </row>
    <row r="599" spans="1:9" x14ac:dyDescent="0.25">
      <c r="A599" s="1">
        <v>34968</v>
      </c>
      <c r="B599">
        <v>926</v>
      </c>
      <c r="C599">
        <v>1995</v>
      </c>
      <c r="D599">
        <v>617</v>
      </c>
      <c r="E599">
        <v>161</v>
      </c>
      <c r="F599">
        <v>1331</v>
      </c>
      <c r="G599">
        <v>45</v>
      </c>
      <c r="H599">
        <f>SUMIFS($F$2:F599,$C$2:C599,C599)</f>
        <v>12356</v>
      </c>
      <c r="I599" s="8">
        <f>STAMP_Escapement_Data[[#This Row],[DATE]]-DATE(STAMP_Escapement_Data[[#This Row],[YEAR]],8,1)</f>
        <v>56</v>
      </c>
    </row>
    <row r="600" spans="1:9" x14ac:dyDescent="0.25">
      <c r="A600" s="1">
        <v>34969</v>
      </c>
      <c r="B600">
        <v>927</v>
      </c>
      <c r="C600">
        <v>1995</v>
      </c>
      <c r="D600">
        <v>452</v>
      </c>
      <c r="E600">
        <v>102</v>
      </c>
      <c r="F600">
        <v>647</v>
      </c>
      <c r="G600">
        <v>41</v>
      </c>
      <c r="H600">
        <f>SUMIFS($F$2:F600,$C$2:C600,C600)</f>
        <v>13003</v>
      </c>
      <c r="I600" s="8">
        <f>STAMP_Escapement_Data[[#This Row],[DATE]]-DATE(STAMP_Escapement_Data[[#This Row],[YEAR]],8,1)</f>
        <v>57</v>
      </c>
    </row>
    <row r="601" spans="1:9" x14ac:dyDescent="0.25">
      <c r="A601" s="1">
        <v>34970</v>
      </c>
      <c r="B601">
        <v>928</v>
      </c>
      <c r="C601">
        <v>1995</v>
      </c>
      <c r="D601">
        <v>402</v>
      </c>
      <c r="E601">
        <v>94</v>
      </c>
      <c r="F601">
        <v>1242</v>
      </c>
      <c r="G601">
        <v>50</v>
      </c>
      <c r="H601">
        <f>SUMIFS($F$2:F601,$C$2:C601,C601)</f>
        <v>14245</v>
      </c>
      <c r="I601" s="8">
        <f>STAMP_Escapement_Data[[#This Row],[DATE]]-DATE(STAMP_Escapement_Data[[#This Row],[YEAR]],8,1)</f>
        <v>58</v>
      </c>
    </row>
    <row r="602" spans="1:9" x14ac:dyDescent="0.25">
      <c r="A602" s="1">
        <v>34971</v>
      </c>
      <c r="B602">
        <v>929</v>
      </c>
      <c r="C602">
        <v>1995</v>
      </c>
      <c r="D602">
        <v>147</v>
      </c>
      <c r="E602">
        <v>26</v>
      </c>
      <c r="F602">
        <v>1731</v>
      </c>
      <c r="G602">
        <v>48</v>
      </c>
      <c r="H602">
        <f>SUMIFS($F$2:F602,$C$2:C602,C602)</f>
        <v>15976</v>
      </c>
      <c r="I602" s="8">
        <f>STAMP_Escapement_Data[[#This Row],[DATE]]-DATE(STAMP_Escapement_Data[[#This Row],[YEAR]],8,1)</f>
        <v>59</v>
      </c>
    </row>
    <row r="603" spans="1:9" x14ac:dyDescent="0.25">
      <c r="A603" s="1">
        <v>34972</v>
      </c>
      <c r="B603">
        <v>930</v>
      </c>
      <c r="C603">
        <v>1995</v>
      </c>
      <c r="D603">
        <v>410</v>
      </c>
      <c r="E603">
        <v>152</v>
      </c>
      <c r="F603">
        <v>1720</v>
      </c>
      <c r="G603">
        <v>56</v>
      </c>
      <c r="H603">
        <f>SUMIFS($F$2:F603,$C$2:C603,C603)</f>
        <v>17696</v>
      </c>
      <c r="I603" s="8">
        <f>STAMP_Escapement_Data[[#This Row],[DATE]]-DATE(STAMP_Escapement_Data[[#This Row],[YEAR]],8,1)</f>
        <v>60</v>
      </c>
    </row>
    <row r="604" spans="1:9" x14ac:dyDescent="0.25">
      <c r="A604" s="1">
        <v>34973</v>
      </c>
      <c r="B604">
        <v>1001</v>
      </c>
      <c r="C604">
        <v>1995</v>
      </c>
      <c r="D604">
        <v>315</v>
      </c>
      <c r="E604">
        <v>70</v>
      </c>
      <c r="F604">
        <v>887</v>
      </c>
      <c r="G604">
        <v>39</v>
      </c>
      <c r="H604">
        <f>SUMIFS($F$2:F604,$C$2:C604,C604)</f>
        <v>18583</v>
      </c>
      <c r="I604" s="8">
        <f>STAMP_Escapement_Data[[#This Row],[DATE]]-DATE(STAMP_Escapement_Data[[#This Row],[YEAR]],8,1)</f>
        <v>61</v>
      </c>
    </row>
    <row r="605" spans="1:9" x14ac:dyDescent="0.25">
      <c r="A605" s="1">
        <v>34974</v>
      </c>
      <c r="B605">
        <v>1002</v>
      </c>
      <c r="C605">
        <v>1995</v>
      </c>
      <c r="D605">
        <v>360</v>
      </c>
      <c r="E605">
        <v>115</v>
      </c>
      <c r="F605">
        <v>895</v>
      </c>
      <c r="G605">
        <v>57</v>
      </c>
      <c r="H605">
        <f>SUMIFS($F$2:F605,$C$2:C605,C605)</f>
        <v>19478</v>
      </c>
      <c r="I605" s="8">
        <f>STAMP_Escapement_Data[[#This Row],[DATE]]-DATE(STAMP_Escapement_Data[[#This Row],[YEAR]],8,1)</f>
        <v>62</v>
      </c>
    </row>
    <row r="606" spans="1:9" x14ac:dyDescent="0.25">
      <c r="A606" s="1">
        <v>34975</v>
      </c>
      <c r="B606">
        <v>1003</v>
      </c>
      <c r="C606">
        <v>1995</v>
      </c>
      <c r="D606">
        <v>349</v>
      </c>
      <c r="E606">
        <v>123</v>
      </c>
      <c r="F606">
        <v>657</v>
      </c>
      <c r="G606">
        <v>32</v>
      </c>
      <c r="H606">
        <f>SUMIFS($F$2:F606,$C$2:C606,C606)</f>
        <v>20135</v>
      </c>
      <c r="I606" s="8">
        <f>STAMP_Escapement_Data[[#This Row],[DATE]]-DATE(STAMP_Escapement_Data[[#This Row],[YEAR]],8,1)</f>
        <v>63</v>
      </c>
    </row>
    <row r="607" spans="1:9" x14ac:dyDescent="0.25">
      <c r="A607" s="1">
        <v>34976</v>
      </c>
      <c r="B607">
        <v>1004</v>
      </c>
      <c r="C607">
        <v>1995</v>
      </c>
      <c r="D607">
        <v>231</v>
      </c>
      <c r="E607">
        <v>79</v>
      </c>
      <c r="F607">
        <v>598</v>
      </c>
      <c r="G607">
        <v>28</v>
      </c>
      <c r="H607">
        <f>SUMIFS($F$2:F607,$C$2:C607,C607)</f>
        <v>20733</v>
      </c>
      <c r="I607" s="8">
        <f>STAMP_Escapement_Data[[#This Row],[DATE]]-DATE(STAMP_Escapement_Data[[#This Row],[YEAR]],8,1)</f>
        <v>64</v>
      </c>
    </row>
    <row r="608" spans="1:9" x14ac:dyDescent="0.25">
      <c r="A608" s="1">
        <v>34977</v>
      </c>
      <c r="B608">
        <v>1005</v>
      </c>
      <c r="C608">
        <v>1995</v>
      </c>
      <c r="D608">
        <v>279</v>
      </c>
      <c r="E608">
        <v>93</v>
      </c>
      <c r="F608">
        <v>420</v>
      </c>
      <c r="G608">
        <v>41</v>
      </c>
      <c r="H608">
        <f>SUMIFS($F$2:F608,$C$2:C608,C608)</f>
        <v>21153</v>
      </c>
      <c r="I608" s="8">
        <f>STAMP_Escapement_Data[[#This Row],[DATE]]-DATE(STAMP_Escapement_Data[[#This Row],[YEAR]],8,1)</f>
        <v>65</v>
      </c>
    </row>
    <row r="609" spans="1:9" x14ac:dyDescent="0.25">
      <c r="A609" s="1">
        <v>34978</v>
      </c>
      <c r="B609">
        <v>1006</v>
      </c>
      <c r="C609">
        <v>1995</v>
      </c>
      <c r="D609">
        <v>113</v>
      </c>
      <c r="E609">
        <v>58</v>
      </c>
      <c r="F609">
        <v>312</v>
      </c>
      <c r="G609">
        <v>73</v>
      </c>
      <c r="H609">
        <f>SUMIFS($F$2:F609,$C$2:C609,C609)</f>
        <v>21465</v>
      </c>
      <c r="I609" s="8">
        <f>STAMP_Escapement_Data[[#This Row],[DATE]]-DATE(STAMP_Escapement_Data[[#This Row],[YEAR]],8,1)</f>
        <v>66</v>
      </c>
    </row>
    <row r="610" spans="1:9" x14ac:dyDescent="0.25">
      <c r="A610" s="1">
        <v>34979</v>
      </c>
      <c r="B610">
        <v>1007</v>
      </c>
      <c r="C610">
        <v>1995</v>
      </c>
      <c r="D610">
        <v>241</v>
      </c>
      <c r="E610">
        <v>75</v>
      </c>
      <c r="F610">
        <v>310</v>
      </c>
      <c r="G610">
        <v>101</v>
      </c>
      <c r="H610">
        <f>SUMIFS($F$2:F610,$C$2:C610,C610)</f>
        <v>21775</v>
      </c>
      <c r="I610" s="8">
        <f>STAMP_Escapement_Data[[#This Row],[DATE]]-DATE(STAMP_Escapement_Data[[#This Row],[YEAR]],8,1)</f>
        <v>67</v>
      </c>
    </row>
    <row r="611" spans="1:9" x14ac:dyDescent="0.25">
      <c r="A611" s="1">
        <v>34980</v>
      </c>
      <c r="B611">
        <v>1008</v>
      </c>
      <c r="C611">
        <v>1995</v>
      </c>
      <c r="D611">
        <v>435</v>
      </c>
      <c r="E611">
        <v>83</v>
      </c>
      <c r="F611">
        <v>1055</v>
      </c>
      <c r="G611">
        <v>211</v>
      </c>
      <c r="H611">
        <f>SUMIFS($F$2:F611,$C$2:C611,C611)</f>
        <v>22830</v>
      </c>
      <c r="I611" s="8">
        <f>STAMP_Escapement_Data[[#This Row],[DATE]]-DATE(STAMP_Escapement_Data[[#This Row],[YEAR]],8,1)</f>
        <v>68</v>
      </c>
    </row>
    <row r="612" spans="1:9" x14ac:dyDescent="0.25">
      <c r="A612" s="1">
        <v>34981</v>
      </c>
      <c r="B612">
        <v>1009</v>
      </c>
      <c r="C612">
        <v>1995</v>
      </c>
      <c r="D612">
        <v>182</v>
      </c>
      <c r="E612">
        <v>62</v>
      </c>
      <c r="F612">
        <v>1180</v>
      </c>
      <c r="G612">
        <v>93</v>
      </c>
      <c r="H612">
        <f>SUMIFS($F$2:F612,$C$2:C612,C612)</f>
        <v>24010</v>
      </c>
      <c r="I612" s="8">
        <f>STAMP_Escapement_Data[[#This Row],[DATE]]-DATE(STAMP_Escapement_Data[[#This Row],[YEAR]],8,1)</f>
        <v>69</v>
      </c>
    </row>
    <row r="613" spans="1:9" x14ac:dyDescent="0.25">
      <c r="A613" s="1">
        <v>34982</v>
      </c>
      <c r="B613">
        <v>1010</v>
      </c>
      <c r="C613">
        <v>1995</v>
      </c>
      <c r="D613">
        <v>261</v>
      </c>
      <c r="E613">
        <v>50</v>
      </c>
      <c r="F613">
        <v>1319</v>
      </c>
      <c r="G613">
        <v>66</v>
      </c>
      <c r="H613">
        <f>SUMIFS($F$2:F613,$C$2:C613,C613)</f>
        <v>25329</v>
      </c>
      <c r="I613" s="8">
        <f>STAMP_Escapement_Data[[#This Row],[DATE]]-DATE(STAMP_Escapement_Data[[#This Row],[YEAR]],8,1)</f>
        <v>70</v>
      </c>
    </row>
    <row r="614" spans="1:9" x14ac:dyDescent="0.25">
      <c r="A614" s="1">
        <v>34983</v>
      </c>
      <c r="B614">
        <v>1011</v>
      </c>
      <c r="C614">
        <v>1995</v>
      </c>
      <c r="D614">
        <v>290</v>
      </c>
      <c r="E614">
        <v>73</v>
      </c>
      <c r="F614">
        <v>637</v>
      </c>
      <c r="G614">
        <v>52</v>
      </c>
      <c r="H614">
        <f>SUMIFS($F$2:F614,$C$2:C614,C614)</f>
        <v>25966</v>
      </c>
      <c r="I614" s="8">
        <f>STAMP_Escapement_Data[[#This Row],[DATE]]-DATE(STAMP_Escapement_Data[[#This Row],[YEAR]],8,1)</f>
        <v>71</v>
      </c>
    </row>
    <row r="615" spans="1:9" x14ac:dyDescent="0.25">
      <c r="A615" s="1">
        <v>34984</v>
      </c>
      <c r="B615">
        <v>1012</v>
      </c>
      <c r="C615">
        <v>1995</v>
      </c>
      <c r="D615">
        <v>116</v>
      </c>
      <c r="E615">
        <v>42</v>
      </c>
      <c r="F615">
        <v>451</v>
      </c>
      <c r="G615">
        <v>60</v>
      </c>
      <c r="H615">
        <f>SUMIFS($F$2:F615,$C$2:C615,C615)</f>
        <v>26417</v>
      </c>
      <c r="I615" s="8">
        <f>STAMP_Escapement_Data[[#This Row],[DATE]]-DATE(STAMP_Escapement_Data[[#This Row],[YEAR]],8,1)</f>
        <v>72</v>
      </c>
    </row>
    <row r="616" spans="1:9" x14ac:dyDescent="0.25">
      <c r="A616" s="1">
        <v>34985</v>
      </c>
      <c r="B616">
        <v>1013</v>
      </c>
      <c r="C616">
        <v>1995</v>
      </c>
      <c r="D616">
        <v>28</v>
      </c>
      <c r="E616">
        <v>9</v>
      </c>
      <c r="F616">
        <v>176</v>
      </c>
      <c r="G616">
        <v>23</v>
      </c>
      <c r="H616">
        <f>SUMIFS($F$2:F616,$C$2:C616,C616)</f>
        <v>26593</v>
      </c>
      <c r="I616" s="8">
        <f>STAMP_Escapement_Data[[#This Row],[DATE]]-DATE(STAMP_Escapement_Data[[#This Row],[YEAR]],8,1)</f>
        <v>73</v>
      </c>
    </row>
    <row r="617" spans="1:9" x14ac:dyDescent="0.25">
      <c r="A617" s="1">
        <v>34986</v>
      </c>
      <c r="B617">
        <v>1014</v>
      </c>
      <c r="C617">
        <v>1995</v>
      </c>
      <c r="D617">
        <v>13</v>
      </c>
      <c r="E617">
        <v>1</v>
      </c>
      <c r="F617">
        <v>8</v>
      </c>
      <c r="G617">
        <v>1</v>
      </c>
      <c r="H617">
        <f>SUMIFS($F$2:F617,$C$2:C617,C617)</f>
        <v>26601</v>
      </c>
      <c r="I617" s="8">
        <f>STAMP_Escapement_Data[[#This Row],[DATE]]-DATE(STAMP_Escapement_Data[[#This Row],[YEAR]],8,1)</f>
        <v>74</v>
      </c>
    </row>
    <row r="618" spans="1:9" x14ac:dyDescent="0.25">
      <c r="A618" s="1">
        <v>34987</v>
      </c>
      <c r="B618">
        <v>1015</v>
      </c>
      <c r="C618">
        <v>1995</v>
      </c>
      <c r="D618">
        <v>0</v>
      </c>
      <c r="E618">
        <v>0</v>
      </c>
      <c r="F618">
        <v>0</v>
      </c>
      <c r="G618">
        <v>0</v>
      </c>
      <c r="H618">
        <f>SUMIFS($F$2:F618,$C$2:C618,C618)</f>
        <v>26601</v>
      </c>
      <c r="I618" s="8">
        <f>STAMP_Escapement_Data[[#This Row],[DATE]]-DATE(STAMP_Escapement_Data[[#This Row],[YEAR]],8,1)</f>
        <v>75</v>
      </c>
    </row>
    <row r="619" spans="1:9" x14ac:dyDescent="0.25">
      <c r="A619" s="1">
        <v>34988</v>
      </c>
      <c r="B619">
        <v>1016</v>
      </c>
      <c r="C619">
        <v>1995</v>
      </c>
      <c r="D619">
        <v>0</v>
      </c>
      <c r="E619">
        <v>0</v>
      </c>
      <c r="F619">
        <v>0</v>
      </c>
      <c r="G619">
        <v>0</v>
      </c>
      <c r="H619">
        <f>SUMIFS($F$2:F619,$C$2:C619,C619)</f>
        <v>26601</v>
      </c>
      <c r="I619" s="8">
        <f>STAMP_Escapement_Data[[#This Row],[DATE]]-DATE(STAMP_Escapement_Data[[#This Row],[YEAR]],8,1)</f>
        <v>76</v>
      </c>
    </row>
    <row r="620" spans="1:9" x14ac:dyDescent="0.25">
      <c r="A620" s="1">
        <v>34989</v>
      </c>
      <c r="B620">
        <v>1017</v>
      </c>
      <c r="C620">
        <v>1995</v>
      </c>
      <c r="D620">
        <v>0</v>
      </c>
      <c r="E620">
        <v>0</v>
      </c>
      <c r="F620">
        <v>0</v>
      </c>
      <c r="G620">
        <v>0</v>
      </c>
      <c r="H620">
        <f>SUMIFS($F$2:F620,$C$2:C620,C620)</f>
        <v>26601</v>
      </c>
      <c r="I620" s="8">
        <f>STAMP_Escapement_Data[[#This Row],[DATE]]-DATE(STAMP_Escapement_Data[[#This Row],[YEAR]],8,1)</f>
        <v>77</v>
      </c>
    </row>
    <row r="621" spans="1:9" x14ac:dyDescent="0.25">
      <c r="A621" s="1">
        <v>34990</v>
      </c>
      <c r="B621">
        <v>1018</v>
      </c>
      <c r="C621">
        <v>1995</v>
      </c>
      <c r="D621">
        <v>0</v>
      </c>
      <c r="E621">
        <v>0</v>
      </c>
      <c r="F621">
        <v>0</v>
      </c>
      <c r="G621">
        <v>0</v>
      </c>
      <c r="H621">
        <f>SUMIFS($F$2:F621,$C$2:C621,C621)</f>
        <v>26601</v>
      </c>
      <c r="I621" s="8">
        <f>STAMP_Escapement_Data[[#This Row],[DATE]]-DATE(STAMP_Escapement_Data[[#This Row],[YEAR]],8,1)</f>
        <v>78</v>
      </c>
    </row>
    <row r="622" spans="1:9" x14ac:dyDescent="0.25">
      <c r="A622" s="1">
        <v>34991</v>
      </c>
      <c r="B622">
        <v>1019</v>
      </c>
      <c r="C622">
        <v>1995</v>
      </c>
      <c r="D622">
        <v>0</v>
      </c>
      <c r="E622">
        <v>0</v>
      </c>
      <c r="F622">
        <v>0</v>
      </c>
      <c r="G622">
        <v>0</v>
      </c>
      <c r="H622">
        <f>SUMIFS($F$2:F622,$C$2:C622,C622)</f>
        <v>26601</v>
      </c>
      <c r="I622" s="8">
        <f>STAMP_Escapement_Data[[#This Row],[DATE]]-DATE(STAMP_Escapement_Data[[#This Row],[YEAR]],8,1)</f>
        <v>79</v>
      </c>
    </row>
    <row r="623" spans="1:9" x14ac:dyDescent="0.25">
      <c r="A623" s="1">
        <v>34992</v>
      </c>
      <c r="B623">
        <v>1020</v>
      </c>
      <c r="C623">
        <v>1995</v>
      </c>
      <c r="D623">
        <v>0</v>
      </c>
      <c r="E623">
        <v>0</v>
      </c>
      <c r="F623">
        <v>0</v>
      </c>
      <c r="G623">
        <v>0</v>
      </c>
      <c r="H623">
        <f>SUMIFS($F$2:F623,$C$2:C623,C623)</f>
        <v>26601</v>
      </c>
      <c r="I623" s="8">
        <f>STAMP_Escapement_Data[[#This Row],[DATE]]-DATE(STAMP_Escapement_Data[[#This Row],[YEAR]],8,1)</f>
        <v>80</v>
      </c>
    </row>
    <row r="624" spans="1:9" x14ac:dyDescent="0.25">
      <c r="A624" s="1">
        <v>34993</v>
      </c>
      <c r="B624">
        <v>1021</v>
      </c>
      <c r="C624">
        <v>1995</v>
      </c>
      <c r="D624">
        <v>0</v>
      </c>
      <c r="E624">
        <v>0</v>
      </c>
      <c r="F624">
        <v>0</v>
      </c>
      <c r="G624">
        <v>0</v>
      </c>
      <c r="H624">
        <f>SUMIFS($F$2:F624,$C$2:C624,C624)</f>
        <v>26601</v>
      </c>
      <c r="I624" s="8">
        <f>STAMP_Escapement_Data[[#This Row],[DATE]]-DATE(STAMP_Escapement_Data[[#This Row],[YEAR]],8,1)</f>
        <v>81</v>
      </c>
    </row>
    <row r="625" spans="1:9" x14ac:dyDescent="0.25">
      <c r="A625" s="1">
        <v>34994</v>
      </c>
      <c r="B625">
        <v>1022</v>
      </c>
      <c r="C625">
        <v>1995</v>
      </c>
      <c r="D625">
        <v>0</v>
      </c>
      <c r="E625">
        <v>0</v>
      </c>
      <c r="F625">
        <v>360</v>
      </c>
      <c r="G625">
        <v>0</v>
      </c>
      <c r="H625">
        <f>SUMIFS($F$2:F625,$C$2:C625,C625)</f>
        <v>26961</v>
      </c>
      <c r="I625" s="8">
        <f>STAMP_Escapement_Data[[#This Row],[DATE]]-DATE(STAMP_Escapement_Data[[#This Row],[YEAR]],8,1)</f>
        <v>82</v>
      </c>
    </row>
    <row r="626" spans="1:9" x14ac:dyDescent="0.25">
      <c r="A626" s="1">
        <v>34995</v>
      </c>
      <c r="B626">
        <v>1023</v>
      </c>
      <c r="C626">
        <v>1995</v>
      </c>
      <c r="D626">
        <v>5</v>
      </c>
      <c r="E626">
        <v>5</v>
      </c>
      <c r="F626">
        <v>42</v>
      </c>
      <c r="G626">
        <v>8</v>
      </c>
      <c r="H626">
        <f>SUMIFS($F$2:F626,$C$2:C626,C626)</f>
        <v>27003</v>
      </c>
      <c r="I626" s="8">
        <f>STAMP_Escapement_Data[[#This Row],[DATE]]-DATE(STAMP_Escapement_Data[[#This Row],[YEAR]],8,1)</f>
        <v>83</v>
      </c>
    </row>
    <row r="627" spans="1:9" x14ac:dyDescent="0.25">
      <c r="A627" s="1">
        <v>34996</v>
      </c>
      <c r="B627">
        <v>1024</v>
      </c>
      <c r="C627">
        <v>1995</v>
      </c>
      <c r="D627">
        <v>20</v>
      </c>
      <c r="E627">
        <v>7</v>
      </c>
      <c r="F627">
        <v>56</v>
      </c>
      <c r="G627">
        <v>4</v>
      </c>
      <c r="H627">
        <f>SUMIFS($F$2:F627,$C$2:C627,C627)</f>
        <v>27059</v>
      </c>
      <c r="I627" s="8">
        <f>STAMP_Escapement_Data[[#This Row],[DATE]]-DATE(STAMP_Escapement_Data[[#This Row],[YEAR]],8,1)</f>
        <v>84</v>
      </c>
    </row>
    <row r="628" spans="1:9" x14ac:dyDescent="0.25">
      <c r="A628" s="1">
        <v>34997</v>
      </c>
      <c r="B628">
        <v>1025</v>
      </c>
      <c r="C628">
        <v>1995</v>
      </c>
      <c r="D628">
        <v>11</v>
      </c>
      <c r="E628">
        <v>1</v>
      </c>
      <c r="F628">
        <v>46</v>
      </c>
      <c r="G628">
        <v>3</v>
      </c>
      <c r="H628">
        <f>SUMIFS($F$2:F628,$C$2:C628,C628)</f>
        <v>27105</v>
      </c>
      <c r="I628" s="8">
        <f>STAMP_Escapement_Data[[#This Row],[DATE]]-DATE(STAMP_Escapement_Data[[#This Row],[YEAR]],8,1)</f>
        <v>85</v>
      </c>
    </row>
    <row r="629" spans="1:9" x14ac:dyDescent="0.25">
      <c r="A629" s="1">
        <v>34998</v>
      </c>
      <c r="B629">
        <v>1026</v>
      </c>
      <c r="C629">
        <v>1995</v>
      </c>
      <c r="D629">
        <v>0</v>
      </c>
      <c r="E629">
        <v>2</v>
      </c>
      <c r="F629">
        <v>0</v>
      </c>
      <c r="G629">
        <v>0</v>
      </c>
      <c r="H629">
        <f>SUMIFS($F$2:F629,$C$2:C629,C629)</f>
        <v>27105</v>
      </c>
      <c r="I629" s="8">
        <f>STAMP_Escapement_Data[[#This Row],[DATE]]-DATE(STAMP_Escapement_Data[[#This Row],[YEAR]],8,1)</f>
        <v>86</v>
      </c>
    </row>
    <row r="630" spans="1:9" x14ac:dyDescent="0.25">
      <c r="A630" s="1">
        <v>34999</v>
      </c>
      <c r="B630">
        <v>1027</v>
      </c>
      <c r="C630">
        <v>1995</v>
      </c>
      <c r="D630">
        <v>0</v>
      </c>
      <c r="E630">
        <v>0</v>
      </c>
      <c r="F630">
        <v>0</v>
      </c>
      <c r="G630">
        <v>0</v>
      </c>
      <c r="H630">
        <f>SUMIFS($F$2:F630,$C$2:C630,C630)</f>
        <v>27105</v>
      </c>
      <c r="I630" s="8">
        <f>STAMP_Escapement_Data[[#This Row],[DATE]]-DATE(STAMP_Escapement_Data[[#This Row],[YEAR]],8,1)</f>
        <v>87</v>
      </c>
    </row>
    <row r="631" spans="1:9" x14ac:dyDescent="0.25">
      <c r="A631" s="1">
        <v>35000</v>
      </c>
      <c r="B631">
        <v>1028</v>
      </c>
      <c r="C631">
        <v>1995</v>
      </c>
      <c r="D631">
        <v>0</v>
      </c>
      <c r="E631">
        <v>0</v>
      </c>
      <c r="F631">
        <v>0</v>
      </c>
      <c r="G631">
        <v>0</v>
      </c>
      <c r="H631">
        <f>SUMIFS($F$2:F631,$C$2:C631,C631)</f>
        <v>27105</v>
      </c>
      <c r="I631" s="8">
        <f>STAMP_Escapement_Data[[#This Row],[DATE]]-DATE(STAMP_Escapement_Data[[#This Row],[YEAR]],8,1)</f>
        <v>88</v>
      </c>
    </row>
    <row r="632" spans="1:9" x14ac:dyDescent="0.25">
      <c r="A632" s="1">
        <v>35001</v>
      </c>
      <c r="B632">
        <v>1029</v>
      </c>
      <c r="C632">
        <v>1995</v>
      </c>
      <c r="D632">
        <v>0</v>
      </c>
      <c r="E632">
        <v>1</v>
      </c>
      <c r="F632">
        <v>2</v>
      </c>
      <c r="G632">
        <v>0</v>
      </c>
      <c r="H632">
        <f>SUMIFS($F$2:F632,$C$2:C632,C632)</f>
        <v>27107</v>
      </c>
      <c r="I632" s="8">
        <f>STAMP_Escapement_Data[[#This Row],[DATE]]-DATE(STAMP_Escapement_Data[[#This Row],[YEAR]],8,1)</f>
        <v>89</v>
      </c>
    </row>
    <row r="633" spans="1:9" x14ac:dyDescent="0.25">
      <c r="A633" s="1">
        <v>35002</v>
      </c>
      <c r="B633">
        <v>1030</v>
      </c>
      <c r="C633">
        <v>1995</v>
      </c>
      <c r="D633">
        <v>0</v>
      </c>
      <c r="E633">
        <v>0</v>
      </c>
      <c r="F633">
        <v>0</v>
      </c>
      <c r="G633">
        <v>1</v>
      </c>
      <c r="H633">
        <f>SUMIFS($F$2:F633,$C$2:C633,C633)</f>
        <v>27107</v>
      </c>
      <c r="I633" s="8">
        <f>STAMP_Escapement_Data[[#This Row],[DATE]]-DATE(STAMP_Escapement_Data[[#This Row],[YEAR]],8,1)</f>
        <v>90</v>
      </c>
    </row>
    <row r="634" spans="1:9" x14ac:dyDescent="0.25">
      <c r="A634" s="1">
        <v>35003</v>
      </c>
      <c r="B634">
        <v>1031</v>
      </c>
      <c r="C634">
        <v>1995</v>
      </c>
      <c r="F634">
        <v>5</v>
      </c>
      <c r="H634">
        <f>SUMIFS($F$2:F634,$C$2:C634,C634)</f>
        <v>27112</v>
      </c>
      <c r="I634" s="8">
        <f>STAMP_Escapement_Data[[#This Row],[DATE]]-DATE(STAMP_Escapement_Data[[#This Row],[YEAR]],8,1)</f>
        <v>91</v>
      </c>
    </row>
    <row r="635" spans="1:9" x14ac:dyDescent="0.25">
      <c r="A635" s="1">
        <v>35004</v>
      </c>
      <c r="B635">
        <v>1101</v>
      </c>
      <c r="C635">
        <v>1995</v>
      </c>
      <c r="F635">
        <v>10</v>
      </c>
      <c r="H635">
        <f>SUMIFS($F$2:F635,$C$2:C635,C635)</f>
        <v>27122</v>
      </c>
      <c r="I635" s="8">
        <f>STAMP_Escapement_Data[[#This Row],[DATE]]-DATE(STAMP_Escapement_Data[[#This Row],[YEAR]],8,1)</f>
        <v>92</v>
      </c>
    </row>
    <row r="636" spans="1:9" x14ac:dyDescent="0.25">
      <c r="A636" s="1">
        <v>35005</v>
      </c>
      <c r="B636">
        <v>1102</v>
      </c>
      <c r="C636">
        <v>1995</v>
      </c>
      <c r="F636">
        <v>10</v>
      </c>
      <c r="H636">
        <f>SUMIFS($F$2:F636,$C$2:C636,C636)</f>
        <v>27132</v>
      </c>
      <c r="I636" s="8">
        <f>STAMP_Escapement_Data[[#This Row],[DATE]]-DATE(STAMP_Escapement_Data[[#This Row],[YEAR]],8,1)</f>
        <v>93</v>
      </c>
    </row>
    <row r="637" spans="1:9" x14ac:dyDescent="0.25">
      <c r="A637" s="1">
        <v>35006</v>
      </c>
      <c r="B637">
        <v>1103</v>
      </c>
      <c r="C637">
        <v>1995</v>
      </c>
      <c r="F637">
        <v>10</v>
      </c>
      <c r="H637">
        <f>SUMIFS($F$2:F637,$C$2:C637,C637)</f>
        <v>27142</v>
      </c>
      <c r="I637" s="8">
        <f>STAMP_Escapement_Data[[#This Row],[DATE]]-DATE(STAMP_Escapement_Data[[#This Row],[YEAR]],8,1)</f>
        <v>94</v>
      </c>
    </row>
    <row r="638" spans="1:9" x14ac:dyDescent="0.25">
      <c r="A638" s="1">
        <v>35007</v>
      </c>
      <c r="B638">
        <v>1104</v>
      </c>
      <c r="C638">
        <v>1995</v>
      </c>
      <c r="F638">
        <v>10</v>
      </c>
      <c r="H638">
        <f>SUMIFS($F$2:F638,$C$2:C638,C638)</f>
        <v>27152</v>
      </c>
      <c r="I638" s="8">
        <f>STAMP_Escapement_Data[[#This Row],[DATE]]-DATE(STAMP_Escapement_Data[[#This Row],[YEAR]],8,1)</f>
        <v>95</v>
      </c>
    </row>
    <row r="639" spans="1:9" x14ac:dyDescent="0.25">
      <c r="A639" s="1">
        <v>35008</v>
      </c>
      <c r="B639">
        <v>1105</v>
      </c>
      <c r="C639">
        <v>1995</v>
      </c>
      <c r="F639">
        <v>10</v>
      </c>
      <c r="H639">
        <f>SUMIFS($F$2:F639,$C$2:C639,C639)</f>
        <v>27162</v>
      </c>
      <c r="I639" s="8">
        <f>STAMP_Escapement_Data[[#This Row],[DATE]]-DATE(STAMP_Escapement_Data[[#This Row],[YEAR]],8,1)</f>
        <v>96</v>
      </c>
    </row>
    <row r="640" spans="1:9" x14ac:dyDescent="0.25">
      <c r="A640" s="1">
        <v>35313</v>
      </c>
      <c r="B640">
        <v>905</v>
      </c>
      <c r="C640">
        <v>1996</v>
      </c>
      <c r="D640">
        <v>245</v>
      </c>
      <c r="E640">
        <v>33</v>
      </c>
      <c r="F640">
        <v>78</v>
      </c>
      <c r="G640">
        <v>8</v>
      </c>
      <c r="H640">
        <f>SUMIFS($F$2:F640,$C$2:C640,C640)</f>
        <v>78</v>
      </c>
      <c r="I640" s="8">
        <f>STAMP_Escapement_Data[[#This Row],[DATE]]-DATE(STAMP_Escapement_Data[[#This Row],[YEAR]],8,1)</f>
        <v>35</v>
      </c>
    </row>
    <row r="641" spans="1:9" x14ac:dyDescent="0.25">
      <c r="A641" s="1">
        <v>35314</v>
      </c>
      <c r="B641">
        <v>906</v>
      </c>
      <c r="C641">
        <v>1996</v>
      </c>
      <c r="D641">
        <v>834</v>
      </c>
      <c r="E641">
        <v>26</v>
      </c>
      <c r="F641">
        <v>208</v>
      </c>
      <c r="G641">
        <v>25</v>
      </c>
      <c r="H641">
        <f>SUMIFS($F$2:F641,$C$2:C641,C641)</f>
        <v>286</v>
      </c>
      <c r="I641" s="8">
        <f>STAMP_Escapement_Data[[#This Row],[DATE]]-DATE(STAMP_Escapement_Data[[#This Row],[YEAR]],8,1)</f>
        <v>36</v>
      </c>
    </row>
    <row r="642" spans="1:9" x14ac:dyDescent="0.25">
      <c r="A642" s="1">
        <v>35315</v>
      </c>
      <c r="B642">
        <v>907</v>
      </c>
      <c r="C642">
        <v>1996</v>
      </c>
      <c r="D642">
        <v>874</v>
      </c>
      <c r="E642">
        <v>59</v>
      </c>
      <c r="F642">
        <v>2126</v>
      </c>
      <c r="G642">
        <v>26</v>
      </c>
      <c r="H642">
        <f>SUMIFS($F$2:F642,$C$2:C642,C642)</f>
        <v>2412</v>
      </c>
      <c r="I642" s="8">
        <f>STAMP_Escapement_Data[[#This Row],[DATE]]-DATE(STAMP_Escapement_Data[[#This Row],[YEAR]],8,1)</f>
        <v>37</v>
      </c>
    </row>
    <row r="643" spans="1:9" x14ac:dyDescent="0.25">
      <c r="A643" s="1">
        <v>35316</v>
      </c>
      <c r="B643">
        <v>908</v>
      </c>
      <c r="C643">
        <v>1996</v>
      </c>
      <c r="D643">
        <v>694</v>
      </c>
      <c r="E643">
        <v>39</v>
      </c>
      <c r="F643">
        <v>195</v>
      </c>
      <c r="G643">
        <v>9</v>
      </c>
      <c r="H643">
        <f>SUMIFS($F$2:F643,$C$2:C643,C643)</f>
        <v>2607</v>
      </c>
      <c r="I643" s="8">
        <f>STAMP_Escapement_Data[[#This Row],[DATE]]-DATE(STAMP_Escapement_Data[[#This Row],[YEAR]],8,1)</f>
        <v>38</v>
      </c>
    </row>
    <row r="644" spans="1:9" x14ac:dyDescent="0.25">
      <c r="A644" s="1">
        <v>35317</v>
      </c>
      <c r="B644">
        <v>909</v>
      </c>
      <c r="C644">
        <v>1996</v>
      </c>
      <c r="D644">
        <v>819</v>
      </c>
      <c r="E644">
        <v>51</v>
      </c>
      <c r="F644">
        <v>143</v>
      </c>
      <c r="G644">
        <v>17</v>
      </c>
      <c r="H644">
        <f>SUMIFS($F$2:F644,$C$2:C644,C644)</f>
        <v>2750</v>
      </c>
      <c r="I644" s="8">
        <f>STAMP_Escapement_Data[[#This Row],[DATE]]-DATE(STAMP_Escapement_Data[[#This Row],[YEAR]],8,1)</f>
        <v>39</v>
      </c>
    </row>
    <row r="645" spans="1:9" x14ac:dyDescent="0.25">
      <c r="A645" s="1">
        <v>35318</v>
      </c>
      <c r="B645">
        <v>910</v>
      </c>
      <c r="C645">
        <v>1996</v>
      </c>
      <c r="D645">
        <v>860</v>
      </c>
      <c r="E645">
        <v>61</v>
      </c>
      <c r="F645">
        <v>134</v>
      </c>
      <c r="G645">
        <v>10</v>
      </c>
      <c r="H645">
        <f>SUMIFS($F$2:F645,$C$2:C645,C645)</f>
        <v>2884</v>
      </c>
      <c r="I645" s="8">
        <f>STAMP_Escapement_Data[[#This Row],[DATE]]-DATE(STAMP_Escapement_Data[[#This Row],[YEAR]],8,1)</f>
        <v>40</v>
      </c>
    </row>
    <row r="646" spans="1:9" x14ac:dyDescent="0.25">
      <c r="A646" s="1">
        <v>35319</v>
      </c>
      <c r="B646">
        <v>911</v>
      </c>
      <c r="C646">
        <v>1996</v>
      </c>
      <c r="D646">
        <v>583</v>
      </c>
      <c r="E646">
        <v>57</v>
      </c>
      <c r="F646">
        <v>137</v>
      </c>
      <c r="G646">
        <v>23</v>
      </c>
      <c r="H646">
        <f>SUMIFS($F$2:F646,$C$2:C646,C646)</f>
        <v>3021</v>
      </c>
      <c r="I646" s="8">
        <f>STAMP_Escapement_Data[[#This Row],[DATE]]-DATE(STAMP_Escapement_Data[[#This Row],[YEAR]],8,1)</f>
        <v>41</v>
      </c>
    </row>
    <row r="647" spans="1:9" x14ac:dyDescent="0.25">
      <c r="A647" s="1">
        <v>35320</v>
      </c>
      <c r="B647">
        <v>912</v>
      </c>
      <c r="C647">
        <v>1996</v>
      </c>
      <c r="D647">
        <v>439</v>
      </c>
      <c r="E647">
        <v>56</v>
      </c>
      <c r="F647">
        <v>196</v>
      </c>
      <c r="G647">
        <v>24</v>
      </c>
      <c r="H647">
        <f>SUMIFS($F$2:F647,$C$2:C647,C647)</f>
        <v>3217</v>
      </c>
      <c r="I647" s="8">
        <f>STAMP_Escapement_Data[[#This Row],[DATE]]-DATE(STAMP_Escapement_Data[[#This Row],[YEAR]],8,1)</f>
        <v>42</v>
      </c>
    </row>
    <row r="648" spans="1:9" x14ac:dyDescent="0.25">
      <c r="A648" s="1">
        <v>35321</v>
      </c>
      <c r="B648">
        <v>913</v>
      </c>
      <c r="C648">
        <v>1996</v>
      </c>
      <c r="D648">
        <v>384</v>
      </c>
      <c r="E648">
        <v>23</v>
      </c>
      <c r="F648">
        <v>70</v>
      </c>
      <c r="G648">
        <v>14</v>
      </c>
      <c r="H648">
        <f>SUMIFS($F$2:F648,$C$2:C648,C648)</f>
        <v>3287</v>
      </c>
      <c r="I648" s="8">
        <f>STAMP_Escapement_Data[[#This Row],[DATE]]-DATE(STAMP_Escapement_Data[[#This Row],[YEAR]],8,1)</f>
        <v>43</v>
      </c>
    </row>
    <row r="649" spans="1:9" x14ac:dyDescent="0.25">
      <c r="A649" s="1">
        <v>35322</v>
      </c>
      <c r="B649">
        <v>914</v>
      </c>
      <c r="C649">
        <v>1996</v>
      </c>
      <c r="D649">
        <v>699</v>
      </c>
      <c r="E649">
        <v>73</v>
      </c>
      <c r="F649">
        <v>1203</v>
      </c>
      <c r="G649">
        <v>160</v>
      </c>
      <c r="H649">
        <f>SUMIFS($F$2:F649,$C$2:C649,C649)</f>
        <v>4490</v>
      </c>
      <c r="I649" s="8">
        <f>STAMP_Escapement_Data[[#This Row],[DATE]]-DATE(STAMP_Escapement_Data[[#This Row],[YEAR]],8,1)</f>
        <v>44</v>
      </c>
    </row>
    <row r="650" spans="1:9" x14ac:dyDescent="0.25">
      <c r="A650" s="1">
        <v>35323</v>
      </c>
      <c r="B650">
        <v>915</v>
      </c>
      <c r="C650">
        <v>1996</v>
      </c>
      <c r="D650">
        <v>491</v>
      </c>
      <c r="E650">
        <v>49</v>
      </c>
      <c r="F650">
        <v>2472</v>
      </c>
      <c r="G650">
        <v>75</v>
      </c>
      <c r="H650">
        <f>SUMIFS($F$2:F650,$C$2:C650,C650)</f>
        <v>6962</v>
      </c>
      <c r="I650" s="8">
        <f>STAMP_Escapement_Data[[#This Row],[DATE]]-DATE(STAMP_Escapement_Data[[#This Row],[YEAR]],8,1)</f>
        <v>45</v>
      </c>
    </row>
    <row r="651" spans="1:9" x14ac:dyDescent="0.25">
      <c r="A651" s="1">
        <v>35324</v>
      </c>
      <c r="B651">
        <v>916</v>
      </c>
      <c r="C651">
        <v>1996</v>
      </c>
      <c r="D651">
        <v>359</v>
      </c>
      <c r="E651">
        <v>35</v>
      </c>
      <c r="F651">
        <v>1500</v>
      </c>
      <c r="G651">
        <v>45</v>
      </c>
      <c r="H651">
        <f>SUMIFS($F$2:F651,$C$2:C651,C651)</f>
        <v>8462</v>
      </c>
      <c r="I651" s="8">
        <f>STAMP_Escapement_Data[[#This Row],[DATE]]-DATE(STAMP_Escapement_Data[[#This Row],[YEAR]],8,1)</f>
        <v>46</v>
      </c>
    </row>
    <row r="652" spans="1:9" x14ac:dyDescent="0.25">
      <c r="A652" s="1">
        <v>35325</v>
      </c>
      <c r="B652">
        <v>917</v>
      </c>
      <c r="C652">
        <v>1996</v>
      </c>
      <c r="D652">
        <v>110</v>
      </c>
      <c r="E652">
        <v>0</v>
      </c>
      <c r="F652">
        <v>47</v>
      </c>
      <c r="G652">
        <v>0</v>
      </c>
      <c r="H652">
        <f>SUMIFS($F$2:F652,$C$2:C652,C652)</f>
        <v>8509</v>
      </c>
      <c r="I652" s="8">
        <f>STAMP_Escapement_Data[[#This Row],[DATE]]-DATE(STAMP_Escapement_Data[[#This Row],[YEAR]],8,1)</f>
        <v>47</v>
      </c>
    </row>
    <row r="653" spans="1:9" x14ac:dyDescent="0.25">
      <c r="A653" s="1">
        <v>35326</v>
      </c>
      <c r="B653">
        <v>918</v>
      </c>
      <c r="C653">
        <v>1996</v>
      </c>
      <c r="D653">
        <v>246</v>
      </c>
      <c r="E653">
        <v>40</v>
      </c>
      <c r="F653">
        <v>237</v>
      </c>
      <c r="G653">
        <v>16</v>
      </c>
      <c r="H653">
        <f>SUMIFS($F$2:F653,$C$2:C653,C653)</f>
        <v>8746</v>
      </c>
      <c r="I653" s="8">
        <f>STAMP_Escapement_Data[[#This Row],[DATE]]-DATE(STAMP_Escapement_Data[[#This Row],[YEAR]],8,1)</f>
        <v>48</v>
      </c>
    </row>
    <row r="654" spans="1:9" x14ac:dyDescent="0.25">
      <c r="A654" s="1">
        <v>35327</v>
      </c>
      <c r="B654">
        <v>919</v>
      </c>
      <c r="C654">
        <v>1996</v>
      </c>
      <c r="D654">
        <v>685</v>
      </c>
      <c r="E654">
        <v>73</v>
      </c>
      <c r="F654">
        <v>712</v>
      </c>
      <c r="G654">
        <v>72</v>
      </c>
      <c r="H654">
        <f>SUMIFS($F$2:F654,$C$2:C654,C654)</f>
        <v>9458</v>
      </c>
      <c r="I654" s="8">
        <f>STAMP_Escapement_Data[[#This Row],[DATE]]-DATE(STAMP_Escapement_Data[[#This Row],[YEAR]],8,1)</f>
        <v>49</v>
      </c>
    </row>
    <row r="655" spans="1:9" x14ac:dyDescent="0.25">
      <c r="A655" s="1">
        <v>35328</v>
      </c>
      <c r="B655">
        <v>920</v>
      </c>
      <c r="C655">
        <v>1996</v>
      </c>
      <c r="D655">
        <v>690</v>
      </c>
      <c r="E655">
        <v>69</v>
      </c>
      <c r="F655">
        <v>765</v>
      </c>
      <c r="G655">
        <v>82</v>
      </c>
      <c r="H655">
        <f>SUMIFS($F$2:F655,$C$2:C655,C655)</f>
        <v>10223</v>
      </c>
      <c r="I655" s="8">
        <f>STAMP_Escapement_Data[[#This Row],[DATE]]-DATE(STAMP_Escapement_Data[[#This Row],[YEAR]],8,1)</f>
        <v>50</v>
      </c>
    </row>
    <row r="656" spans="1:9" x14ac:dyDescent="0.25">
      <c r="A656" s="1">
        <v>35329</v>
      </c>
      <c r="B656">
        <v>921</v>
      </c>
      <c r="C656">
        <v>1996</v>
      </c>
      <c r="D656">
        <v>769</v>
      </c>
      <c r="E656">
        <v>49</v>
      </c>
      <c r="F656">
        <v>760</v>
      </c>
      <c r="G656">
        <v>111</v>
      </c>
      <c r="H656">
        <f>SUMIFS($F$2:F656,$C$2:C656,C656)</f>
        <v>10983</v>
      </c>
      <c r="I656" s="8">
        <f>STAMP_Escapement_Data[[#This Row],[DATE]]-DATE(STAMP_Escapement_Data[[#This Row],[YEAR]],8,1)</f>
        <v>51</v>
      </c>
    </row>
    <row r="657" spans="1:9" x14ac:dyDescent="0.25">
      <c r="A657" s="1">
        <v>35330</v>
      </c>
      <c r="B657">
        <v>922</v>
      </c>
      <c r="C657">
        <v>1996</v>
      </c>
      <c r="D657">
        <v>706</v>
      </c>
      <c r="E657">
        <v>174</v>
      </c>
      <c r="F657">
        <v>460</v>
      </c>
      <c r="G657">
        <v>107</v>
      </c>
      <c r="H657">
        <f>SUMIFS($F$2:F657,$C$2:C657,C657)</f>
        <v>11443</v>
      </c>
      <c r="I657" s="8">
        <f>STAMP_Escapement_Data[[#This Row],[DATE]]-DATE(STAMP_Escapement_Data[[#This Row],[YEAR]],8,1)</f>
        <v>52</v>
      </c>
    </row>
    <row r="658" spans="1:9" x14ac:dyDescent="0.25">
      <c r="A658" s="1">
        <v>35331</v>
      </c>
      <c r="B658">
        <v>923</v>
      </c>
      <c r="C658">
        <v>1996</v>
      </c>
      <c r="D658">
        <v>470</v>
      </c>
      <c r="E658">
        <v>152</v>
      </c>
      <c r="F658">
        <v>388</v>
      </c>
      <c r="G658">
        <v>28</v>
      </c>
      <c r="H658">
        <f>SUMIFS($F$2:F658,$C$2:C658,C658)</f>
        <v>11831</v>
      </c>
      <c r="I658" s="8">
        <f>STAMP_Escapement_Data[[#This Row],[DATE]]-DATE(STAMP_Escapement_Data[[#This Row],[YEAR]],8,1)</f>
        <v>53</v>
      </c>
    </row>
    <row r="659" spans="1:9" x14ac:dyDescent="0.25">
      <c r="A659" s="1">
        <v>35332</v>
      </c>
      <c r="B659">
        <v>924</v>
      </c>
      <c r="C659">
        <v>1996</v>
      </c>
      <c r="D659">
        <v>472</v>
      </c>
      <c r="E659">
        <v>117</v>
      </c>
      <c r="F659">
        <v>184</v>
      </c>
      <c r="G659">
        <v>22</v>
      </c>
      <c r="H659">
        <f>SUMIFS($F$2:F659,$C$2:C659,C659)</f>
        <v>12015</v>
      </c>
      <c r="I659" s="8">
        <f>STAMP_Escapement_Data[[#This Row],[DATE]]-DATE(STAMP_Escapement_Data[[#This Row],[YEAR]],8,1)</f>
        <v>54</v>
      </c>
    </row>
    <row r="660" spans="1:9" x14ac:dyDescent="0.25">
      <c r="A660" s="1">
        <v>35333</v>
      </c>
      <c r="B660">
        <v>925</v>
      </c>
      <c r="C660">
        <v>1996</v>
      </c>
      <c r="D660">
        <v>550</v>
      </c>
      <c r="E660">
        <v>157</v>
      </c>
      <c r="F660">
        <v>250</v>
      </c>
      <c r="G660">
        <v>21</v>
      </c>
      <c r="H660">
        <f>SUMIFS($F$2:F660,$C$2:C660,C660)</f>
        <v>12265</v>
      </c>
      <c r="I660" s="8">
        <f>STAMP_Escapement_Data[[#This Row],[DATE]]-DATE(STAMP_Escapement_Data[[#This Row],[YEAR]],8,1)</f>
        <v>55</v>
      </c>
    </row>
    <row r="661" spans="1:9" x14ac:dyDescent="0.25">
      <c r="A661" s="1">
        <v>35334</v>
      </c>
      <c r="B661">
        <v>926</v>
      </c>
      <c r="C661">
        <v>1996</v>
      </c>
      <c r="D661">
        <v>391</v>
      </c>
      <c r="E661">
        <v>286</v>
      </c>
      <c r="F661">
        <v>315</v>
      </c>
      <c r="G661">
        <v>45</v>
      </c>
      <c r="H661">
        <f>SUMIFS($F$2:F661,$C$2:C661,C661)</f>
        <v>12580</v>
      </c>
      <c r="I661" s="8">
        <f>STAMP_Escapement_Data[[#This Row],[DATE]]-DATE(STAMP_Escapement_Data[[#This Row],[YEAR]],8,1)</f>
        <v>56</v>
      </c>
    </row>
    <row r="662" spans="1:9" x14ac:dyDescent="0.25">
      <c r="A662" s="1">
        <v>35335</v>
      </c>
      <c r="B662">
        <v>927</v>
      </c>
      <c r="C662">
        <v>1996</v>
      </c>
      <c r="D662">
        <v>319</v>
      </c>
      <c r="E662">
        <v>419</v>
      </c>
      <c r="F662">
        <v>482</v>
      </c>
      <c r="G662">
        <v>109</v>
      </c>
      <c r="H662">
        <f>SUMIFS($F$2:F662,$C$2:C662,C662)</f>
        <v>13062</v>
      </c>
      <c r="I662" s="8">
        <f>STAMP_Escapement_Data[[#This Row],[DATE]]-DATE(STAMP_Escapement_Data[[#This Row],[YEAR]],8,1)</f>
        <v>57</v>
      </c>
    </row>
    <row r="663" spans="1:9" x14ac:dyDescent="0.25">
      <c r="A663" s="1">
        <v>35336</v>
      </c>
      <c r="B663">
        <v>928</v>
      </c>
      <c r="C663">
        <v>1996</v>
      </c>
      <c r="D663">
        <v>220</v>
      </c>
      <c r="E663">
        <v>295</v>
      </c>
      <c r="F663">
        <v>751</v>
      </c>
      <c r="G663">
        <v>85</v>
      </c>
      <c r="H663">
        <f>SUMIFS($F$2:F663,$C$2:C663,C663)</f>
        <v>13813</v>
      </c>
      <c r="I663" s="8">
        <f>STAMP_Escapement_Data[[#This Row],[DATE]]-DATE(STAMP_Escapement_Data[[#This Row],[YEAR]],8,1)</f>
        <v>58</v>
      </c>
    </row>
    <row r="664" spans="1:9" x14ac:dyDescent="0.25">
      <c r="A664" s="1">
        <v>35337</v>
      </c>
      <c r="B664">
        <v>929</v>
      </c>
      <c r="C664">
        <v>1996</v>
      </c>
      <c r="D664">
        <v>173</v>
      </c>
      <c r="E664">
        <v>237</v>
      </c>
      <c r="F664">
        <v>568</v>
      </c>
      <c r="G664">
        <v>68</v>
      </c>
      <c r="H664">
        <f>SUMIFS($F$2:F664,$C$2:C664,C664)</f>
        <v>14381</v>
      </c>
      <c r="I664" s="8">
        <f>STAMP_Escapement_Data[[#This Row],[DATE]]-DATE(STAMP_Escapement_Data[[#This Row],[YEAR]],8,1)</f>
        <v>59</v>
      </c>
    </row>
    <row r="665" spans="1:9" x14ac:dyDescent="0.25">
      <c r="A665" s="1">
        <v>35338</v>
      </c>
      <c r="B665">
        <v>930</v>
      </c>
      <c r="C665">
        <v>1996</v>
      </c>
      <c r="D665">
        <v>131</v>
      </c>
      <c r="E665">
        <v>139</v>
      </c>
      <c r="F665">
        <v>459</v>
      </c>
      <c r="G665">
        <v>54</v>
      </c>
      <c r="H665">
        <f>SUMIFS($F$2:F665,$C$2:C665,C665)</f>
        <v>14840</v>
      </c>
      <c r="I665" s="8">
        <f>STAMP_Escapement_Data[[#This Row],[DATE]]-DATE(STAMP_Escapement_Data[[#This Row],[YEAR]],8,1)</f>
        <v>60</v>
      </c>
    </row>
    <row r="666" spans="1:9" x14ac:dyDescent="0.25">
      <c r="A666" s="1">
        <v>35339</v>
      </c>
      <c r="B666">
        <v>1001</v>
      </c>
      <c r="C666">
        <v>1996</v>
      </c>
      <c r="D666">
        <v>88</v>
      </c>
      <c r="E666">
        <v>87</v>
      </c>
      <c r="F666">
        <v>448</v>
      </c>
      <c r="G666">
        <v>16</v>
      </c>
      <c r="H666">
        <f>SUMIFS($F$2:F666,$C$2:C666,C666)</f>
        <v>15288</v>
      </c>
      <c r="I666" s="8">
        <f>STAMP_Escapement_Data[[#This Row],[DATE]]-DATE(STAMP_Escapement_Data[[#This Row],[YEAR]],8,1)</f>
        <v>61</v>
      </c>
    </row>
    <row r="667" spans="1:9" x14ac:dyDescent="0.25">
      <c r="A667" s="1">
        <v>35340</v>
      </c>
      <c r="B667">
        <v>1002</v>
      </c>
      <c r="C667">
        <v>1996</v>
      </c>
      <c r="D667">
        <v>71</v>
      </c>
      <c r="E667">
        <v>75</v>
      </c>
      <c r="F667">
        <v>345</v>
      </c>
      <c r="G667">
        <v>17</v>
      </c>
      <c r="H667">
        <f>SUMIFS($F$2:F667,$C$2:C667,C667)</f>
        <v>15633</v>
      </c>
      <c r="I667" s="8">
        <f>STAMP_Escapement_Data[[#This Row],[DATE]]-DATE(STAMP_Escapement_Data[[#This Row],[YEAR]],8,1)</f>
        <v>62</v>
      </c>
    </row>
    <row r="668" spans="1:9" x14ac:dyDescent="0.25">
      <c r="A668" s="1">
        <v>35341</v>
      </c>
      <c r="B668">
        <v>1003</v>
      </c>
      <c r="C668">
        <v>1996</v>
      </c>
      <c r="D668">
        <v>62</v>
      </c>
      <c r="E668">
        <v>56</v>
      </c>
      <c r="F668">
        <v>88</v>
      </c>
      <c r="G668">
        <v>4</v>
      </c>
      <c r="H668">
        <f>SUMIFS($F$2:F668,$C$2:C668,C668)</f>
        <v>15721</v>
      </c>
      <c r="I668" s="8">
        <f>STAMP_Escapement_Data[[#This Row],[DATE]]-DATE(STAMP_Escapement_Data[[#This Row],[YEAR]],8,1)</f>
        <v>63</v>
      </c>
    </row>
    <row r="669" spans="1:9" x14ac:dyDescent="0.25">
      <c r="A669" s="1">
        <v>35342</v>
      </c>
      <c r="B669">
        <v>1004</v>
      </c>
      <c r="C669">
        <v>1996</v>
      </c>
      <c r="D669">
        <v>113</v>
      </c>
      <c r="E669">
        <v>29</v>
      </c>
      <c r="F669">
        <v>871</v>
      </c>
      <c r="G669">
        <v>17</v>
      </c>
      <c r="H669">
        <f>SUMIFS($F$2:F669,$C$2:C669,C669)</f>
        <v>16592</v>
      </c>
      <c r="I669" s="8">
        <f>STAMP_Escapement_Data[[#This Row],[DATE]]-DATE(STAMP_Escapement_Data[[#This Row],[YEAR]],8,1)</f>
        <v>64</v>
      </c>
    </row>
    <row r="670" spans="1:9" x14ac:dyDescent="0.25">
      <c r="A670" s="1">
        <v>35343</v>
      </c>
      <c r="B670">
        <v>1005</v>
      </c>
      <c r="C670">
        <v>1996</v>
      </c>
      <c r="D670">
        <v>136</v>
      </c>
      <c r="E670">
        <v>113</v>
      </c>
      <c r="F670">
        <v>2015</v>
      </c>
      <c r="G670">
        <v>61</v>
      </c>
      <c r="H670">
        <f>SUMIFS($F$2:F670,$C$2:C670,C670)</f>
        <v>18607</v>
      </c>
      <c r="I670" s="8">
        <f>STAMP_Escapement_Data[[#This Row],[DATE]]-DATE(STAMP_Escapement_Data[[#This Row],[YEAR]],8,1)</f>
        <v>65</v>
      </c>
    </row>
    <row r="671" spans="1:9" x14ac:dyDescent="0.25">
      <c r="A671" s="1">
        <v>35344</v>
      </c>
      <c r="B671">
        <v>1006</v>
      </c>
      <c r="C671">
        <v>1996</v>
      </c>
      <c r="D671">
        <v>59</v>
      </c>
      <c r="E671">
        <v>65</v>
      </c>
      <c r="F671">
        <v>1803</v>
      </c>
      <c r="G671">
        <v>67</v>
      </c>
      <c r="H671">
        <f>SUMIFS($F$2:F671,$C$2:C671,C671)</f>
        <v>20410</v>
      </c>
      <c r="I671" s="8">
        <f>STAMP_Escapement_Data[[#This Row],[DATE]]-DATE(STAMP_Escapement_Data[[#This Row],[YEAR]],8,1)</f>
        <v>66</v>
      </c>
    </row>
    <row r="672" spans="1:9" x14ac:dyDescent="0.25">
      <c r="A672" s="1">
        <v>35345</v>
      </c>
      <c r="B672">
        <v>1007</v>
      </c>
      <c r="C672">
        <v>1996</v>
      </c>
      <c r="D672">
        <v>56</v>
      </c>
      <c r="E672">
        <v>68</v>
      </c>
      <c r="F672">
        <v>1278</v>
      </c>
      <c r="G672">
        <v>63</v>
      </c>
      <c r="H672">
        <f>SUMIFS($F$2:F672,$C$2:C672,C672)</f>
        <v>21688</v>
      </c>
      <c r="I672" s="8">
        <f>STAMP_Escapement_Data[[#This Row],[DATE]]-DATE(STAMP_Escapement_Data[[#This Row],[YEAR]],8,1)</f>
        <v>67</v>
      </c>
    </row>
    <row r="673" spans="1:9" x14ac:dyDescent="0.25">
      <c r="A673" s="1">
        <v>35346</v>
      </c>
      <c r="B673">
        <v>1008</v>
      </c>
      <c r="C673">
        <v>1996</v>
      </c>
      <c r="D673">
        <v>65</v>
      </c>
      <c r="E673">
        <v>51</v>
      </c>
      <c r="F673">
        <v>740</v>
      </c>
      <c r="G673">
        <v>35</v>
      </c>
      <c r="H673">
        <f>SUMIFS($F$2:F673,$C$2:C673,C673)</f>
        <v>22428</v>
      </c>
      <c r="I673" s="8">
        <f>STAMP_Escapement_Data[[#This Row],[DATE]]-DATE(STAMP_Escapement_Data[[#This Row],[YEAR]],8,1)</f>
        <v>68</v>
      </c>
    </row>
    <row r="674" spans="1:9" x14ac:dyDescent="0.25">
      <c r="A674" s="1">
        <v>35347</v>
      </c>
      <c r="B674">
        <v>1009</v>
      </c>
      <c r="C674">
        <v>1996</v>
      </c>
      <c r="D674">
        <v>65</v>
      </c>
      <c r="E674">
        <v>104</v>
      </c>
      <c r="F674">
        <v>431</v>
      </c>
      <c r="G674">
        <v>33</v>
      </c>
      <c r="H674">
        <f>SUMIFS($F$2:F674,$C$2:C674,C674)</f>
        <v>22859</v>
      </c>
      <c r="I674" s="8">
        <f>STAMP_Escapement_Data[[#This Row],[DATE]]-DATE(STAMP_Escapement_Data[[#This Row],[YEAR]],8,1)</f>
        <v>69</v>
      </c>
    </row>
    <row r="675" spans="1:9" x14ac:dyDescent="0.25">
      <c r="A675" s="1">
        <v>35348</v>
      </c>
      <c r="B675">
        <v>1010</v>
      </c>
      <c r="C675">
        <v>1996</v>
      </c>
      <c r="D675">
        <v>86</v>
      </c>
      <c r="E675">
        <v>107</v>
      </c>
      <c r="F675">
        <v>649</v>
      </c>
      <c r="G675">
        <v>45</v>
      </c>
      <c r="H675">
        <f>SUMIFS($F$2:F675,$C$2:C675,C675)</f>
        <v>23508</v>
      </c>
      <c r="I675" s="8">
        <f>STAMP_Escapement_Data[[#This Row],[DATE]]-DATE(STAMP_Escapement_Data[[#This Row],[YEAR]],8,1)</f>
        <v>70</v>
      </c>
    </row>
    <row r="676" spans="1:9" x14ac:dyDescent="0.25">
      <c r="A676" s="1">
        <v>35349</v>
      </c>
      <c r="B676">
        <v>1011</v>
      </c>
      <c r="C676">
        <v>1996</v>
      </c>
      <c r="D676">
        <v>80</v>
      </c>
      <c r="E676">
        <v>101</v>
      </c>
      <c r="F676">
        <v>408</v>
      </c>
      <c r="G676">
        <v>16</v>
      </c>
      <c r="H676">
        <f>SUMIFS($F$2:F676,$C$2:C676,C676)</f>
        <v>23916</v>
      </c>
      <c r="I676" s="8">
        <f>STAMP_Escapement_Data[[#This Row],[DATE]]-DATE(STAMP_Escapement_Data[[#This Row],[YEAR]],8,1)</f>
        <v>71</v>
      </c>
    </row>
    <row r="677" spans="1:9" x14ac:dyDescent="0.25">
      <c r="A677" s="1">
        <v>35350</v>
      </c>
      <c r="B677">
        <v>1012</v>
      </c>
      <c r="C677">
        <v>1996</v>
      </c>
      <c r="D677">
        <v>30</v>
      </c>
      <c r="E677">
        <v>47</v>
      </c>
      <c r="F677">
        <v>324</v>
      </c>
      <c r="G677">
        <v>13</v>
      </c>
      <c r="H677">
        <f>SUMIFS($F$2:F677,$C$2:C677,C677)</f>
        <v>24240</v>
      </c>
      <c r="I677" s="8">
        <f>STAMP_Escapement_Data[[#This Row],[DATE]]-DATE(STAMP_Escapement_Data[[#This Row],[YEAR]],8,1)</f>
        <v>72</v>
      </c>
    </row>
    <row r="678" spans="1:9" x14ac:dyDescent="0.25">
      <c r="A678" s="1">
        <v>35351</v>
      </c>
      <c r="B678">
        <v>1013</v>
      </c>
      <c r="C678">
        <v>1996</v>
      </c>
      <c r="D678">
        <v>82</v>
      </c>
      <c r="E678">
        <v>30</v>
      </c>
      <c r="F678">
        <v>729</v>
      </c>
      <c r="G678">
        <v>34</v>
      </c>
      <c r="H678">
        <f>SUMIFS($F$2:F678,$C$2:C678,C678)</f>
        <v>24969</v>
      </c>
      <c r="I678" s="8">
        <f>STAMP_Escapement_Data[[#This Row],[DATE]]-DATE(STAMP_Escapement_Data[[#This Row],[YEAR]],8,1)</f>
        <v>73</v>
      </c>
    </row>
    <row r="679" spans="1:9" x14ac:dyDescent="0.25">
      <c r="A679" s="1">
        <v>35352</v>
      </c>
      <c r="B679">
        <v>1014</v>
      </c>
      <c r="C679">
        <v>1996</v>
      </c>
      <c r="D679">
        <v>109</v>
      </c>
      <c r="E679">
        <v>59</v>
      </c>
      <c r="F679">
        <v>698</v>
      </c>
      <c r="G679">
        <v>39</v>
      </c>
      <c r="H679">
        <f>SUMIFS($F$2:F679,$C$2:C679,C679)</f>
        <v>25667</v>
      </c>
      <c r="I679" s="8">
        <f>STAMP_Escapement_Data[[#This Row],[DATE]]-DATE(STAMP_Escapement_Data[[#This Row],[YEAR]],8,1)</f>
        <v>74</v>
      </c>
    </row>
    <row r="680" spans="1:9" x14ac:dyDescent="0.25">
      <c r="A680" s="1">
        <v>35353</v>
      </c>
      <c r="B680">
        <v>1015</v>
      </c>
      <c r="C680">
        <v>1996</v>
      </c>
      <c r="D680">
        <v>37</v>
      </c>
      <c r="E680">
        <v>16</v>
      </c>
      <c r="F680">
        <v>227</v>
      </c>
      <c r="G680">
        <v>6</v>
      </c>
      <c r="H680">
        <f>SUMIFS($F$2:F680,$C$2:C680,C680)</f>
        <v>25894</v>
      </c>
      <c r="I680" s="8">
        <f>STAMP_Escapement_Data[[#This Row],[DATE]]-DATE(STAMP_Escapement_Data[[#This Row],[YEAR]],8,1)</f>
        <v>75</v>
      </c>
    </row>
    <row r="681" spans="1:9" x14ac:dyDescent="0.25">
      <c r="A681" s="1">
        <v>35354</v>
      </c>
      <c r="B681">
        <v>1016</v>
      </c>
      <c r="C681">
        <v>1996</v>
      </c>
      <c r="D681">
        <v>33</v>
      </c>
      <c r="E681">
        <v>19</v>
      </c>
      <c r="F681">
        <v>146</v>
      </c>
      <c r="G681">
        <v>9</v>
      </c>
      <c r="H681">
        <f>SUMIFS($F$2:F681,$C$2:C681,C681)</f>
        <v>26040</v>
      </c>
      <c r="I681" s="8">
        <f>STAMP_Escapement_Data[[#This Row],[DATE]]-DATE(STAMP_Escapement_Data[[#This Row],[YEAR]],8,1)</f>
        <v>76</v>
      </c>
    </row>
    <row r="682" spans="1:9" x14ac:dyDescent="0.25">
      <c r="A682" s="1">
        <v>35355</v>
      </c>
      <c r="B682">
        <v>1017</v>
      </c>
      <c r="C682">
        <v>1996</v>
      </c>
      <c r="D682">
        <v>6</v>
      </c>
      <c r="E682">
        <v>7</v>
      </c>
      <c r="F682">
        <v>201</v>
      </c>
      <c r="G682">
        <v>12</v>
      </c>
      <c r="H682">
        <f>SUMIFS($F$2:F682,$C$2:C682,C682)</f>
        <v>26241</v>
      </c>
      <c r="I682" s="8">
        <f>STAMP_Escapement_Data[[#This Row],[DATE]]-DATE(STAMP_Escapement_Data[[#This Row],[YEAR]],8,1)</f>
        <v>77</v>
      </c>
    </row>
    <row r="683" spans="1:9" x14ac:dyDescent="0.25">
      <c r="A683" s="1">
        <v>35356</v>
      </c>
      <c r="B683">
        <v>1018</v>
      </c>
      <c r="C683">
        <v>1996</v>
      </c>
      <c r="D683">
        <v>45</v>
      </c>
      <c r="E683">
        <v>81</v>
      </c>
      <c r="F683">
        <v>136</v>
      </c>
      <c r="G683">
        <v>8</v>
      </c>
      <c r="H683">
        <f>SUMIFS($F$2:F683,$C$2:C683,C683)</f>
        <v>26377</v>
      </c>
      <c r="I683" s="8">
        <f>STAMP_Escapement_Data[[#This Row],[DATE]]-DATE(STAMP_Escapement_Data[[#This Row],[YEAR]],8,1)</f>
        <v>78</v>
      </c>
    </row>
    <row r="684" spans="1:9" x14ac:dyDescent="0.25">
      <c r="A684" s="1">
        <v>35357</v>
      </c>
      <c r="B684">
        <v>1019</v>
      </c>
      <c r="C684">
        <v>1996</v>
      </c>
      <c r="D684">
        <v>41</v>
      </c>
      <c r="E684">
        <v>58</v>
      </c>
      <c r="F684">
        <v>54</v>
      </c>
      <c r="G684">
        <v>9</v>
      </c>
      <c r="H684">
        <f>SUMIFS($F$2:F684,$C$2:C684,C684)</f>
        <v>26431</v>
      </c>
      <c r="I684" s="8">
        <f>STAMP_Escapement_Data[[#This Row],[DATE]]-DATE(STAMP_Escapement_Data[[#This Row],[YEAR]],8,1)</f>
        <v>79</v>
      </c>
    </row>
    <row r="685" spans="1:9" x14ac:dyDescent="0.25">
      <c r="A685" s="1">
        <v>35358</v>
      </c>
      <c r="B685">
        <v>1020</v>
      </c>
      <c r="C685">
        <v>1996</v>
      </c>
      <c r="D685">
        <v>10</v>
      </c>
      <c r="E685">
        <v>23</v>
      </c>
      <c r="F685">
        <v>63</v>
      </c>
      <c r="G685">
        <v>1</v>
      </c>
      <c r="H685">
        <f>SUMIFS($F$2:F685,$C$2:C685,C685)</f>
        <v>26494</v>
      </c>
      <c r="I685" s="8">
        <f>STAMP_Escapement_Data[[#This Row],[DATE]]-DATE(STAMP_Escapement_Data[[#This Row],[YEAR]],8,1)</f>
        <v>80</v>
      </c>
    </row>
    <row r="686" spans="1:9" x14ac:dyDescent="0.25">
      <c r="A686" s="1">
        <v>35359</v>
      </c>
      <c r="B686">
        <v>1021</v>
      </c>
      <c r="C686">
        <v>1996</v>
      </c>
      <c r="D686">
        <v>7</v>
      </c>
      <c r="E686">
        <v>3</v>
      </c>
      <c r="F686">
        <v>133</v>
      </c>
      <c r="G686">
        <v>2</v>
      </c>
      <c r="H686">
        <f>SUMIFS($F$2:F686,$C$2:C686,C686)</f>
        <v>26627</v>
      </c>
      <c r="I686" s="8">
        <f>STAMP_Escapement_Data[[#This Row],[DATE]]-DATE(STAMP_Escapement_Data[[#This Row],[YEAR]],8,1)</f>
        <v>81</v>
      </c>
    </row>
    <row r="687" spans="1:9" x14ac:dyDescent="0.25">
      <c r="A687" s="1">
        <v>35360</v>
      </c>
      <c r="B687">
        <v>1022</v>
      </c>
      <c r="C687">
        <v>1996</v>
      </c>
      <c r="D687">
        <v>42</v>
      </c>
      <c r="E687">
        <v>28</v>
      </c>
      <c r="F687">
        <v>246</v>
      </c>
      <c r="G687">
        <v>8</v>
      </c>
      <c r="H687">
        <f>SUMIFS($F$2:F687,$C$2:C687,C687)</f>
        <v>26873</v>
      </c>
      <c r="I687" s="8">
        <f>STAMP_Escapement_Data[[#This Row],[DATE]]-DATE(STAMP_Escapement_Data[[#This Row],[YEAR]],8,1)</f>
        <v>82</v>
      </c>
    </row>
    <row r="688" spans="1:9" x14ac:dyDescent="0.25">
      <c r="A688" s="1">
        <v>35361</v>
      </c>
      <c r="B688">
        <v>1023</v>
      </c>
      <c r="C688">
        <v>1996</v>
      </c>
      <c r="D688">
        <v>19</v>
      </c>
      <c r="E688">
        <v>6</v>
      </c>
      <c r="F688">
        <v>114</v>
      </c>
      <c r="G688">
        <v>4</v>
      </c>
      <c r="H688">
        <f>SUMIFS($F$2:F688,$C$2:C688,C688)</f>
        <v>26987</v>
      </c>
      <c r="I688" s="8">
        <f>STAMP_Escapement_Data[[#This Row],[DATE]]-DATE(STAMP_Escapement_Data[[#This Row],[YEAR]],8,1)</f>
        <v>83</v>
      </c>
    </row>
    <row r="689" spans="1:9" x14ac:dyDescent="0.25">
      <c r="A689" s="1">
        <v>35362</v>
      </c>
      <c r="B689">
        <v>1024</v>
      </c>
      <c r="C689">
        <v>1996</v>
      </c>
      <c r="D689">
        <v>4</v>
      </c>
      <c r="E689">
        <v>9</v>
      </c>
      <c r="F689">
        <v>41</v>
      </c>
      <c r="G689">
        <v>1</v>
      </c>
      <c r="H689">
        <f>SUMIFS($F$2:F689,$C$2:C689,C689)</f>
        <v>27028</v>
      </c>
      <c r="I689" s="8">
        <f>STAMP_Escapement_Data[[#This Row],[DATE]]-DATE(STAMP_Escapement_Data[[#This Row],[YEAR]],8,1)</f>
        <v>84</v>
      </c>
    </row>
    <row r="690" spans="1:9" x14ac:dyDescent="0.25">
      <c r="A690" s="1">
        <v>35363</v>
      </c>
      <c r="B690">
        <v>1025</v>
      </c>
      <c r="C690">
        <v>1996</v>
      </c>
      <c r="D690">
        <v>9</v>
      </c>
      <c r="E690">
        <v>14</v>
      </c>
      <c r="F690">
        <v>55</v>
      </c>
      <c r="G690">
        <v>2</v>
      </c>
      <c r="H690">
        <f>SUMIFS($F$2:F690,$C$2:C690,C690)</f>
        <v>27083</v>
      </c>
      <c r="I690" s="8">
        <f>STAMP_Escapement_Data[[#This Row],[DATE]]-DATE(STAMP_Escapement_Data[[#This Row],[YEAR]],8,1)</f>
        <v>85</v>
      </c>
    </row>
    <row r="691" spans="1:9" x14ac:dyDescent="0.25">
      <c r="A691" s="1">
        <v>35364</v>
      </c>
      <c r="B691">
        <v>1026</v>
      </c>
      <c r="C691">
        <v>1996</v>
      </c>
      <c r="D691">
        <v>9</v>
      </c>
      <c r="E691">
        <v>12</v>
      </c>
      <c r="F691">
        <v>26</v>
      </c>
      <c r="G691">
        <v>2</v>
      </c>
      <c r="H691">
        <f>SUMIFS($F$2:F691,$C$2:C691,C691)</f>
        <v>27109</v>
      </c>
      <c r="I691" s="8">
        <f>STAMP_Escapement_Data[[#This Row],[DATE]]-DATE(STAMP_Escapement_Data[[#This Row],[YEAR]],8,1)</f>
        <v>86</v>
      </c>
    </row>
    <row r="692" spans="1:9" x14ac:dyDescent="0.25">
      <c r="A692" s="1">
        <v>35365</v>
      </c>
      <c r="B692">
        <v>1027</v>
      </c>
      <c r="C692">
        <v>1996</v>
      </c>
      <c r="D692">
        <v>7</v>
      </c>
      <c r="E692">
        <v>13</v>
      </c>
      <c r="F692">
        <v>43</v>
      </c>
      <c r="G692">
        <v>2</v>
      </c>
      <c r="H692">
        <f>SUMIFS($F$2:F692,$C$2:C692,C692)</f>
        <v>27152</v>
      </c>
      <c r="I692" s="8">
        <f>STAMP_Escapement_Data[[#This Row],[DATE]]-DATE(STAMP_Escapement_Data[[#This Row],[YEAR]],8,1)</f>
        <v>87</v>
      </c>
    </row>
    <row r="693" spans="1:9" x14ac:dyDescent="0.25">
      <c r="A693" s="1">
        <v>35366</v>
      </c>
      <c r="B693">
        <v>1028</v>
      </c>
      <c r="C693">
        <v>1996</v>
      </c>
      <c r="D693">
        <v>13</v>
      </c>
      <c r="E693">
        <v>18</v>
      </c>
      <c r="F693">
        <v>55</v>
      </c>
      <c r="G693">
        <v>1</v>
      </c>
      <c r="H693">
        <f>SUMIFS($F$2:F693,$C$2:C693,C693)</f>
        <v>27207</v>
      </c>
      <c r="I693" s="8">
        <f>STAMP_Escapement_Data[[#This Row],[DATE]]-DATE(STAMP_Escapement_Data[[#This Row],[YEAR]],8,1)</f>
        <v>88</v>
      </c>
    </row>
    <row r="694" spans="1:9" x14ac:dyDescent="0.25">
      <c r="A694" s="1">
        <v>35367</v>
      </c>
      <c r="B694">
        <v>1029</v>
      </c>
      <c r="C694">
        <v>1996</v>
      </c>
      <c r="D694">
        <v>12</v>
      </c>
      <c r="E694">
        <v>14</v>
      </c>
      <c r="F694">
        <v>42</v>
      </c>
      <c r="G694">
        <v>7</v>
      </c>
      <c r="H694">
        <f>SUMIFS($F$2:F694,$C$2:C694,C694)</f>
        <v>27249</v>
      </c>
      <c r="I694" s="8">
        <f>STAMP_Escapement_Data[[#This Row],[DATE]]-DATE(STAMP_Escapement_Data[[#This Row],[YEAR]],8,1)</f>
        <v>89</v>
      </c>
    </row>
    <row r="695" spans="1:9" x14ac:dyDescent="0.25">
      <c r="A695" s="1">
        <v>35368</v>
      </c>
      <c r="B695">
        <v>1030</v>
      </c>
      <c r="C695">
        <v>1996</v>
      </c>
      <c r="D695">
        <v>5</v>
      </c>
      <c r="E695">
        <v>8</v>
      </c>
      <c r="F695">
        <v>20</v>
      </c>
      <c r="G695">
        <v>1</v>
      </c>
      <c r="H695">
        <f>SUMIFS($F$2:F695,$C$2:C695,C695)</f>
        <v>27269</v>
      </c>
      <c r="I695" s="8">
        <f>STAMP_Escapement_Data[[#This Row],[DATE]]-DATE(STAMP_Escapement_Data[[#This Row],[YEAR]],8,1)</f>
        <v>90</v>
      </c>
    </row>
    <row r="696" spans="1:9" x14ac:dyDescent="0.25">
      <c r="A696" s="1">
        <v>35369</v>
      </c>
      <c r="B696">
        <v>1031</v>
      </c>
      <c r="C696">
        <v>1996</v>
      </c>
      <c r="D696">
        <v>4</v>
      </c>
      <c r="E696">
        <v>2</v>
      </c>
      <c r="F696">
        <v>8</v>
      </c>
      <c r="G696">
        <v>1</v>
      </c>
      <c r="H696">
        <f>SUMIFS($F$2:F696,$C$2:C696,C696)</f>
        <v>27277</v>
      </c>
      <c r="I696" s="8">
        <f>STAMP_Escapement_Data[[#This Row],[DATE]]-DATE(STAMP_Escapement_Data[[#This Row],[YEAR]],8,1)</f>
        <v>91</v>
      </c>
    </row>
    <row r="697" spans="1:9" x14ac:dyDescent="0.25">
      <c r="A697" s="1">
        <v>35370</v>
      </c>
      <c r="B697">
        <v>1101</v>
      </c>
      <c r="C697">
        <v>1996</v>
      </c>
      <c r="D697">
        <v>1</v>
      </c>
      <c r="E697">
        <v>4</v>
      </c>
      <c r="F697">
        <v>8</v>
      </c>
      <c r="G697">
        <v>1</v>
      </c>
      <c r="H697">
        <f>SUMIFS($F$2:F697,$C$2:C697,C697)</f>
        <v>27285</v>
      </c>
      <c r="I697" s="8">
        <f>STAMP_Escapement_Data[[#This Row],[DATE]]-DATE(STAMP_Escapement_Data[[#This Row],[YEAR]],8,1)</f>
        <v>92</v>
      </c>
    </row>
    <row r="698" spans="1:9" x14ac:dyDescent="0.25">
      <c r="A698" s="1">
        <v>35371</v>
      </c>
      <c r="B698">
        <v>1102</v>
      </c>
      <c r="C698">
        <v>1996</v>
      </c>
      <c r="D698">
        <v>2</v>
      </c>
      <c r="E698">
        <v>3</v>
      </c>
      <c r="F698">
        <v>10</v>
      </c>
      <c r="G698">
        <v>2</v>
      </c>
      <c r="H698">
        <f>SUMIFS($F$2:F698,$C$2:C698,C698)</f>
        <v>27295</v>
      </c>
      <c r="I698" s="8">
        <f>STAMP_Escapement_Data[[#This Row],[DATE]]-DATE(STAMP_Escapement_Data[[#This Row],[YEAR]],8,1)</f>
        <v>93</v>
      </c>
    </row>
    <row r="699" spans="1:9" x14ac:dyDescent="0.25">
      <c r="A699" s="1">
        <v>35372</v>
      </c>
      <c r="B699">
        <v>1103</v>
      </c>
      <c r="C699">
        <v>1996</v>
      </c>
      <c r="D699">
        <v>1</v>
      </c>
      <c r="E699">
        <v>2</v>
      </c>
      <c r="F699">
        <v>16</v>
      </c>
      <c r="G699">
        <v>1</v>
      </c>
      <c r="H699">
        <f>SUMIFS($F$2:F699,$C$2:C699,C699)</f>
        <v>27311</v>
      </c>
      <c r="I699" s="8">
        <f>STAMP_Escapement_Data[[#This Row],[DATE]]-DATE(STAMP_Escapement_Data[[#This Row],[YEAR]],8,1)</f>
        <v>94</v>
      </c>
    </row>
    <row r="700" spans="1:9" x14ac:dyDescent="0.25">
      <c r="A700" s="1">
        <v>35373</v>
      </c>
      <c r="B700">
        <v>1104</v>
      </c>
      <c r="C700">
        <v>1996</v>
      </c>
      <c r="D700">
        <v>0</v>
      </c>
      <c r="E700">
        <v>3</v>
      </c>
      <c r="F700">
        <v>13</v>
      </c>
      <c r="G700">
        <v>0</v>
      </c>
      <c r="H700">
        <f>SUMIFS($F$2:F700,$C$2:C700,C700)</f>
        <v>27324</v>
      </c>
      <c r="I700" s="8">
        <f>STAMP_Escapement_Data[[#This Row],[DATE]]-DATE(STAMP_Escapement_Data[[#This Row],[YEAR]],8,1)</f>
        <v>95</v>
      </c>
    </row>
    <row r="701" spans="1:9" x14ac:dyDescent="0.25">
      <c r="A701" s="1">
        <v>35374</v>
      </c>
      <c r="B701">
        <v>1105</v>
      </c>
      <c r="C701">
        <v>1996</v>
      </c>
      <c r="D701">
        <v>1</v>
      </c>
      <c r="E701">
        <v>1</v>
      </c>
      <c r="F701">
        <v>14</v>
      </c>
      <c r="G701">
        <v>0</v>
      </c>
      <c r="H701">
        <f>SUMIFS($F$2:F701,$C$2:C701,C701)</f>
        <v>27338</v>
      </c>
      <c r="I701" s="8">
        <f>STAMP_Escapement_Data[[#This Row],[DATE]]-DATE(STAMP_Escapement_Data[[#This Row],[YEAR]],8,1)</f>
        <v>96</v>
      </c>
    </row>
    <row r="702" spans="1:9" x14ac:dyDescent="0.25">
      <c r="A702" s="1">
        <v>35675</v>
      </c>
      <c r="B702">
        <v>902</v>
      </c>
      <c r="C702">
        <v>1997</v>
      </c>
      <c r="D702">
        <v>74</v>
      </c>
      <c r="E702">
        <v>0</v>
      </c>
      <c r="F702">
        <v>1290</v>
      </c>
      <c r="G702">
        <v>20</v>
      </c>
      <c r="H702">
        <f>SUMIFS($F$2:F702,$C$2:C702,C702)</f>
        <v>1290</v>
      </c>
      <c r="I702" s="8">
        <f>STAMP_Escapement_Data[[#This Row],[DATE]]-DATE(STAMP_Escapement_Data[[#This Row],[YEAR]],8,1)</f>
        <v>32</v>
      </c>
    </row>
    <row r="703" spans="1:9" x14ac:dyDescent="0.25">
      <c r="A703" s="1">
        <v>35676</v>
      </c>
      <c r="B703">
        <v>903</v>
      </c>
      <c r="C703">
        <v>1997</v>
      </c>
      <c r="D703">
        <v>143</v>
      </c>
      <c r="E703">
        <v>53</v>
      </c>
      <c r="F703">
        <v>392</v>
      </c>
      <c r="G703">
        <v>6</v>
      </c>
      <c r="H703">
        <f>SUMIFS($F$2:F703,$C$2:C703,C703)</f>
        <v>1682</v>
      </c>
      <c r="I703" s="8">
        <f>STAMP_Escapement_Data[[#This Row],[DATE]]-DATE(STAMP_Escapement_Data[[#This Row],[YEAR]],8,1)</f>
        <v>33</v>
      </c>
    </row>
    <row r="704" spans="1:9" x14ac:dyDescent="0.25">
      <c r="A704" s="1">
        <v>35677</v>
      </c>
      <c r="B704">
        <v>904</v>
      </c>
      <c r="C704">
        <v>1997</v>
      </c>
      <c r="D704">
        <v>138</v>
      </c>
      <c r="E704">
        <v>39</v>
      </c>
      <c r="F704">
        <v>368</v>
      </c>
      <c r="G704">
        <v>4</v>
      </c>
      <c r="H704">
        <f>SUMIFS($F$2:F704,$C$2:C704,C704)</f>
        <v>2050</v>
      </c>
      <c r="I704" s="8">
        <f>STAMP_Escapement_Data[[#This Row],[DATE]]-DATE(STAMP_Escapement_Data[[#This Row],[YEAR]],8,1)</f>
        <v>34</v>
      </c>
    </row>
    <row r="705" spans="1:9" x14ac:dyDescent="0.25">
      <c r="A705" s="1">
        <v>35678</v>
      </c>
      <c r="B705">
        <v>905</v>
      </c>
      <c r="C705">
        <v>1997</v>
      </c>
      <c r="D705">
        <v>117</v>
      </c>
      <c r="E705">
        <v>64</v>
      </c>
      <c r="F705">
        <v>388</v>
      </c>
      <c r="G705">
        <v>8</v>
      </c>
      <c r="H705">
        <f>SUMIFS($F$2:F705,$C$2:C705,C705)</f>
        <v>2438</v>
      </c>
      <c r="I705" s="8">
        <f>STAMP_Escapement_Data[[#This Row],[DATE]]-DATE(STAMP_Escapement_Data[[#This Row],[YEAR]],8,1)</f>
        <v>35</v>
      </c>
    </row>
    <row r="706" spans="1:9" x14ac:dyDescent="0.25">
      <c r="A706" s="1">
        <v>35679</v>
      </c>
      <c r="B706">
        <v>906</v>
      </c>
      <c r="C706">
        <v>1997</v>
      </c>
      <c r="D706">
        <v>120</v>
      </c>
      <c r="E706">
        <v>90</v>
      </c>
      <c r="F706">
        <v>528</v>
      </c>
      <c r="G706">
        <v>25</v>
      </c>
      <c r="H706">
        <f>SUMIFS($F$2:F706,$C$2:C706,C706)</f>
        <v>2966</v>
      </c>
      <c r="I706" s="8">
        <f>STAMP_Escapement_Data[[#This Row],[DATE]]-DATE(STAMP_Escapement_Data[[#This Row],[YEAR]],8,1)</f>
        <v>36</v>
      </c>
    </row>
    <row r="707" spans="1:9" x14ac:dyDescent="0.25">
      <c r="A707" s="1">
        <v>35680</v>
      </c>
      <c r="B707">
        <v>907</v>
      </c>
      <c r="C707">
        <v>1997</v>
      </c>
      <c r="D707">
        <v>136</v>
      </c>
      <c r="E707">
        <v>79</v>
      </c>
      <c r="F707">
        <v>480</v>
      </c>
      <c r="G707">
        <v>18</v>
      </c>
      <c r="H707">
        <f>SUMIFS($F$2:F707,$C$2:C707,C707)</f>
        <v>3446</v>
      </c>
      <c r="I707" s="8">
        <f>STAMP_Escapement_Data[[#This Row],[DATE]]-DATE(STAMP_Escapement_Data[[#This Row],[YEAR]],8,1)</f>
        <v>37</v>
      </c>
    </row>
    <row r="708" spans="1:9" x14ac:dyDescent="0.25">
      <c r="A708" s="1">
        <v>35681</v>
      </c>
      <c r="B708">
        <v>908</v>
      </c>
      <c r="C708">
        <v>1997</v>
      </c>
      <c r="D708">
        <v>220</v>
      </c>
      <c r="E708">
        <v>81</v>
      </c>
      <c r="F708">
        <v>494</v>
      </c>
      <c r="G708">
        <v>10</v>
      </c>
      <c r="H708">
        <f>SUMIFS($F$2:F708,$C$2:C708,C708)</f>
        <v>3940</v>
      </c>
      <c r="I708" s="8">
        <f>STAMP_Escapement_Data[[#This Row],[DATE]]-DATE(STAMP_Escapement_Data[[#This Row],[YEAR]],8,1)</f>
        <v>38</v>
      </c>
    </row>
    <row r="709" spans="1:9" x14ac:dyDescent="0.25">
      <c r="A709" s="1">
        <v>35682</v>
      </c>
      <c r="B709">
        <v>909</v>
      </c>
      <c r="C709">
        <v>1997</v>
      </c>
      <c r="D709">
        <v>267</v>
      </c>
      <c r="E709">
        <v>96</v>
      </c>
      <c r="F709">
        <v>391</v>
      </c>
      <c r="G709">
        <v>11</v>
      </c>
      <c r="H709">
        <f>SUMIFS($F$2:F709,$C$2:C709,C709)</f>
        <v>4331</v>
      </c>
      <c r="I709" s="8">
        <f>STAMP_Escapement_Data[[#This Row],[DATE]]-DATE(STAMP_Escapement_Data[[#This Row],[YEAR]],8,1)</f>
        <v>39</v>
      </c>
    </row>
    <row r="710" spans="1:9" x14ac:dyDescent="0.25">
      <c r="A710" s="1">
        <v>35683</v>
      </c>
      <c r="B710">
        <v>910</v>
      </c>
      <c r="C710">
        <v>1997</v>
      </c>
      <c r="D710">
        <v>305</v>
      </c>
      <c r="E710">
        <v>147</v>
      </c>
      <c r="F710">
        <v>572</v>
      </c>
      <c r="G710">
        <v>14</v>
      </c>
      <c r="H710">
        <f>SUMIFS($F$2:F710,$C$2:C710,C710)</f>
        <v>4903</v>
      </c>
      <c r="I710" s="8">
        <f>STAMP_Escapement_Data[[#This Row],[DATE]]-DATE(STAMP_Escapement_Data[[#This Row],[YEAR]],8,1)</f>
        <v>40</v>
      </c>
    </row>
    <row r="711" spans="1:9" x14ac:dyDescent="0.25">
      <c r="A711" s="1">
        <v>35684</v>
      </c>
      <c r="B711">
        <v>911</v>
      </c>
      <c r="C711">
        <v>1997</v>
      </c>
      <c r="D711">
        <v>277</v>
      </c>
      <c r="E711">
        <v>159</v>
      </c>
      <c r="F711">
        <v>543</v>
      </c>
      <c r="G711">
        <v>13</v>
      </c>
      <c r="H711">
        <f>SUMIFS($F$2:F711,$C$2:C711,C711)</f>
        <v>5446</v>
      </c>
      <c r="I711" s="8">
        <f>STAMP_Escapement_Data[[#This Row],[DATE]]-DATE(STAMP_Escapement_Data[[#This Row],[YEAR]],8,1)</f>
        <v>41</v>
      </c>
    </row>
    <row r="712" spans="1:9" x14ac:dyDescent="0.25">
      <c r="A712" s="1">
        <v>35685</v>
      </c>
      <c r="B712">
        <v>912</v>
      </c>
      <c r="C712">
        <v>1997</v>
      </c>
      <c r="D712">
        <v>337</v>
      </c>
      <c r="E712">
        <v>179</v>
      </c>
      <c r="F712">
        <v>499</v>
      </c>
      <c r="G712">
        <v>5</v>
      </c>
      <c r="H712">
        <f>SUMIFS($F$2:F712,$C$2:C712,C712)</f>
        <v>5945</v>
      </c>
      <c r="I712" s="8">
        <f>STAMP_Escapement_Data[[#This Row],[DATE]]-DATE(STAMP_Escapement_Data[[#This Row],[YEAR]],8,1)</f>
        <v>42</v>
      </c>
    </row>
    <row r="713" spans="1:9" x14ac:dyDescent="0.25">
      <c r="A713" s="1">
        <v>35686</v>
      </c>
      <c r="B713">
        <v>913</v>
      </c>
      <c r="C713">
        <v>1997</v>
      </c>
      <c r="D713">
        <v>380</v>
      </c>
      <c r="E713">
        <v>172</v>
      </c>
      <c r="F713">
        <v>487</v>
      </c>
      <c r="G713">
        <v>6</v>
      </c>
      <c r="H713">
        <f>SUMIFS($F$2:F713,$C$2:C713,C713)</f>
        <v>6432</v>
      </c>
      <c r="I713" s="8">
        <f>STAMP_Escapement_Data[[#This Row],[DATE]]-DATE(STAMP_Escapement_Data[[#This Row],[YEAR]],8,1)</f>
        <v>43</v>
      </c>
    </row>
    <row r="714" spans="1:9" x14ac:dyDescent="0.25">
      <c r="A714" s="1">
        <v>35687</v>
      </c>
      <c r="B714">
        <v>914</v>
      </c>
      <c r="C714">
        <v>1997</v>
      </c>
      <c r="D714">
        <v>466</v>
      </c>
      <c r="E714">
        <v>127</v>
      </c>
      <c r="F714">
        <v>491</v>
      </c>
      <c r="G714">
        <v>8</v>
      </c>
      <c r="H714">
        <f>SUMIFS($F$2:F714,$C$2:C714,C714)</f>
        <v>6923</v>
      </c>
      <c r="I714" s="8">
        <f>STAMP_Escapement_Data[[#This Row],[DATE]]-DATE(STAMP_Escapement_Data[[#This Row],[YEAR]],8,1)</f>
        <v>44</v>
      </c>
    </row>
    <row r="715" spans="1:9" x14ac:dyDescent="0.25">
      <c r="A715" s="1">
        <v>35688</v>
      </c>
      <c r="B715">
        <v>915</v>
      </c>
      <c r="C715">
        <v>1997</v>
      </c>
      <c r="D715">
        <v>488</v>
      </c>
      <c r="E715">
        <v>172</v>
      </c>
      <c r="F715">
        <v>607</v>
      </c>
      <c r="G715">
        <v>18</v>
      </c>
      <c r="H715">
        <f>SUMIFS($F$2:F715,$C$2:C715,C715)</f>
        <v>7530</v>
      </c>
      <c r="I715" s="8">
        <f>STAMP_Escapement_Data[[#This Row],[DATE]]-DATE(STAMP_Escapement_Data[[#This Row],[YEAR]],8,1)</f>
        <v>45</v>
      </c>
    </row>
    <row r="716" spans="1:9" x14ac:dyDescent="0.25">
      <c r="A716" s="1">
        <v>35689</v>
      </c>
      <c r="B716">
        <v>916</v>
      </c>
      <c r="C716">
        <v>1997</v>
      </c>
      <c r="D716">
        <v>308</v>
      </c>
      <c r="E716">
        <v>82</v>
      </c>
      <c r="F716">
        <v>530</v>
      </c>
      <c r="G716">
        <v>6</v>
      </c>
      <c r="H716">
        <f>SUMIFS($F$2:F716,$C$2:C716,C716)</f>
        <v>8060</v>
      </c>
      <c r="I716" s="8">
        <f>STAMP_Escapement_Data[[#This Row],[DATE]]-DATE(STAMP_Escapement_Data[[#This Row],[YEAR]],8,1)</f>
        <v>46</v>
      </c>
    </row>
    <row r="717" spans="1:9" x14ac:dyDescent="0.25">
      <c r="A717" s="1">
        <v>35690</v>
      </c>
      <c r="B717">
        <v>917</v>
      </c>
      <c r="C717">
        <v>1997</v>
      </c>
      <c r="D717">
        <v>283</v>
      </c>
      <c r="E717">
        <v>88</v>
      </c>
      <c r="F717">
        <v>671</v>
      </c>
      <c r="G717">
        <v>12</v>
      </c>
      <c r="H717">
        <f>SUMIFS($F$2:F717,$C$2:C717,C717)</f>
        <v>8731</v>
      </c>
      <c r="I717" s="8">
        <f>STAMP_Escapement_Data[[#This Row],[DATE]]-DATE(STAMP_Escapement_Data[[#This Row],[YEAR]],8,1)</f>
        <v>47</v>
      </c>
    </row>
    <row r="718" spans="1:9" x14ac:dyDescent="0.25">
      <c r="A718" s="1">
        <v>35691</v>
      </c>
      <c r="B718">
        <v>918</v>
      </c>
      <c r="C718">
        <v>1997</v>
      </c>
      <c r="D718">
        <v>394</v>
      </c>
      <c r="E718">
        <v>154</v>
      </c>
      <c r="F718">
        <v>743</v>
      </c>
      <c r="G718">
        <v>19</v>
      </c>
      <c r="H718">
        <f>SUMIFS($F$2:F718,$C$2:C718,C718)</f>
        <v>9474</v>
      </c>
      <c r="I718" s="8">
        <f>STAMP_Escapement_Data[[#This Row],[DATE]]-DATE(STAMP_Escapement_Data[[#This Row],[YEAR]],8,1)</f>
        <v>48</v>
      </c>
    </row>
    <row r="719" spans="1:9" x14ac:dyDescent="0.25">
      <c r="A719" s="1">
        <v>35692</v>
      </c>
      <c r="B719">
        <v>919</v>
      </c>
      <c r="C719">
        <v>1997</v>
      </c>
      <c r="D719">
        <v>256</v>
      </c>
      <c r="E719">
        <v>136</v>
      </c>
      <c r="F719">
        <v>549</v>
      </c>
      <c r="G719">
        <v>14</v>
      </c>
      <c r="H719">
        <f>SUMIFS($F$2:F719,$C$2:C719,C719)</f>
        <v>10023</v>
      </c>
      <c r="I719" s="8">
        <f>STAMP_Escapement_Data[[#This Row],[DATE]]-DATE(STAMP_Escapement_Data[[#This Row],[YEAR]],8,1)</f>
        <v>49</v>
      </c>
    </row>
    <row r="720" spans="1:9" x14ac:dyDescent="0.25">
      <c r="A720" s="1">
        <v>35693</v>
      </c>
      <c r="B720">
        <v>920</v>
      </c>
      <c r="C720">
        <v>1997</v>
      </c>
      <c r="D720">
        <v>239</v>
      </c>
      <c r="E720">
        <v>168</v>
      </c>
      <c r="F720">
        <v>632</v>
      </c>
      <c r="G720">
        <v>6</v>
      </c>
      <c r="H720">
        <f>SUMIFS($F$2:F720,$C$2:C720,C720)</f>
        <v>10655</v>
      </c>
      <c r="I720" s="8">
        <f>STAMP_Escapement_Data[[#This Row],[DATE]]-DATE(STAMP_Escapement_Data[[#This Row],[YEAR]],8,1)</f>
        <v>50</v>
      </c>
    </row>
    <row r="721" spans="1:9" x14ac:dyDescent="0.25">
      <c r="A721" s="1">
        <v>35694</v>
      </c>
      <c r="B721">
        <v>921</v>
      </c>
      <c r="C721">
        <v>1997</v>
      </c>
      <c r="D721">
        <v>301</v>
      </c>
      <c r="E721">
        <v>120</v>
      </c>
      <c r="F721">
        <v>799</v>
      </c>
      <c r="G721">
        <v>24</v>
      </c>
      <c r="H721">
        <f>SUMIFS($F$2:F721,$C$2:C721,C721)</f>
        <v>11454</v>
      </c>
      <c r="I721" s="8">
        <f>STAMP_Escapement_Data[[#This Row],[DATE]]-DATE(STAMP_Escapement_Data[[#This Row],[YEAR]],8,1)</f>
        <v>51</v>
      </c>
    </row>
    <row r="722" spans="1:9" x14ac:dyDescent="0.25">
      <c r="A722" s="1">
        <v>35695</v>
      </c>
      <c r="B722">
        <v>922</v>
      </c>
      <c r="C722">
        <v>1997</v>
      </c>
      <c r="D722">
        <v>209</v>
      </c>
      <c r="E722">
        <v>97</v>
      </c>
      <c r="F722">
        <v>542</v>
      </c>
      <c r="G722">
        <v>37</v>
      </c>
      <c r="H722">
        <f>SUMIFS($F$2:F722,$C$2:C722,C722)</f>
        <v>11996</v>
      </c>
      <c r="I722" s="8">
        <f>STAMP_Escapement_Data[[#This Row],[DATE]]-DATE(STAMP_Escapement_Data[[#This Row],[YEAR]],8,1)</f>
        <v>52</v>
      </c>
    </row>
    <row r="723" spans="1:9" x14ac:dyDescent="0.25">
      <c r="A723" s="1">
        <v>35696</v>
      </c>
      <c r="B723">
        <v>923</v>
      </c>
      <c r="C723">
        <v>1997</v>
      </c>
      <c r="D723">
        <v>224</v>
      </c>
      <c r="E723">
        <v>140</v>
      </c>
      <c r="F723">
        <v>608</v>
      </c>
      <c r="G723">
        <v>24</v>
      </c>
      <c r="H723">
        <f>SUMIFS($F$2:F723,$C$2:C723,C723)</f>
        <v>12604</v>
      </c>
      <c r="I723" s="8">
        <f>STAMP_Escapement_Data[[#This Row],[DATE]]-DATE(STAMP_Escapement_Data[[#This Row],[YEAR]],8,1)</f>
        <v>53</v>
      </c>
    </row>
    <row r="724" spans="1:9" x14ac:dyDescent="0.25">
      <c r="A724" s="1">
        <v>35697</v>
      </c>
      <c r="B724">
        <v>924</v>
      </c>
      <c r="C724">
        <v>1997</v>
      </c>
      <c r="D724">
        <v>225</v>
      </c>
      <c r="E724">
        <v>272</v>
      </c>
      <c r="F724">
        <v>721</v>
      </c>
      <c r="G724">
        <v>37</v>
      </c>
      <c r="H724">
        <f>SUMIFS($F$2:F724,$C$2:C724,C724)</f>
        <v>13325</v>
      </c>
      <c r="I724" s="8">
        <f>STAMP_Escapement_Data[[#This Row],[DATE]]-DATE(STAMP_Escapement_Data[[#This Row],[YEAR]],8,1)</f>
        <v>54</v>
      </c>
    </row>
    <row r="725" spans="1:9" x14ac:dyDescent="0.25">
      <c r="A725" s="1">
        <v>35698</v>
      </c>
      <c r="B725">
        <v>925</v>
      </c>
      <c r="C725">
        <v>1997</v>
      </c>
      <c r="D725">
        <v>132</v>
      </c>
      <c r="E725">
        <v>95</v>
      </c>
      <c r="F725">
        <v>589</v>
      </c>
      <c r="G725">
        <v>7</v>
      </c>
      <c r="H725">
        <f>SUMIFS($F$2:F725,$C$2:C725,C725)</f>
        <v>13914</v>
      </c>
      <c r="I725" s="8">
        <f>STAMP_Escapement_Data[[#This Row],[DATE]]-DATE(STAMP_Escapement_Data[[#This Row],[YEAR]],8,1)</f>
        <v>55</v>
      </c>
    </row>
    <row r="726" spans="1:9" x14ac:dyDescent="0.25">
      <c r="A726" s="1">
        <v>35699</v>
      </c>
      <c r="B726">
        <v>926</v>
      </c>
      <c r="C726">
        <v>1997</v>
      </c>
      <c r="D726">
        <v>123</v>
      </c>
      <c r="E726">
        <v>24</v>
      </c>
      <c r="F726">
        <v>678</v>
      </c>
      <c r="G726">
        <v>13</v>
      </c>
      <c r="H726">
        <f>SUMIFS($F$2:F726,$C$2:C726,C726)</f>
        <v>14592</v>
      </c>
      <c r="I726" s="8">
        <f>STAMP_Escapement_Data[[#This Row],[DATE]]-DATE(STAMP_Escapement_Data[[#This Row],[YEAR]],8,1)</f>
        <v>56</v>
      </c>
    </row>
    <row r="727" spans="1:9" x14ac:dyDescent="0.25">
      <c r="A727" s="1">
        <v>35700</v>
      </c>
      <c r="B727">
        <v>927</v>
      </c>
      <c r="C727">
        <v>1997</v>
      </c>
      <c r="D727">
        <v>129</v>
      </c>
      <c r="E727">
        <v>51</v>
      </c>
      <c r="F727">
        <v>477</v>
      </c>
      <c r="G727">
        <v>7</v>
      </c>
      <c r="H727">
        <f>SUMIFS($F$2:F727,$C$2:C727,C727)</f>
        <v>15069</v>
      </c>
      <c r="I727" s="8">
        <f>STAMP_Escapement_Data[[#This Row],[DATE]]-DATE(STAMP_Escapement_Data[[#This Row],[YEAR]],8,1)</f>
        <v>57</v>
      </c>
    </row>
    <row r="728" spans="1:9" x14ac:dyDescent="0.25">
      <c r="A728" s="1">
        <v>35701</v>
      </c>
      <c r="B728">
        <v>928</v>
      </c>
      <c r="C728">
        <v>1997</v>
      </c>
      <c r="D728">
        <v>29</v>
      </c>
      <c r="E728">
        <v>24</v>
      </c>
      <c r="F728">
        <v>406</v>
      </c>
      <c r="G728">
        <v>2</v>
      </c>
      <c r="H728">
        <f>SUMIFS($F$2:F728,$C$2:C728,C728)</f>
        <v>15475</v>
      </c>
      <c r="I728" s="8">
        <f>STAMP_Escapement_Data[[#This Row],[DATE]]-DATE(STAMP_Escapement_Data[[#This Row],[YEAR]],8,1)</f>
        <v>58</v>
      </c>
    </row>
    <row r="729" spans="1:9" x14ac:dyDescent="0.25">
      <c r="A729" s="1">
        <v>35702</v>
      </c>
      <c r="B729">
        <v>929</v>
      </c>
      <c r="C729">
        <v>1997</v>
      </c>
      <c r="D729">
        <v>55</v>
      </c>
      <c r="E729">
        <v>19</v>
      </c>
      <c r="F729">
        <v>673</v>
      </c>
      <c r="G729">
        <v>12</v>
      </c>
      <c r="H729">
        <f>SUMIFS($F$2:F729,$C$2:C729,C729)</f>
        <v>16148</v>
      </c>
      <c r="I729" s="8">
        <f>STAMP_Escapement_Data[[#This Row],[DATE]]-DATE(STAMP_Escapement_Data[[#This Row],[YEAR]],8,1)</f>
        <v>59</v>
      </c>
    </row>
    <row r="730" spans="1:9" x14ac:dyDescent="0.25">
      <c r="A730" s="1">
        <v>35703</v>
      </c>
      <c r="B730">
        <v>930</v>
      </c>
      <c r="C730">
        <v>1997</v>
      </c>
      <c r="D730">
        <v>0</v>
      </c>
      <c r="E730">
        <v>0</v>
      </c>
      <c r="F730">
        <v>0</v>
      </c>
      <c r="G730">
        <v>0</v>
      </c>
      <c r="H730">
        <f>SUMIFS($F$2:F730,$C$2:C730,C730)</f>
        <v>16148</v>
      </c>
      <c r="I730" s="8">
        <f>STAMP_Escapement_Data[[#This Row],[DATE]]-DATE(STAMP_Escapement_Data[[#This Row],[YEAR]],8,1)</f>
        <v>60</v>
      </c>
    </row>
    <row r="731" spans="1:9" x14ac:dyDescent="0.25">
      <c r="A731" s="1">
        <v>35704</v>
      </c>
      <c r="B731">
        <v>1001</v>
      </c>
      <c r="C731">
        <v>1997</v>
      </c>
      <c r="D731">
        <v>0</v>
      </c>
      <c r="E731">
        <v>0</v>
      </c>
      <c r="F731">
        <v>0</v>
      </c>
      <c r="G731">
        <v>0</v>
      </c>
      <c r="H731">
        <f>SUMIFS($F$2:F731,$C$2:C731,C731)</f>
        <v>16148</v>
      </c>
      <c r="I731" s="8">
        <f>STAMP_Escapement_Data[[#This Row],[DATE]]-DATE(STAMP_Escapement_Data[[#This Row],[YEAR]],8,1)</f>
        <v>61</v>
      </c>
    </row>
    <row r="732" spans="1:9" x14ac:dyDescent="0.25">
      <c r="A732" s="1">
        <v>35705</v>
      </c>
      <c r="B732">
        <v>1002</v>
      </c>
      <c r="C732">
        <v>1997</v>
      </c>
      <c r="D732">
        <v>0</v>
      </c>
      <c r="E732">
        <v>0</v>
      </c>
      <c r="F732">
        <v>0</v>
      </c>
      <c r="G732">
        <v>0</v>
      </c>
      <c r="H732">
        <f>SUMIFS($F$2:F732,$C$2:C732,C732)</f>
        <v>16148</v>
      </c>
      <c r="I732" s="8">
        <f>STAMP_Escapement_Data[[#This Row],[DATE]]-DATE(STAMP_Escapement_Data[[#This Row],[YEAR]],8,1)</f>
        <v>62</v>
      </c>
    </row>
    <row r="733" spans="1:9" x14ac:dyDescent="0.25">
      <c r="A733" s="1">
        <v>35706</v>
      </c>
      <c r="B733">
        <v>1003</v>
      </c>
      <c r="C733">
        <v>1997</v>
      </c>
      <c r="D733">
        <v>0</v>
      </c>
      <c r="E733">
        <v>0</v>
      </c>
      <c r="F733">
        <v>0</v>
      </c>
      <c r="G733">
        <v>0</v>
      </c>
      <c r="H733">
        <f>SUMIFS($F$2:F733,$C$2:C733,C733)</f>
        <v>16148</v>
      </c>
      <c r="I733" s="8">
        <f>STAMP_Escapement_Data[[#This Row],[DATE]]-DATE(STAMP_Escapement_Data[[#This Row],[YEAR]],8,1)</f>
        <v>63</v>
      </c>
    </row>
    <row r="734" spans="1:9" x14ac:dyDescent="0.25">
      <c r="A734" s="1">
        <v>35707</v>
      </c>
      <c r="B734">
        <v>1004</v>
      </c>
      <c r="C734">
        <v>1997</v>
      </c>
      <c r="D734">
        <v>0</v>
      </c>
      <c r="E734">
        <v>0</v>
      </c>
      <c r="F734">
        <v>0</v>
      </c>
      <c r="G734">
        <v>0</v>
      </c>
      <c r="H734">
        <f>SUMIFS($F$2:F734,$C$2:C734,C734)</f>
        <v>16148</v>
      </c>
      <c r="I734" s="8">
        <f>STAMP_Escapement_Data[[#This Row],[DATE]]-DATE(STAMP_Escapement_Data[[#This Row],[YEAR]],8,1)</f>
        <v>64</v>
      </c>
    </row>
    <row r="735" spans="1:9" x14ac:dyDescent="0.25">
      <c r="A735" s="1">
        <v>35708</v>
      </c>
      <c r="B735">
        <v>1005</v>
      </c>
      <c r="C735">
        <v>1997</v>
      </c>
      <c r="D735">
        <v>0</v>
      </c>
      <c r="E735">
        <v>0</v>
      </c>
      <c r="F735">
        <v>0</v>
      </c>
      <c r="G735">
        <v>0</v>
      </c>
      <c r="H735">
        <f>SUMIFS($F$2:F735,$C$2:C735,C735)</f>
        <v>16148</v>
      </c>
      <c r="I735" s="8">
        <f>STAMP_Escapement_Data[[#This Row],[DATE]]-DATE(STAMP_Escapement_Data[[#This Row],[YEAR]],8,1)</f>
        <v>65</v>
      </c>
    </row>
    <row r="736" spans="1:9" x14ac:dyDescent="0.25">
      <c r="A736" s="1">
        <v>35709</v>
      </c>
      <c r="B736">
        <v>1006</v>
      </c>
      <c r="C736">
        <v>1997</v>
      </c>
      <c r="D736">
        <v>0</v>
      </c>
      <c r="E736">
        <v>0</v>
      </c>
      <c r="F736">
        <v>0</v>
      </c>
      <c r="G736">
        <v>0</v>
      </c>
      <c r="H736">
        <f>SUMIFS($F$2:F736,$C$2:C736,C736)</f>
        <v>16148</v>
      </c>
      <c r="I736" s="8">
        <f>STAMP_Escapement_Data[[#This Row],[DATE]]-DATE(STAMP_Escapement_Data[[#This Row],[YEAR]],8,1)</f>
        <v>66</v>
      </c>
    </row>
    <row r="737" spans="1:9" x14ac:dyDescent="0.25">
      <c r="A737" s="1">
        <v>35710</v>
      </c>
      <c r="B737">
        <v>1007</v>
      </c>
      <c r="C737">
        <v>1997</v>
      </c>
      <c r="D737">
        <v>1</v>
      </c>
      <c r="E737">
        <v>0</v>
      </c>
      <c r="F737">
        <v>3</v>
      </c>
      <c r="G737">
        <v>0</v>
      </c>
      <c r="H737">
        <f>SUMIFS($F$2:F737,$C$2:C737,C737)</f>
        <v>16151</v>
      </c>
      <c r="I737" s="8">
        <f>STAMP_Escapement_Data[[#This Row],[DATE]]-DATE(STAMP_Escapement_Data[[#This Row],[YEAR]],8,1)</f>
        <v>67</v>
      </c>
    </row>
    <row r="738" spans="1:9" x14ac:dyDescent="0.25">
      <c r="A738" s="1">
        <v>35711</v>
      </c>
      <c r="B738">
        <v>1008</v>
      </c>
      <c r="C738">
        <v>1997</v>
      </c>
      <c r="D738">
        <v>20</v>
      </c>
      <c r="E738">
        <v>0</v>
      </c>
      <c r="F738">
        <v>235</v>
      </c>
      <c r="G738">
        <v>2</v>
      </c>
      <c r="H738">
        <f>SUMIFS($F$2:F738,$C$2:C738,C738)</f>
        <v>16386</v>
      </c>
      <c r="I738" s="8">
        <f>STAMP_Escapement_Data[[#This Row],[DATE]]-DATE(STAMP_Escapement_Data[[#This Row],[YEAR]],8,1)</f>
        <v>68</v>
      </c>
    </row>
    <row r="739" spans="1:9" x14ac:dyDescent="0.25">
      <c r="A739" s="1">
        <v>35712</v>
      </c>
      <c r="B739">
        <v>1009</v>
      </c>
      <c r="C739">
        <v>1997</v>
      </c>
      <c r="D739">
        <v>20</v>
      </c>
      <c r="E739">
        <v>7</v>
      </c>
      <c r="F739">
        <v>720</v>
      </c>
      <c r="G739">
        <v>25</v>
      </c>
      <c r="H739">
        <f>SUMIFS($F$2:F739,$C$2:C739,C739)</f>
        <v>17106</v>
      </c>
      <c r="I739" s="8">
        <f>STAMP_Escapement_Data[[#This Row],[DATE]]-DATE(STAMP_Escapement_Data[[#This Row],[YEAR]],8,1)</f>
        <v>69</v>
      </c>
    </row>
    <row r="740" spans="1:9" x14ac:dyDescent="0.25">
      <c r="A740" s="1">
        <v>35713</v>
      </c>
      <c r="B740">
        <v>1010</v>
      </c>
      <c r="C740">
        <v>1997</v>
      </c>
      <c r="D740">
        <v>28</v>
      </c>
      <c r="E740">
        <v>7</v>
      </c>
      <c r="F740">
        <v>707</v>
      </c>
      <c r="G740">
        <v>11</v>
      </c>
      <c r="H740">
        <f>SUMIFS($F$2:F740,$C$2:C740,C740)</f>
        <v>17813</v>
      </c>
      <c r="I740" s="8">
        <f>STAMP_Escapement_Data[[#This Row],[DATE]]-DATE(STAMP_Escapement_Data[[#This Row],[YEAR]],8,1)</f>
        <v>70</v>
      </c>
    </row>
    <row r="741" spans="1:9" x14ac:dyDescent="0.25">
      <c r="A741" s="1">
        <v>35714</v>
      </c>
      <c r="B741">
        <v>1011</v>
      </c>
      <c r="C741">
        <v>1997</v>
      </c>
      <c r="D741">
        <v>38</v>
      </c>
      <c r="E741">
        <v>15</v>
      </c>
      <c r="F741">
        <v>888</v>
      </c>
      <c r="G741">
        <v>17</v>
      </c>
      <c r="H741">
        <f>SUMIFS($F$2:F741,$C$2:C741,C741)</f>
        <v>18701</v>
      </c>
      <c r="I741" s="8">
        <f>STAMP_Escapement_Data[[#This Row],[DATE]]-DATE(STAMP_Escapement_Data[[#This Row],[YEAR]],8,1)</f>
        <v>71</v>
      </c>
    </row>
    <row r="742" spans="1:9" x14ac:dyDescent="0.25">
      <c r="A742" s="1">
        <v>35715</v>
      </c>
      <c r="B742">
        <v>1012</v>
      </c>
      <c r="C742">
        <v>1997</v>
      </c>
      <c r="D742">
        <v>53</v>
      </c>
      <c r="E742">
        <v>29</v>
      </c>
      <c r="F742">
        <v>879</v>
      </c>
      <c r="G742">
        <v>19</v>
      </c>
      <c r="H742">
        <f>SUMIFS($F$2:F742,$C$2:C742,C742)</f>
        <v>19580</v>
      </c>
      <c r="I742" s="8">
        <f>STAMP_Escapement_Data[[#This Row],[DATE]]-DATE(STAMP_Escapement_Data[[#This Row],[YEAR]],8,1)</f>
        <v>72</v>
      </c>
    </row>
    <row r="743" spans="1:9" x14ac:dyDescent="0.25">
      <c r="A743" s="1">
        <v>35716</v>
      </c>
      <c r="B743">
        <v>1013</v>
      </c>
      <c r="C743">
        <v>1997</v>
      </c>
      <c r="D743">
        <v>120</v>
      </c>
      <c r="E743">
        <v>81</v>
      </c>
      <c r="F743">
        <v>1045</v>
      </c>
      <c r="G743">
        <v>22</v>
      </c>
      <c r="H743">
        <f>SUMIFS($F$2:F743,$C$2:C743,C743)</f>
        <v>20625</v>
      </c>
      <c r="I743" s="8">
        <f>STAMP_Escapement_Data[[#This Row],[DATE]]-DATE(STAMP_Escapement_Data[[#This Row],[YEAR]],8,1)</f>
        <v>73</v>
      </c>
    </row>
    <row r="744" spans="1:9" x14ac:dyDescent="0.25">
      <c r="A744" s="1">
        <v>35717</v>
      </c>
      <c r="B744">
        <v>1014</v>
      </c>
      <c r="C744">
        <v>1997</v>
      </c>
      <c r="D744">
        <v>33</v>
      </c>
      <c r="E744">
        <v>30</v>
      </c>
      <c r="F744">
        <v>580</v>
      </c>
      <c r="G744">
        <v>17</v>
      </c>
      <c r="H744">
        <f>SUMIFS($F$2:F744,$C$2:C744,C744)</f>
        <v>21205</v>
      </c>
      <c r="I744" s="8">
        <f>STAMP_Escapement_Data[[#This Row],[DATE]]-DATE(STAMP_Escapement_Data[[#This Row],[YEAR]],8,1)</f>
        <v>74</v>
      </c>
    </row>
    <row r="745" spans="1:9" x14ac:dyDescent="0.25">
      <c r="A745" s="1">
        <v>35718</v>
      </c>
      <c r="B745">
        <v>1015</v>
      </c>
      <c r="C745">
        <v>1997</v>
      </c>
      <c r="D745">
        <v>18</v>
      </c>
      <c r="E745">
        <v>57</v>
      </c>
      <c r="F745">
        <v>942</v>
      </c>
      <c r="G745">
        <v>27</v>
      </c>
      <c r="H745">
        <f>SUMIFS($F$2:F745,$C$2:C745,C745)</f>
        <v>22147</v>
      </c>
      <c r="I745" s="8">
        <f>STAMP_Escapement_Data[[#This Row],[DATE]]-DATE(STAMP_Escapement_Data[[#This Row],[YEAR]],8,1)</f>
        <v>75</v>
      </c>
    </row>
    <row r="746" spans="1:9" x14ac:dyDescent="0.25">
      <c r="A746" s="1">
        <v>35719</v>
      </c>
      <c r="B746">
        <v>1016</v>
      </c>
      <c r="C746">
        <v>1997</v>
      </c>
      <c r="D746">
        <v>6</v>
      </c>
      <c r="E746">
        <v>23</v>
      </c>
      <c r="F746">
        <v>299</v>
      </c>
      <c r="G746">
        <v>7</v>
      </c>
      <c r="H746">
        <f>SUMIFS($F$2:F746,$C$2:C746,C746)</f>
        <v>22446</v>
      </c>
      <c r="I746" s="8">
        <f>STAMP_Escapement_Data[[#This Row],[DATE]]-DATE(STAMP_Escapement_Data[[#This Row],[YEAR]],8,1)</f>
        <v>76</v>
      </c>
    </row>
    <row r="747" spans="1:9" x14ac:dyDescent="0.25">
      <c r="A747" s="1">
        <v>35720</v>
      </c>
      <c r="B747">
        <v>1017</v>
      </c>
      <c r="C747">
        <v>1997</v>
      </c>
      <c r="D747">
        <v>10</v>
      </c>
      <c r="E747">
        <v>21</v>
      </c>
      <c r="F747">
        <v>436</v>
      </c>
      <c r="G747">
        <v>3</v>
      </c>
      <c r="H747">
        <f>SUMIFS($F$2:F747,$C$2:C747,C747)</f>
        <v>22882</v>
      </c>
      <c r="I747" s="8">
        <f>STAMP_Escapement_Data[[#This Row],[DATE]]-DATE(STAMP_Escapement_Data[[#This Row],[YEAR]],8,1)</f>
        <v>77</v>
      </c>
    </row>
    <row r="748" spans="1:9" x14ac:dyDescent="0.25">
      <c r="A748" s="1">
        <v>35721</v>
      </c>
      <c r="B748">
        <v>1018</v>
      </c>
      <c r="C748">
        <v>1997</v>
      </c>
      <c r="D748">
        <v>6</v>
      </c>
      <c r="E748">
        <v>11</v>
      </c>
      <c r="F748">
        <v>287</v>
      </c>
      <c r="G748">
        <v>1</v>
      </c>
      <c r="H748">
        <f>SUMIFS($F$2:F748,$C$2:C748,C748)</f>
        <v>23169</v>
      </c>
      <c r="I748" s="8">
        <f>STAMP_Escapement_Data[[#This Row],[DATE]]-DATE(STAMP_Escapement_Data[[#This Row],[YEAR]],8,1)</f>
        <v>78</v>
      </c>
    </row>
    <row r="749" spans="1:9" x14ac:dyDescent="0.25">
      <c r="A749" s="1">
        <v>35722</v>
      </c>
      <c r="B749">
        <v>1019</v>
      </c>
      <c r="C749">
        <v>1997</v>
      </c>
      <c r="D749">
        <v>1</v>
      </c>
      <c r="E749">
        <v>13</v>
      </c>
      <c r="F749">
        <v>102</v>
      </c>
      <c r="G749">
        <v>2</v>
      </c>
      <c r="H749">
        <f>SUMIFS($F$2:F749,$C$2:C749,C749)</f>
        <v>23271</v>
      </c>
      <c r="I749" s="8">
        <f>STAMP_Escapement_Data[[#This Row],[DATE]]-DATE(STAMP_Escapement_Data[[#This Row],[YEAR]],8,1)</f>
        <v>79</v>
      </c>
    </row>
    <row r="750" spans="1:9" x14ac:dyDescent="0.25">
      <c r="A750" s="1">
        <v>35723</v>
      </c>
      <c r="B750">
        <v>1020</v>
      </c>
      <c r="C750">
        <v>1997</v>
      </c>
      <c r="D750">
        <v>5</v>
      </c>
      <c r="E750">
        <v>25</v>
      </c>
      <c r="F750">
        <v>338</v>
      </c>
      <c r="G750">
        <v>7</v>
      </c>
      <c r="H750">
        <f>SUMIFS($F$2:F750,$C$2:C750,C750)</f>
        <v>23609</v>
      </c>
      <c r="I750" s="8">
        <f>STAMP_Escapement_Data[[#This Row],[DATE]]-DATE(STAMP_Escapement_Data[[#This Row],[YEAR]],8,1)</f>
        <v>80</v>
      </c>
    </row>
    <row r="751" spans="1:9" x14ac:dyDescent="0.25">
      <c r="A751" s="1">
        <v>35724</v>
      </c>
      <c r="B751">
        <v>1021</v>
      </c>
      <c r="C751">
        <v>1997</v>
      </c>
      <c r="D751">
        <v>18</v>
      </c>
      <c r="E751">
        <v>36</v>
      </c>
      <c r="F751">
        <v>661</v>
      </c>
      <c r="G751">
        <v>32</v>
      </c>
      <c r="H751">
        <f>SUMIFS($F$2:F751,$C$2:C751,C751)</f>
        <v>24270</v>
      </c>
      <c r="I751" s="8">
        <f>STAMP_Escapement_Data[[#This Row],[DATE]]-DATE(STAMP_Escapement_Data[[#This Row],[YEAR]],8,1)</f>
        <v>81</v>
      </c>
    </row>
    <row r="752" spans="1:9" x14ac:dyDescent="0.25">
      <c r="A752" s="1">
        <v>35725</v>
      </c>
      <c r="B752">
        <v>1022</v>
      </c>
      <c r="C752">
        <v>1997</v>
      </c>
      <c r="D752">
        <v>14</v>
      </c>
      <c r="E752">
        <v>45</v>
      </c>
      <c r="F752">
        <v>949</v>
      </c>
      <c r="G752">
        <v>35</v>
      </c>
      <c r="H752">
        <f>SUMIFS($F$2:F752,$C$2:C752,C752)</f>
        <v>25219</v>
      </c>
      <c r="I752" s="8">
        <f>STAMP_Escapement_Data[[#This Row],[DATE]]-DATE(STAMP_Escapement_Data[[#This Row],[YEAR]],8,1)</f>
        <v>82</v>
      </c>
    </row>
    <row r="753" spans="1:9" x14ac:dyDescent="0.25">
      <c r="A753" s="1">
        <v>35726</v>
      </c>
      <c r="B753">
        <v>1023</v>
      </c>
      <c r="C753">
        <v>1997</v>
      </c>
      <c r="D753">
        <v>9</v>
      </c>
      <c r="E753">
        <v>32</v>
      </c>
      <c r="F753">
        <v>469</v>
      </c>
      <c r="G753">
        <v>13</v>
      </c>
      <c r="H753">
        <f>SUMIFS($F$2:F753,$C$2:C753,C753)</f>
        <v>25688</v>
      </c>
      <c r="I753" s="8">
        <f>STAMP_Escapement_Data[[#This Row],[DATE]]-DATE(STAMP_Escapement_Data[[#This Row],[YEAR]],8,1)</f>
        <v>83</v>
      </c>
    </row>
    <row r="754" spans="1:9" x14ac:dyDescent="0.25">
      <c r="A754" s="1">
        <v>35727</v>
      </c>
      <c r="B754">
        <v>1024</v>
      </c>
      <c r="C754">
        <v>1997</v>
      </c>
      <c r="D754">
        <v>1</v>
      </c>
      <c r="E754">
        <v>10</v>
      </c>
      <c r="F754">
        <v>74</v>
      </c>
      <c r="G754">
        <v>1</v>
      </c>
      <c r="H754">
        <f>SUMIFS($F$2:F754,$C$2:C754,C754)</f>
        <v>25762</v>
      </c>
      <c r="I754" s="8">
        <f>STAMP_Escapement_Data[[#This Row],[DATE]]-DATE(STAMP_Escapement_Data[[#This Row],[YEAR]],8,1)</f>
        <v>84</v>
      </c>
    </row>
    <row r="755" spans="1:9" x14ac:dyDescent="0.25">
      <c r="A755" s="1">
        <v>35728</v>
      </c>
      <c r="B755">
        <v>1025</v>
      </c>
      <c r="C755">
        <v>1997</v>
      </c>
      <c r="D755">
        <v>3</v>
      </c>
      <c r="E755">
        <v>18</v>
      </c>
      <c r="F755">
        <v>106</v>
      </c>
      <c r="G755">
        <v>0</v>
      </c>
      <c r="H755">
        <f>SUMIFS($F$2:F755,$C$2:C755,C755)</f>
        <v>25868</v>
      </c>
      <c r="I755" s="8">
        <f>STAMP_Escapement_Data[[#This Row],[DATE]]-DATE(STAMP_Escapement_Data[[#This Row],[YEAR]],8,1)</f>
        <v>85</v>
      </c>
    </row>
    <row r="756" spans="1:9" x14ac:dyDescent="0.25">
      <c r="A756" s="1">
        <v>35729</v>
      </c>
      <c r="B756">
        <v>1026</v>
      </c>
      <c r="C756">
        <v>1997</v>
      </c>
      <c r="D756">
        <v>3</v>
      </c>
      <c r="E756">
        <v>14</v>
      </c>
      <c r="F756">
        <v>96</v>
      </c>
      <c r="G756">
        <v>2</v>
      </c>
      <c r="H756">
        <f>SUMIFS($F$2:F756,$C$2:C756,C756)</f>
        <v>25964</v>
      </c>
      <c r="I756" s="8">
        <f>STAMP_Escapement_Data[[#This Row],[DATE]]-DATE(STAMP_Escapement_Data[[#This Row],[YEAR]],8,1)</f>
        <v>86</v>
      </c>
    </row>
    <row r="757" spans="1:9" x14ac:dyDescent="0.25">
      <c r="A757" s="1">
        <v>35730</v>
      </c>
      <c r="B757">
        <v>1027</v>
      </c>
      <c r="C757">
        <v>1997</v>
      </c>
      <c r="D757">
        <v>5</v>
      </c>
      <c r="E757">
        <v>25</v>
      </c>
      <c r="F757">
        <v>90</v>
      </c>
      <c r="G757">
        <v>2</v>
      </c>
      <c r="H757">
        <f>SUMIFS($F$2:F757,$C$2:C757,C757)</f>
        <v>26054</v>
      </c>
      <c r="I757" s="8">
        <f>STAMP_Escapement_Data[[#This Row],[DATE]]-DATE(STAMP_Escapement_Data[[#This Row],[YEAR]],8,1)</f>
        <v>87</v>
      </c>
    </row>
    <row r="758" spans="1:9" x14ac:dyDescent="0.25">
      <c r="A758" s="1">
        <v>35731</v>
      </c>
      <c r="B758">
        <v>1028</v>
      </c>
      <c r="C758">
        <v>1997</v>
      </c>
      <c r="D758">
        <v>1</v>
      </c>
      <c r="E758">
        <v>9</v>
      </c>
      <c r="F758">
        <v>44</v>
      </c>
      <c r="G758">
        <v>0</v>
      </c>
      <c r="H758">
        <f>SUMIFS($F$2:F758,$C$2:C758,C758)</f>
        <v>26098</v>
      </c>
      <c r="I758" s="8">
        <f>STAMP_Escapement_Data[[#This Row],[DATE]]-DATE(STAMP_Escapement_Data[[#This Row],[YEAR]],8,1)</f>
        <v>88</v>
      </c>
    </row>
    <row r="759" spans="1:9" x14ac:dyDescent="0.25">
      <c r="A759" s="1">
        <v>35732</v>
      </c>
      <c r="B759">
        <v>1029</v>
      </c>
      <c r="C759">
        <v>1997</v>
      </c>
      <c r="D759">
        <v>0</v>
      </c>
      <c r="E759">
        <v>21</v>
      </c>
      <c r="F759">
        <v>17</v>
      </c>
      <c r="G759">
        <v>12</v>
      </c>
      <c r="H759">
        <f>SUMIFS($F$2:F759,$C$2:C759,C759)</f>
        <v>26115</v>
      </c>
      <c r="I759" s="8">
        <f>STAMP_Escapement_Data[[#This Row],[DATE]]-DATE(STAMP_Escapement_Data[[#This Row],[YEAR]],8,1)</f>
        <v>89</v>
      </c>
    </row>
    <row r="760" spans="1:9" x14ac:dyDescent="0.25">
      <c r="A760" s="1">
        <v>35733</v>
      </c>
      <c r="B760">
        <v>1030</v>
      </c>
      <c r="C760">
        <v>1997</v>
      </c>
      <c r="D760">
        <v>0</v>
      </c>
      <c r="E760">
        <v>0</v>
      </c>
      <c r="F760">
        <v>0</v>
      </c>
      <c r="G760">
        <v>0</v>
      </c>
      <c r="H760">
        <f>SUMIFS($F$2:F760,$C$2:C760,C760)</f>
        <v>26115</v>
      </c>
      <c r="I760" s="8">
        <f>STAMP_Escapement_Data[[#This Row],[DATE]]-DATE(STAMP_Escapement_Data[[#This Row],[YEAR]],8,1)</f>
        <v>90</v>
      </c>
    </row>
    <row r="761" spans="1:9" x14ac:dyDescent="0.25">
      <c r="A761" s="1">
        <v>35734</v>
      </c>
      <c r="B761">
        <v>1031</v>
      </c>
      <c r="C761">
        <v>1997</v>
      </c>
      <c r="D761">
        <v>0</v>
      </c>
      <c r="E761">
        <v>0</v>
      </c>
      <c r="F761">
        <v>0</v>
      </c>
      <c r="G761">
        <v>0</v>
      </c>
      <c r="H761">
        <f>SUMIFS($F$2:F761,$C$2:C761,C761)</f>
        <v>26115</v>
      </c>
      <c r="I761" s="8">
        <f>STAMP_Escapement_Data[[#This Row],[DATE]]-DATE(STAMP_Escapement_Data[[#This Row],[YEAR]],8,1)</f>
        <v>91</v>
      </c>
    </row>
    <row r="762" spans="1:9" x14ac:dyDescent="0.25">
      <c r="A762" s="1">
        <v>35735</v>
      </c>
      <c r="B762">
        <v>1101</v>
      </c>
      <c r="C762">
        <v>1997</v>
      </c>
      <c r="D762">
        <v>0</v>
      </c>
      <c r="E762">
        <v>0</v>
      </c>
      <c r="F762">
        <v>0</v>
      </c>
      <c r="G762">
        <v>0</v>
      </c>
      <c r="H762">
        <f>SUMIFS($F$2:F762,$C$2:C762,C762)</f>
        <v>26115</v>
      </c>
      <c r="I762" s="8">
        <f>STAMP_Escapement_Data[[#This Row],[DATE]]-DATE(STAMP_Escapement_Data[[#This Row],[YEAR]],8,1)</f>
        <v>92</v>
      </c>
    </row>
    <row r="763" spans="1:9" x14ac:dyDescent="0.25">
      <c r="A763" s="1">
        <v>35736</v>
      </c>
      <c r="B763">
        <v>1102</v>
      </c>
      <c r="C763">
        <v>1997</v>
      </c>
      <c r="D763">
        <v>0</v>
      </c>
      <c r="E763">
        <v>0</v>
      </c>
      <c r="F763">
        <v>0</v>
      </c>
      <c r="G763">
        <v>0</v>
      </c>
      <c r="H763">
        <f>SUMIFS($F$2:F763,$C$2:C763,C763)</f>
        <v>26115</v>
      </c>
      <c r="I763" s="8">
        <f>STAMP_Escapement_Data[[#This Row],[DATE]]-DATE(STAMP_Escapement_Data[[#This Row],[YEAR]],8,1)</f>
        <v>93</v>
      </c>
    </row>
    <row r="764" spans="1:9" x14ac:dyDescent="0.25">
      <c r="A764" s="1">
        <v>35737</v>
      </c>
      <c r="B764">
        <v>1103</v>
      </c>
      <c r="C764">
        <v>1997</v>
      </c>
      <c r="D764">
        <v>0</v>
      </c>
      <c r="E764">
        <v>0</v>
      </c>
      <c r="F764">
        <v>0</v>
      </c>
      <c r="G764">
        <v>0</v>
      </c>
      <c r="H764">
        <f>SUMIFS($F$2:F764,$C$2:C764,C764)</f>
        <v>26115</v>
      </c>
      <c r="I764" s="8">
        <f>STAMP_Escapement_Data[[#This Row],[DATE]]-DATE(STAMP_Escapement_Data[[#This Row],[YEAR]],8,1)</f>
        <v>94</v>
      </c>
    </row>
    <row r="765" spans="1:9" x14ac:dyDescent="0.25">
      <c r="A765" s="1">
        <v>35738</v>
      </c>
      <c r="B765">
        <v>1104</v>
      </c>
      <c r="C765">
        <v>1997</v>
      </c>
      <c r="D765">
        <v>0</v>
      </c>
      <c r="E765">
        <v>0</v>
      </c>
      <c r="F765">
        <v>0</v>
      </c>
      <c r="G765">
        <v>0</v>
      </c>
      <c r="H765">
        <f>SUMIFS($F$2:F765,$C$2:C765,C765)</f>
        <v>26115</v>
      </c>
      <c r="I765" s="8">
        <f>STAMP_Escapement_Data[[#This Row],[DATE]]-DATE(STAMP_Escapement_Data[[#This Row],[YEAR]],8,1)</f>
        <v>95</v>
      </c>
    </row>
    <row r="766" spans="1:9" x14ac:dyDescent="0.25">
      <c r="A766" s="1">
        <v>35739</v>
      </c>
      <c r="B766">
        <v>1105</v>
      </c>
      <c r="C766">
        <v>1997</v>
      </c>
      <c r="D766">
        <v>0</v>
      </c>
      <c r="E766">
        <v>0</v>
      </c>
      <c r="F766">
        <v>0</v>
      </c>
      <c r="G766">
        <v>0</v>
      </c>
      <c r="H766">
        <f>SUMIFS($F$2:F766,$C$2:C766,C766)</f>
        <v>26115</v>
      </c>
      <c r="I766" s="8">
        <f>STAMP_Escapement_Data[[#This Row],[DATE]]-DATE(STAMP_Escapement_Data[[#This Row],[YEAR]],8,1)</f>
        <v>96</v>
      </c>
    </row>
    <row r="767" spans="1:9" x14ac:dyDescent="0.25">
      <c r="A767" s="1">
        <v>35740</v>
      </c>
      <c r="B767">
        <v>1106</v>
      </c>
      <c r="C767">
        <v>1997</v>
      </c>
      <c r="D767">
        <v>0</v>
      </c>
      <c r="E767">
        <v>0</v>
      </c>
      <c r="F767">
        <v>0</v>
      </c>
      <c r="G767">
        <v>0</v>
      </c>
      <c r="H767">
        <f>SUMIFS($F$2:F767,$C$2:C767,C767)</f>
        <v>26115</v>
      </c>
      <c r="I767" s="8">
        <f>STAMP_Escapement_Data[[#This Row],[DATE]]-DATE(STAMP_Escapement_Data[[#This Row],[YEAR]],8,1)</f>
        <v>97</v>
      </c>
    </row>
    <row r="768" spans="1:9" x14ac:dyDescent="0.25">
      <c r="A768" s="1">
        <v>35741</v>
      </c>
      <c r="B768">
        <v>1107</v>
      </c>
      <c r="C768">
        <v>1997</v>
      </c>
      <c r="D768">
        <v>0</v>
      </c>
      <c r="E768">
        <v>0</v>
      </c>
      <c r="F768">
        <v>0</v>
      </c>
      <c r="G768">
        <v>0</v>
      </c>
      <c r="H768">
        <f>SUMIFS($F$2:F768,$C$2:C768,C768)</f>
        <v>26115</v>
      </c>
      <c r="I768" s="8">
        <f>STAMP_Escapement_Data[[#This Row],[DATE]]-DATE(STAMP_Escapement_Data[[#This Row],[YEAR]],8,1)</f>
        <v>98</v>
      </c>
    </row>
    <row r="769" spans="1:9" x14ac:dyDescent="0.25">
      <c r="A769" s="1">
        <v>35742</v>
      </c>
      <c r="B769">
        <v>1108</v>
      </c>
      <c r="C769">
        <v>1997</v>
      </c>
      <c r="D769">
        <v>0</v>
      </c>
      <c r="E769">
        <v>0</v>
      </c>
      <c r="F769">
        <v>0</v>
      </c>
      <c r="G769">
        <v>0</v>
      </c>
      <c r="H769">
        <f>SUMIFS($F$2:F769,$C$2:C769,C769)</f>
        <v>26115</v>
      </c>
      <c r="I769" s="8">
        <f>STAMP_Escapement_Data[[#This Row],[DATE]]-DATE(STAMP_Escapement_Data[[#This Row],[YEAR]],8,1)</f>
        <v>99</v>
      </c>
    </row>
    <row r="770" spans="1:9" x14ac:dyDescent="0.25">
      <c r="A770" s="1">
        <v>35743</v>
      </c>
      <c r="B770">
        <v>1109</v>
      </c>
      <c r="C770">
        <v>1997</v>
      </c>
      <c r="D770">
        <v>0</v>
      </c>
      <c r="E770">
        <v>0</v>
      </c>
      <c r="F770">
        <v>0</v>
      </c>
      <c r="G770">
        <v>0</v>
      </c>
      <c r="H770">
        <f>SUMIFS($F$2:F770,$C$2:C770,C770)</f>
        <v>26115</v>
      </c>
      <c r="I770" s="8">
        <f>STAMP_Escapement_Data[[#This Row],[DATE]]-DATE(STAMP_Escapement_Data[[#This Row],[YEAR]],8,1)</f>
        <v>100</v>
      </c>
    </row>
    <row r="771" spans="1:9" x14ac:dyDescent="0.25">
      <c r="A771" s="1">
        <v>35744</v>
      </c>
      <c r="B771">
        <v>1110</v>
      </c>
      <c r="C771">
        <v>1997</v>
      </c>
      <c r="D771">
        <v>0</v>
      </c>
      <c r="E771">
        <v>0</v>
      </c>
      <c r="F771">
        <v>0</v>
      </c>
      <c r="G771">
        <v>0</v>
      </c>
      <c r="H771">
        <f>SUMIFS($F$2:F771,$C$2:C771,C771)</f>
        <v>26115</v>
      </c>
      <c r="I771" s="8">
        <f>STAMP_Escapement_Data[[#This Row],[DATE]]-DATE(STAMP_Escapement_Data[[#This Row],[YEAR]],8,1)</f>
        <v>101</v>
      </c>
    </row>
    <row r="772" spans="1:9" x14ac:dyDescent="0.25">
      <c r="A772" s="1">
        <v>36039</v>
      </c>
      <c r="B772">
        <v>901</v>
      </c>
      <c r="C772">
        <v>1998</v>
      </c>
      <c r="H772">
        <f>SUMIFS($F$2:F772,$C$2:C772,C772)</f>
        <v>0</v>
      </c>
      <c r="I772" s="8">
        <f>STAMP_Escapement_Data[[#This Row],[DATE]]-DATE(STAMP_Escapement_Data[[#This Row],[YEAR]],8,1)</f>
        <v>31</v>
      </c>
    </row>
    <row r="773" spans="1:9" x14ac:dyDescent="0.25">
      <c r="A773" s="1">
        <v>36040</v>
      </c>
      <c r="B773">
        <v>902</v>
      </c>
      <c r="C773">
        <v>1998</v>
      </c>
      <c r="D773">
        <v>509</v>
      </c>
      <c r="E773">
        <v>2</v>
      </c>
      <c r="F773">
        <v>6</v>
      </c>
      <c r="G773">
        <v>0</v>
      </c>
      <c r="H773">
        <f>SUMIFS($F$2:F773,$C$2:C773,C773)</f>
        <v>6</v>
      </c>
      <c r="I773" s="8">
        <f>STAMP_Escapement_Data[[#This Row],[DATE]]-DATE(STAMP_Escapement_Data[[#This Row],[YEAR]],8,1)</f>
        <v>32</v>
      </c>
    </row>
    <row r="774" spans="1:9" x14ac:dyDescent="0.25">
      <c r="A774" s="1">
        <v>36040</v>
      </c>
      <c r="B774">
        <v>902</v>
      </c>
      <c r="C774">
        <v>1998</v>
      </c>
      <c r="D774">
        <v>84</v>
      </c>
      <c r="E774">
        <v>5</v>
      </c>
      <c r="F774">
        <v>149</v>
      </c>
      <c r="G774">
        <v>14</v>
      </c>
      <c r="H774">
        <f>SUMIFS($F$2:F774,$C$2:C774,C774)</f>
        <v>155</v>
      </c>
      <c r="I774" s="8">
        <f>STAMP_Escapement_Data[[#This Row],[DATE]]-DATE(STAMP_Escapement_Data[[#This Row],[YEAR]],8,1)</f>
        <v>32</v>
      </c>
    </row>
    <row r="775" spans="1:9" x14ac:dyDescent="0.25">
      <c r="A775" s="1">
        <v>36040</v>
      </c>
      <c r="B775">
        <v>902</v>
      </c>
      <c r="C775">
        <v>1998</v>
      </c>
      <c r="D775">
        <v>4</v>
      </c>
      <c r="E775">
        <v>8</v>
      </c>
      <c r="F775">
        <v>8</v>
      </c>
      <c r="G775">
        <v>0</v>
      </c>
      <c r="H775">
        <f>SUMIFS($F$2:F775,$C$2:C775,C775)</f>
        <v>163</v>
      </c>
      <c r="I775" s="8">
        <f>STAMP_Escapement_Data[[#This Row],[DATE]]-DATE(STAMP_Escapement_Data[[#This Row],[YEAR]],8,1)</f>
        <v>32</v>
      </c>
    </row>
    <row r="776" spans="1:9" x14ac:dyDescent="0.25">
      <c r="A776" s="1">
        <v>36041</v>
      </c>
      <c r="B776">
        <v>903</v>
      </c>
      <c r="C776">
        <v>1998</v>
      </c>
      <c r="D776">
        <v>38</v>
      </c>
      <c r="E776">
        <v>16</v>
      </c>
      <c r="F776">
        <v>208</v>
      </c>
      <c r="G776">
        <v>9</v>
      </c>
      <c r="H776">
        <f>SUMIFS($F$2:F776,$C$2:C776,C776)</f>
        <v>371</v>
      </c>
      <c r="I776" s="8">
        <f>STAMP_Escapement_Data[[#This Row],[DATE]]-DATE(STAMP_Escapement_Data[[#This Row],[YEAR]],8,1)</f>
        <v>33</v>
      </c>
    </row>
    <row r="777" spans="1:9" x14ac:dyDescent="0.25">
      <c r="A777" s="1">
        <v>36042</v>
      </c>
      <c r="B777">
        <v>904</v>
      </c>
      <c r="C777">
        <v>1998</v>
      </c>
      <c r="D777">
        <v>62</v>
      </c>
      <c r="E777">
        <v>20</v>
      </c>
      <c r="F777">
        <v>195</v>
      </c>
      <c r="G777">
        <v>7</v>
      </c>
      <c r="H777">
        <f>SUMIFS($F$2:F777,$C$2:C777,C777)</f>
        <v>566</v>
      </c>
      <c r="I777" s="8">
        <f>STAMP_Escapement_Data[[#This Row],[DATE]]-DATE(STAMP_Escapement_Data[[#This Row],[YEAR]],8,1)</f>
        <v>34</v>
      </c>
    </row>
    <row r="778" spans="1:9" x14ac:dyDescent="0.25">
      <c r="A778" s="1">
        <v>36043</v>
      </c>
      <c r="B778">
        <v>905</v>
      </c>
      <c r="C778">
        <v>1998</v>
      </c>
      <c r="D778">
        <v>105</v>
      </c>
      <c r="E778">
        <v>27</v>
      </c>
      <c r="F778">
        <v>120</v>
      </c>
      <c r="G778">
        <v>5</v>
      </c>
      <c r="H778">
        <f>SUMIFS($F$2:F778,$C$2:C778,C778)</f>
        <v>686</v>
      </c>
      <c r="I778" s="8">
        <f>STAMP_Escapement_Data[[#This Row],[DATE]]-DATE(STAMP_Escapement_Data[[#This Row],[YEAR]],8,1)</f>
        <v>35</v>
      </c>
    </row>
    <row r="779" spans="1:9" x14ac:dyDescent="0.25">
      <c r="A779" s="1">
        <v>36044</v>
      </c>
      <c r="B779">
        <v>906</v>
      </c>
      <c r="C779">
        <v>1998</v>
      </c>
      <c r="D779">
        <v>91</v>
      </c>
      <c r="E779">
        <v>29</v>
      </c>
      <c r="F779">
        <v>55</v>
      </c>
      <c r="G779">
        <v>1</v>
      </c>
      <c r="H779">
        <f>SUMIFS($F$2:F779,$C$2:C779,C779)</f>
        <v>741</v>
      </c>
      <c r="I779" s="8">
        <f>STAMP_Escapement_Data[[#This Row],[DATE]]-DATE(STAMP_Escapement_Data[[#This Row],[YEAR]],8,1)</f>
        <v>36</v>
      </c>
    </row>
    <row r="780" spans="1:9" x14ac:dyDescent="0.25">
      <c r="A780" s="1">
        <v>36045</v>
      </c>
      <c r="B780">
        <v>907</v>
      </c>
      <c r="C780">
        <v>1998</v>
      </c>
      <c r="D780">
        <v>144</v>
      </c>
      <c r="E780">
        <v>72</v>
      </c>
      <c r="F780">
        <v>263</v>
      </c>
      <c r="G780">
        <v>12</v>
      </c>
      <c r="H780">
        <f>SUMIFS($F$2:F780,$C$2:C780,C780)</f>
        <v>1004</v>
      </c>
      <c r="I780" s="8">
        <f>STAMP_Escapement_Data[[#This Row],[DATE]]-DATE(STAMP_Escapement_Data[[#This Row],[YEAR]],8,1)</f>
        <v>37</v>
      </c>
    </row>
    <row r="781" spans="1:9" x14ac:dyDescent="0.25">
      <c r="A781" s="1">
        <v>36046</v>
      </c>
      <c r="B781">
        <v>908</v>
      </c>
      <c r="C781">
        <v>1998</v>
      </c>
      <c r="D781">
        <v>249</v>
      </c>
      <c r="E781">
        <v>56</v>
      </c>
      <c r="F781">
        <v>334</v>
      </c>
      <c r="G781">
        <v>3</v>
      </c>
      <c r="H781">
        <f>SUMIFS($F$2:F781,$C$2:C781,C781)</f>
        <v>1338</v>
      </c>
      <c r="I781" s="8">
        <f>STAMP_Escapement_Data[[#This Row],[DATE]]-DATE(STAMP_Escapement_Data[[#This Row],[YEAR]],8,1)</f>
        <v>38</v>
      </c>
    </row>
    <row r="782" spans="1:9" x14ac:dyDescent="0.25">
      <c r="A782" s="1">
        <v>36047</v>
      </c>
      <c r="B782">
        <v>909</v>
      </c>
      <c r="C782">
        <v>1998</v>
      </c>
      <c r="D782">
        <v>170</v>
      </c>
      <c r="E782">
        <v>59</v>
      </c>
      <c r="F782">
        <v>586</v>
      </c>
      <c r="G782">
        <v>21</v>
      </c>
      <c r="H782">
        <f>SUMIFS($F$2:F782,$C$2:C782,C782)</f>
        <v>1924</v>
      </c>
      <c r="I782" s="8">
        <f>STAMP_Escapement_Data[[#This Row],[DATE]]-DATE(STAMP_Escapement_Data[[#This Row],[YEAR]],8,1)</f>
        <v>39</v>
      </c>
    </row>
    <row r="783" spans="1:9" x14ac:dyDescent="0.25">
      <c r="A783" s="1">
        <v>36048</v>
      </c>
      <c r="B783">
        <v>910</v>
      </c>
      <c r="C783">
        <v>1998</v>
      </c>
      <c r="D783">
        <v>49</v>
      </c>
      <c r="E783">
        <v>18</v>
      </c>
      <c r="F783">
        <v>244</v>
      </c>
      <c r="G783">
        <v>3</v>
      </c>
      <c r="H783">
        <f>SUMIFS($F$2:F783,$C$2:C783,C783)</f>
        <v>2168</v>
      </c>
      <c r="I783" s="8">
        <f>STAMP_Escapement_Data[[#This Row],[DATE]]-DATE(STAMP_Escapement_Data[[#This Row],[YEAR]],8,1)</f>
        <v>40</v>
      </c>
    </row>
    <row r="784" spans="1:9" x14ac:dyDescent="0.25">
      <c r="A784" s="1">
        <v>36049</v>
      </c>
      <c r="B784">
        <v>911</v>
      </c>
      <c r="C784">
        <v>1998</v>
      </c>
      <c r="D784">
        <v>39</v>
      </c>
      <c r="E784">
        <v>12</v>
      </c>
      <c r="F784">
        <v>283</v>
      </c>
      <c r="G784">
        <v>1</v>
      </c>
      <c r="H784">
        <f>SUMIFS($F$2:F784,$C$2:C784,C784)</f>
        <v>2451</v>
      </c>
      <c r="I784" s="8">
        <f>STAMP_Escapement_Data[[#This Row],[DATE]]-DATE(STAMP_Escapement_Data[[#This Row],[YEAR]],8,1)</f>
        <v>41</v>
      </c>
    </row>
    <row r="785" spans="1:9" x14ac:dyDescent="0.25">
      <c r="A785" s="1">
        <v>36050</v>
      </c>
      <c r="B785">
        <v>912</v>
      </c>
      <c r="C785">
        <v>1998</v>
      </c>
      <c r="D785">
        <v>86</v>
      </c>
      <c r="E785">
        <v>45</v>
      </c>
      <c r="F785">
        <v>219</v>
      </c>
      <c r="G785">
        <v>6</v>
      </c>
      <c r="H785">
        <f>SUMIFS($F$2:F785,$C$2:C785,C785)</f>
        <v>2670</v>
      </c>
      <c r="I785" s="8">
        <f>STAMP_Escapement_Data[[#This Row],[DATE]]-DATE(STAMP_Escapement_Data[[#This Row],[YEAR]],8,1)</f>
        <v>42</v>
      </c>
    </row>
    <row r="786" spans="1:9" x14ac:dyDescent="0.25">
      <c r="A786" s="1">
        <v>36051</v>
      </c>
      <c r="B786">
        <v>913</v>
      </c>
      <c r="C786">
        <v>1998</v>
      </c>
      <c r="D786">
        <v>106</v>
      </c>
      <c r="E786">
        <v>36</v>
      </c>
      <c r="F786">
        <v>148</v>
      </c>
      <c r="G786">
        <v>3</v>
      </c>
      <c r="H786">
        <f>SUMIFS($F$2:F786,$C$2:C786,C786)</f>
        <v>2818</v>
      </c>
      <c r="I786" s="8">
        <f>STAMP_Escapement_Data[[#This Row],[DATE]]-DATE(STAMP_Escapement_Data[[#This Row],[YEAR]],8,1)</f>
        <v>43</v>
      </c>
    </row>
    <row r="787" spans="1:9" x14ac:dyDescent="0.25">
      <c r="A787" s="1">
        <v>36052</v>
      </c>
      <c r="B787">
        <v>914</v>
      </c>
      <c r="C787">
        <v>1998</v>
      </c>
      <c r="D787">
        <v>127</v>
      </c>
      <c r="E787">
        <v>54</v>
      </c>
      <c r="F787">
        <v>110</v>
      </c>
      <c r="G787">
        <v>2</v>
      </c>
      <c r="H787">
        <f>SUMIFS($F$2:F787,$C$2:C787,C787)</f>
        <v>2928</v>
      </c>
      <c r="I787" s="8">
        <f>STAMP_Escapement_Data[[#This Row],[DATE]]-DATE(STAMP_Escapement_Data[[#This Row],[YEAR]],8,1)</f>
        <v>44</v>
      </c>
    </row>
    <row r="788" spans="1:9" x14ac:dyDescent="0.25">
      <c r="A788" s="1">
        <v>36053</v>
      </c>
      <c r="B788">
        <v>915</v>
      </c>
      <c r="C788">
        <v>1998</v>
      </c>
      <c r="D788">
        <v>226</v>
      </c>
      <c r="E788">
        <v>183</v>
      </c>
      <c r="F788">
        <v>82</v>
      </c>
      <c r="G788">
        <v>4</v>
      </c>
      <c r="H788">
        <f>SUMIFS($F$2:F788,$C$2:C788,C788)</f>
        <v>3010</v>
      </c>
      <c r="I788" s="8">
        <f>STAMP_Escapement_Data[[#This Row],[DATE]]-DATE(STAMP_Escapement_Data[[#This Row],[YEAR]],8,1)</f>
        <v>45</v>
      </c>
    </row>
    <row r="789" spans="1:9" x14ac:dyDescent="0.25">
      <c r="A789" s="1">
        <v>36054</v>
      </c>
      <c r="B789">
        <v>916</v>
      </c>
      <c r="C789">
        <v>1998</v>
      </c>
      <c r="D789">
        <v>321</v>
      </c>
      <c r="E789">
        <v>189</v>
      </c>
      <c r="F789">
        <v>131</v>
      </c>
      <c r="G789">
        <v>5</v>
      </c>
      <c r="H789">
        <f>SUMIFS($F$2:F789,$C$2:C789,C789)</f>
        <v>3141</v>
      </c>
      <c r="I789" s="8">
        <f>STAMP_Escapement_Data[[#This Row],[DATE]]-DATE(STAMP_Escapement_Data[[#This Row],[YEAR]],8,1)</f>
        <v>46</v>
      </c>
    </row>
    <row r="790" spans="1:9" x14ac:dyDescent="0.25">
      <c r="A790" s="1">
        <v>36055</v>
      </c>
      <c r="B790">
        <v>917</v>
      </c>
      <c r="C790">
        <v>1998</v>
      </c>
      <c r="D790">
        <v>594</v>
      </c>
      <c r="E790">
        <v>199</v>
      </c>
      <c r="F790">
        <v>151</v>
      </c>
      <c r="G790">
        <v>4</v>
      </c>
      <c r="H790">
        <f>SUMIFS($F$2:F790,$C$2:C790,C790)</f>
        <v>3292</v>
      </c>
      <c r="I790" s="8">
        <f>STAMP_Escapement_Data[[#This Row],[DATE]]-DATE(STAMP_Escapement_Data[[#This Row],[YEAR]],8,1)</f>
        <v>47</v>
      </c>
    </row>
    <row r="791" spans="1:9" x14ac:dyDescent="0.25">
      <c r="A791" s="1">
        <v>36056</v>
      </c>
      <c r="B791">
        <v>918</v>
      </c>
      <c r="C791">
        <v>1998</v>
      </c>
      <c r="D791">
        <v>319</v>
      </c>
      <c r="E791">
        <v>47</v>
      </c>
      <c r="F791">
        <v>186</v>
      </c>
      <c r="G791">
        <v>9</v>
      </c>
      <c r="H791">
        <f>SUMIFS($F$2:F791,$C$2:C791,C791)</f>
        <v>3478</v>
      </c>
      <c r="I791" s="8">
        <f>STAMP_Escapement_Data[[#This Row],[DATE]]-DATE(STAMP_Escapement_Data[[#This Row],[YEAR]],8,1)</f>
        <v>48</v>
      </c>
    </row>
    <row r="792" spans="1:9" x14ac:dyDescent="0.25">
      <c r="A792" s="1">
        <v>36057</v>
      </c>
      <c r="B792">
        <v>919</v>
      </c>
      <c r="C792">
        <v>1998</v>
      </c>
      <c r="D792">
        <v>656</v>
      </c>
      <c r="E792">
        <v>96</v>
      </c>
      <c r="F792">
        <v>227</v>
      </c>
      <c r="G792">
        <v>4</v>
      </c>
      <c r="H792">
        <f>SUMIFS($F$2:F792,$C$2:C792,C792)</f>
        <v>3705</v>
      </c>
      <c r="I792" s="8">
        <f>STAMP_Escapement_Data[[#This Row],[DATE]]-DATE(STAMP_Escapement_Data[[#This Row],[YEAR]],8,1)</f>
        <v>49</v>
      </c>
    </row>
    <row r="793" spans="1:9" x14ac:dyDescent="0.25">
      <c r="A793" s="1">
        <v>36058</v>
      </c>
      <c r="B793">
        <v>920</v>
      </c>
      <c r="C793">
        <v>1998</v>
      </c>
      <c r="D793">
        <v>1295</v>
      </c>
      <c r="E793">
        <v>201</v>
      </c>
      <c r="F793">
        <v>219</v>
      </c>
      <c r="G793">
        <v>3</v>
      </c>
      <c r="H793">
        <f>SUMIFS($F$2:F793,$C$2:C793,C793)</f>
        <v>3924</v>
      </c>
      <c r="I793" s="8">
        <f>STAMP_Escapement_Data[[#This Row],[DATE]]-DATE(STAMP_Escapement_Data[[#This Row],[YEAR]],8,1)</f>
        <v>50</v>
      </c>
    </row>
    <row r="794" spans="1:9" x14ac:dyDescent="0.25">
      <c r="A794" s="1">
        <v>36059</v>
      </c>
      <c r="B794">
        <v>921</v>
      </c>
      <c r="C794">
        <v>1998</v>
      </c>
      <c r="D794">
        <v>1041</v>
      </c>
      <c r="E794">
        <v>176</v>
      </c>
      <c r="F794">
        <v>189</v>
      </c>
      <c r="G794">
        <v>2</v>
      </c>
      <c r="H794">
        <f>SUMIFS($F$2:F794,$C$2:C794,C794)</f>
        <v>4113</v>
      </c>
      <c r="I794" s="8">
        <f>STAMP_Escapement_Data[[#This Row],[DATE]]-DATE(STAMP_Escapement_Data[[#This Row],[YEAR]],8,1)</f>
        <v>51</v>
      </c>
    </row>
    <row r="795" spans="1:9" x14ac:dyDescent="0.25">
      <c r="A795" s="1">
        <v>36060</v>
      </c>
      <c r="B795">
        <v>922</v>
      </c>
      <c r="C795">
        <v>1998</v>
      </c>
      <c r="D795">
        <v>1244</v>
      </c>
      <c r="E795">
        <v>219</v>
      </c>
      <c r="F795">
        <v>172</v>
      </c>
      <c r="G795">
        <v>3</v>
      </c>
      <c r="H795">
        <f>SUMIFS($F$2:F795,$C$2:C795,C795)</f>
        <v>4285</v>
      </c>
      <c r="I795" s="8">
        <f>STAMP_Escapement_Data[[#This Row],[DATE]]-DATE(STAMP_Escapement_Data[[#This Row],[YEAR]],8,1)</f>
        <v>52</v>
      </c>
    </row>
    <row r="796" spans="1:9" x14ac:dyDescent="0.25">
      <c r="A796" s="1">
        <v>36061</v>
      </c>
      <c r="B796">
        <v>923</v>
      </c>
      <c r="C796">
        <v>1998</v>
      </c>
      <c r="D796">
        <v>1611</v>
      </c>
      <c r="E796">
        <v>221</v>
      </c>
      <c r="F796">
        <v>130</v>
      </c>
      <c r="G796">
        <v>1</v>
      </c>
      <c r="H796">
        <f>SUMIFS($F$2:F796,$C$2:C796,C796)</f>
        <v>4415</v>
      </c>
      <c r="I796" s="8">
        <f>STAMP_Escapement_Data[[#This Row],[DATE]]-DATE(STAMP_Escapement_Data[[#This Row],[YEAR]],8,1)</f>
        <v>53</v>
      </c>
    </row>
    <row r="797" spans="1:9" x14ac:dyDescent="0.25">
      <c r="A797" s="1">
        <v>36062</v>
      </c>
      <c r="B797">
        <v>924</v>
      </c>
      <c r="C797">
        <v>1998</v>
      </c>
      <c r="D797">
        <v>2337</v>
      </c>
      <c r="E797">
        <v>267</v>
      </c>
      <c r="F797">
        <v>205</v>
      </c>
      <c r="G797">
        <v>5</v>
      </c>
      <c r="H797">
        <f>SUMIFS($F$2:F797,$C$2:C797,C797)</f>
        <v>4620</v>
      </c>
      <c r="I797" s="8">
        <f>STAMP_Escapement_Data[[#This Row],[DATE]]-DATE(STAMP_Escapement_Data[[#This Row],[YEAR]],8,1)</f>
        <v>54</v>
      </c>
    </row>
    <row r="798" spans="1:9" x14ac:dyDescent="0.25">
      <c r="A798" s="1">
        <v>36063</v>
      </c>
      <c r="B798">
        <v>925</v>
      </c>
      <c r="C798">
        <v>1998</v>
      </c>
      <c r="D798">
        <v>2323</v>
      </c>
      <c r="E798">
        <v>265</v>
      </c>
      <c r="F798">
        <v>202</v>
      </c>
      <c r="G798">
        <v>10</v>
      </c>
      <c r="H798">
        <f>SUMIFS($F$2:F798,$C$2:C798,C798)</f>
        <v>4822</v>
      </c>
      <c r="I798" s="8">
        <f>STAMP_Escapement_Data[[#This Row],[DATE]]-DATE(STAMP_Escapement_Data[[#This Row],[YEAR]],8,1)</f>
        <v>55</v>
      </c>
    </row>
    <row r="799" spans="1:9" x14ac:dyDescent="0.25">
      <c r="A799" s="1">
        <v>36064</v>
      </c>
      <c r="B799">
        <v>926</v>
      </c>
      <c r="C799">
        <v>1998</v>
      </c>
      <c r="D799">
        <v>1987</v>
      </c>
      <c r="E799">
        <v>113</v>
      </c>
      <c r="F799">
        <v>182</v>
      </c>
      <c r="G799">
        <v>2</v>
      </c>
      <c r="H799">
        <f>SUMIFS($F$2:F799,$C$2:C799,C799)</f>
        <v>5004</v>
      </c>
      <c r="I799" s="8">
        <f>STAMP_Escapement_Data[[#This Row],[DATE]]-DATE(STAMP_Escapement_Data[[#This Row],[YEAR]],8,1)</f>
        <v>56</v>
      </c>
    </row>
    <row r="800" spans="1:9" x14ac:dyDescent="0.25">
      <c r="A800" s="1">
        <v>36065</v>
      </c>
      <c r="B800">
        <v>927</v>
      </c>
      <c r="C800">
        <v>1998</v>
      </c>
      <c r="D800">
        <v>1815</v>
      </c>
      <c r="E800">
        <v>105</v>
      </c>
      <c r="F800">
        <v>124</v>
      </c>
      <c r="G800">
        <v>3</v>
      </c>
      <c r="H800">
        <f>SUMIFS($F$2:F800,$C$2:C800,C800)</f>
        <v>5128</v>
      </c>
      <c r="I800" s="8">
        <f>STAMP_Escapement_Data[[#This Row],[DATE]]-DATE(STAMP_Escapement_Data[[#This Row],[YEAR]],8,1)</f>
        <v>57</v>
      </c>
    </row>
    <row r="801" spans="1:9" x14ac:dyDescent="0.25">
      <c r="A801" s="1">
        <v>36066</v>
      </c>
      <c r="B801">
        <v>928</v>
      </c>
      <c r="C801">
        <v>1998</v>
      </c>
      <c r="D801">
        <v>1695</v>
      </c>
      <c r="E801">
        <v>89</v>
      </c>
      <c r="F801">
        <v>130</v>
      </c>
      <c r="G801">
        <v>0</v>
      </c>
      <c r="H801">
        <f>SUMIFS($F$2:F801,$C$2:C801,C801)</f>
        <v>5258</v>
      </c>
      <c r="I801" s="8">
        <f>STAMP_Escapement_Data[[#This Row],[DATE]]-DATE(STAMP_Escapement_Data[[#This Row],[YEAR]],8,1)</f>
        <v>58</v>
      </c>
    </row>
    <row r="802" spans="1:9" x14ac:dyDescent="0.25">
      <c r="A802" s="1">
        <v>36067</v>
      </c>
      <c r="B802">
        <v>929</v>
      </c>
      <c r="C802">
        <v>1998</v>
      </c>
      <c r="D802">
        <v>2142</v>
      </c>
      <c r="E802">
        <v>181</v>
      </c>
      <c r="F802">
        <v>165</v>
      </c>
      <c r="G802">
        <v>0</v>
      </c>
      <c r="H802">
        <f>SUMIFS($F$2:F802,$C$2:C802,C802)</f>
        <v>5423</v>
      </c>
      <c r="I802" s="8">
        <f>STAMP_Escapement_Data[[#This Row],[DATE]]-DATE(STAMP_Escapement_Data[[#This Row],[YEAR]],8,1)</f>
        <v>59</v>
      </c>
    </row>
    <row r="803" spans="1:9" x14ac:dyDescent="0.25">
      <c r="A803" s="1">
        <v>36068</v>
      </c>
      <c r="B803">
        <v>930</v>
      </c>
      <c r="C803">
        <v>1998</v>
      </c>
      <c r="D803">
        <v>2135</v>
      </c>
      <c r="E803">
        <v>238</v>
      </c>
      <c r="F803">
        <v>207</v>
      </c>
      <c r="G803">
        <v>4</v>
      </c>
      <c r="H803">
        <f>SUMIFS($F$2:F803,$C$2:C803,C803)</f>
        <v>5630</v>
      </c>
      <c r="I803" s="8">
        <f>STAMP_Escapement_Data[[#This Row],[DATE]]-DATE(STAMP_Escapement_Data[[#This Row],[YEAR]],8,1)</f>
        <v>60</v>
      </c>
    </row>
    <row r="804" spans="1:9" x14ac:dyDescent="0.25">
      <c r="A804" s="1">
        <v>36069</v>
      </c>
      <c r="B804">
        <v>1001</v>
      </c>
      <c r="C804">
        <v>1998</v>
      </c>
      <c r="D804">
        <v>1833</v>
      </c>
      <c r="E804">
        <v>182</v>
      </c>
      <c r="F804">
        <v>101</v>
      </c>
      <c r="G804">
        <v>13</v>
      </c>
      <c r="H804">
        <f>SUMIFS($F$2:F804,$C$2:C804,C804)</f>
        <v>5731</v>
      </c>
      <c r="I804" s="8">
        <f>STAMP_Escapement_Data[[#This Row],[DATE]]-DATE(STAMP_Escapement_Data[[#This Row],[YEAR]],8,1)</f>
        <v>61</v>
      </c>
    </row>
    <row r="805" spans="1:9" x14ac:dyDescent="0.25">
      <c r="A805" s="1">
        <v>36070</v>
      </c>
      <c r="B805">
        <v>1002</v>
      </c>
      <c r="C805">
        <v>1998</v>
      </c>
      <c r="D805">
        <v>1824</v>
      </c>
      <c r="E805">
        <v>229</v>
      </c>
      <c r="F805">
        <v>247</v>
      </c>
      <c r="G805">
        <v>1</v>
      </c>
      <c r="H805">
        <f>SUMIFS($F$2:F805,$C$2:C805,C805)</f>
        <v>5978</v>
      </c>
      <c r="I805" s="8">
        <f>STAMP_Escapement_Data[[#This Row],[DATE]]-DATE(STAMP_Escapement_Data[[#This Row],[YEAR]],8,1)</f>
        <v>62</v>
      </c>
    </row>
    <row r="806" spans="1:9" x14ac:dyDescent="0.25">
      <c r="A806" s="1">
        <v>36071</v>
      </c>
      <c r="B806">
        <v>1003</v>
      </c>
      <c r="C806">
        <v>1998</v>
      </c>
      <c r="D806">
        <v>2462</v>
      </c>
      <c r="E806">
        <v>211</v>
      </c>
      <c r="F806">
        <v>375</v>
      </c>
      <c r="G806">
        <v>6</v>
      </c>
      <c r="H806">
        <f>SUMIFS($F$2:F806,$C$2:C806,C806)</f>
        <v>6353</v>
      </c>
      <c r="I806" s="8">
        <f>STAMP_Escapement_Data[[#This Row],[DATE]]-DATE(STAMP_Escapement_Data[[#This Row],[YEAR]],8,1)</f>
        <v>63</v>
      </c>
    </row>
    <row r="807" spans="1:9" x14ac:dyDescent="0.25">
      <c r="A807" s="1">
        <v>36072</v>
      </c>
      <c r="B807">
        <v>1004</v>
      </c>
      <c r="C807">
        <v>1998</v>
      </c>
      <c r="D807">
        <v>2846</v>
      </c>
      <c r="E807">
        <v>166</v>
      </c>
      <c r="F807">
        <v>330</v>
      </c>
      <c r="G807">
        <v>4</v>
      </c>
      <c r="H807">
        <f>SUMIFS($F$2:F807,$C$2:C807,C807)</f>
        <v>6683</v>
      </c>
      <c r="I807" s="8">
        <f>STAMP_Escapement_Data[[#This Row],[DATE]]-DATE(STAMP_Escapement_Data[[#This Row],[YEAR]],8,1)</f>
        <v>64</v>
      </c>
    </row>
    <row r="808" spans="1:9" x14ac:dyDescent="0.25">
      <c r="A808" s="1">
        <v>36073</v>
      </c>
      <c r="B808">
        <v>1005</v>
      </c>
      <c r="C808">
        <v>1998</v>
      </c>
      <c r="D808">
        <v>2885</v>
      </c>
      <c r="E808">
        <v>236</v>
      </c>
      <c r="F808">
        <v>461</v>
      </c>
      <c r="G808">
        <v>2</v>
      </c>
      <c r="H808">
        <f>SUMIFS($F$2:F808,$C$2:C808,C808)</f>
        <v>7144</v>
      </c>
      <c r="I808" s="8">
        <f>STAMP_Escapement_Data[[#This Row],[DATE]]-DATE(STAMP_Escapement_Data[[#This Row],[YEAR]],8,1)</f>
        <v>65</v>
      </c>
    </row>
    <row r="809" spans="1:9" x14ac:dyDescent="0.25">
      <c r="A809" s="1">
        <v>36074</v>
      </c>
      <c r="B809">
        <v>1006</v>
      </c>
      <c r="C809">
        <v>1998</v>
      </c>
      <c r="D809">
        <v>2439</v>
      </c>
      <c r="E809">
        <v>77</v>
      </c>
      <c r="F809">
        <v>487</v>
      </c>
      <c r="G809">
        <v>6</v>
      </c>
      <c r="H809">
        <f>SUMIFS($F$2:F809,$C$2:C809,C809)</f>
        <v>7631</v>
      </c>
      <c r="I809" s="8">
        <f>STAMP_Escapement_Data[[#This Row],[DATE]]-DATE(STAMP_Escapement_Data[[#This Row],[YEAR]],8,1)</f>
        <v>66</v>
      </c>
    </row>
    <row r="810" spans="1:9" x14ac:dyDescent="0.25">
      <c r="A810" s="1">
        <v>36075</v>
      </c>
      <c r="B810">
        <v>1007</v>
      </c>
      <c r="C810">
        <v>1998</v>
      </c>
      <c r="D810">
        <v>2582</v>
      </c>
      <c r="E810">
        <v>175</v>
      </c>
      <c r="F810">
        <v>507</v>
      </c>
      <c r="G810">
        <v>9</v>
      </c>
      <c r="H810">
        <f>SUMIFS($F$2:F810,$C$2:C810,C810)</f>
        <v>8138</v>
      </c>
      <c r="I810" s="8">
        <f>STAMP_Escapement_Data[[#This Row],[DATE]]-DATE(STAMP_Escapement_Data[[#This Row],[YEAR]],8,1)</f>
        <v>67</v>
      </c>
    </row>
    <row r="811" spans="1:9" x14ac:dyDescent="0.25">
      <c r="A811" s="1">
        <v>36076</v>
      </c>
      <c r="B811">
        <v>1008</v>
      </c>
      <c r="C811">
        <v>1998</v>
      </c>
      <c r="D811">
        <v>1541</v>
      </c>
      <c r="E811">
        <v>129</v>
      </c>
      <c r="F811">
        <v>669</v>
      </c>
      <c r="G811">
        <v>16</v>
      </c>
      <c r="H811">
        <f>SUMIFS($F$2:F811,$C$2:C811,C811)</f>
        <v>8807</v>
      </c>
      <c r="I811" s="8">
        <f>STAMP_Escapement_Data[[#This Row],[DATE]]-DATE(STAMP_Escapement_Data[[#This Row],[YEAR]],8,1)</f>
        <v>68</v>
      </c>
    </row>
    <row r="812" spans="1:9" x14ac:dyDescent="0.25">
      <c r="A812" s="1">
        <v>36077</v>
      </c>
      <c r="B812">
        <v>1009</v>
      </c>
      <c r="C812">
        <v>1998</v>
      </c>
      <c r="D812">
        <v>1118</v>
      </c>
      <c r="E812">
        <v>105</v>
      </c>
      <c r="F812">
        <v>615</v>
      </c>
      <c r="G812">
        <v>13</v>
      </c>
      <c r="H812">
        <f>SUMIFS($F$2:F812,$C$2:C812,C812)</f>
        <v>9422</v>
      </c>
      <c r="I812" s="8">
        <f>STAMP_Escapement_Data[[#This Row],[DATE]]-DATE(STAMP_Escapement_Data[[#This Row],[YEAR]],8,1)</f>
        <v>69</v>
      </c>
    </row>
    <row r="813" spans="1:9" x14ac:dyDescent="0.25">
      <c r="A813" s="1">
        <v>36078</v>
      </c>
      <c r="B813">
        <v>1010</v>
      </c>
      <c r="C813">
        <v>1998</v>
      </c>
      <c r="D813">
        <v>1203</v>
      </c>
      <c r="E813">
        <v>117</v>
      </c>
      <c r="F813">
        <v>1137</v>
      </c>
      <c r="G813">
        <v>15</v>
      </c>
      <c r="H813">
        <f>SUMIFS($F$2:F813,$C$2:C813,C813)</f>
        <v>10559</v>
      </c>
      <c r="I813" s="8">
        <f>STAMP_Escapement_Data[[#This Row],[DATE]]-DATE(STAMP_Escapement_Data[[#This Row],[YEAR]],8,1)</f>
        <v>70</v>
      </c>
    </row>
    <row r="814" spans="1:9" x14ac:dyDescent="0.25">
      <c r="A814" s="1">
        <v>36079</v>
      </c>
      <c r="B814">
        <v>1011</v>
      </c>
      <c r="C814">
        <v>1998</v>
      </c>
      <c r="D814">
        <v>1901</v>
      </c>
      <c r="E814">
        <v>154</v>
      </c>
      <c r="F814">
        <v>1345</v>
      </c>
      <c r="G814">
        <v>23</v>
      </c>
      <c r="H814">
        <f>SUMIFS($F$2:F814,$C$2:C814,C814)</f>
        <v>11904</v>
      </c>
      <c r="I814" s="8">
        <f>STAMP_Escapement_Data[[#This Row],[DATE]]-DATE(STAMP_Escapement_Data[[#This Row],[YEAR]],8,1)</f>
        <v>71</v>
      </c>
    </row>
    <row r="815" spans="1:9" x14ac:dyDescent="0.25">
      <c r="A815" s="1">
        <v>36080</v>
      </c>
      <c r="B815">
        <v>1012</v>
      </c>
      <c r="C815">
        <v>1998</v>
      </c>
      <c r="D815">
        <v>1328</v>
      </c>
      <c r="E815">
        <v>68</v>
      </c>
      <c r="F815">
        <v>2409</v>
      </c>
      <c r="G815">
        <v>11</v>
      </c>
      <c r="H815">
        <f>SUMIFS($F$2:F815,$C$2:C815,C815)</f>
        <v>14313</v>
      </c>
      <c r="I815" s="8">
        <f>STAMP_Escapement_Data[[#This Row],[DATE]]-DATE(STAMP_Escapement_Data[[#This Row],[YEAR]],8,1)</f>
        <v>72</v>
      </c>
    </row>
    <row r="816" spans="1:9" x14ac:dyDescent="0.25">
      <c r="A816" s="1">
        <v>36081</v>
      </c>
      <c r="B816">
        <v>1013</v>
      </c>
      <c r="C816">
        <v>1998</v>
      </c>
      <c r="D816">
        <v>3705</v>
      </c>
      <c r="E816">
        <v>199</v>
      </c>
      <c r="F816">
        <v>3035</v>
      </c>
      <c r="G816">
        <v>33</v>
      </c>
      <c r="H816">
        <f>SUMIFS($F$2:F816,$C$2:C816,C816)</f>
        <v>17348</v>
      </c>
      <c r="I816" s="8">
        <f>STAMP_Escapement_Data[[#This Row],[DATE]]-DATE(STAMP_Escapement_Data[[#This Row],[YEAR]],8,1)</f>
        <v>73</v>
      </c>
    </row>
    <row r="817" spans="1:9" x14ac:dyDescent="0.25">
      <c r="A817" s="1">
        <v>36082</v>
      </c>
      <c r="B817">
        <v>1014</v>
      </c>
      <c r="C817">
        <v>1998</v>
      </c>
      <c r="D817">
        <v>1998</v>
      </c>
      <c r="E817">
        <v>112</v>
      </c>
      <c r="F817">
        <v>2132</v>
      </c>
      <c r="G817">
        <v>19</v>
      </c>
      <c r="H817">
        <f>SUMIFS($F$2:F817,$C$2:C817,C817)</f>
        <v>19480</v>
      </c>
      <c r="I817" s="8">
        <f>STAMP_Escapement_Data[[#This Row],[DATE]]-DATE(STAMP_Escapement_Data[[#This Row],[YEAR]],8,1)</f>
        <v>74</v>
      </c>
    </row>
    <row r="818" spans="1:9" x14ac:dyDescent="0.25">
      <c r="A818" s="1">
        <v>36083</v>
      </c>
      <c r="B818">
        <v>1015</v>
      </c>
      <c r="C818">
        <v>1998</v>
      </c>
      <c r="D818">
        <v>798</v>
      </c>
      <c r="E818">
        <v>66</v>
      </c>
      <c r="F818">
        <v>946</v>
      </c>
      <c r="G818">
        <v>16</v>
      </c>
      <c r="H818">
        <f>SUMIFS($F$2:F818,$C$2:C818,C818)</f>
        <v>20426</v>
      </c>
      <c r="I818" s="8">
        <f>STAMP_Escapement_Data[[#This Row],[DATE]]-DATE(STAMP_Escapement_Data[[#This Row],[YEAR]],8,1)</f>
        <v>75</v>
      </c>
    </row>
    <row r="819" spans="1:9" x14ac:dyDescent="0.25">
      <c r="A819" s="1">
        <v>36084</v>
      </c>
      <c r="B819">
        <v>1016</v>
      </c>
      <c r="C819">
        <v>1998</v>
      </c>
      <c r="D819">
        <v>729</v>
      </c>
      <c r="E819">
        <v>46</v>
      </c>
      <c r="F819">
        <v>1124</v>
      </c>
      <c r="G819">
        <v>8</v>
      </c>
      <c r="H819">
        <f>SUMIFS($F$2:F819,$C$2:C819,C819)</f>
        <v>21550</v>
      </c>
      <c r="I819" s="8">
        <f>STAMP_Escapement_Data[[#This Row],[DATE]]-DATE(STAMP_Escapement_Data[[#This Row],[YEAR]],8,1)</f>
        <v>76</v>
      </c>
    </row>
    <row r="820" spans="1:9" x14ac:dyDescent="0.25">
      <c r="A820" s="1">
        <v>36085</v>
      </c>
      <c r="B820">
        <v>1017</v>
      </c>
      <c r="C820">
        <v>1998</v>
      </c>
      <c r="D820">
        <v>1033</v>
      </c>
      <c r="E820">
        <v>118</v>
      </c>
      <c r="F820">
        <v>1642</v>
      </c>
      <c r="G820">
        <v>23</v>
      </c>
      <c r="H820">
        <f>SUMIFS($F$2:F820,$C$2:C820,C820)</f>
        <v>23192</v>
      </c>
      <c r="I820" s="8">
        <f>STAMP_Escapement_Data[[#This Row],[DATE]]-DATE(STAMP_Escapement_Data[[#This Row],[YEAR]],8,1)</f>
        <v>77</v>
      </c>
    </row>
    <row r="821" spans="1:9" x14ac:dyDescent="0.25">
      <c r="A821" s="1">
        <v>36086</v>
      </c>
      <c r="B821">
        <v>1018</v>
      </c>
      <c r="C821">
        <v>1998</v>
      </c>
      <c r="D821">
        <v>2602</v>
      </c>
      <c r="E821">
        <v>160</v>
      </c>
      <c r="F821">
        <v>1609</v>
      </c>
      <c r="G821">
        <v>22</v>
      </c>
      <c r="H821">
        <f>SUMIFS($F$2:F821,$C$2:C821,C821)</f>
        <v>24801</v>
      </c>
      <c r="I821" s="8">
        <f>STAMP_Escapement_Data[[#This Row],[DATE]]-DATE(STAMP_Escapement_Data[[#This Row],[YEAR]],8,1)</f>
        <v>78</v>
      </c>
    </row>
    <row r="822" spans="1:9" x14ac:dyDescent="0.25">
      <c r="A822" s="1">
        <v>36087</v>
      </c>
      <c r="B822">
        <v>1019</v>
      </c>
      <c r="C822">
        <v>1998</v>
      </c>
      <c r="D822">
        <v>1135</v>
      </c>
      <c r="E822">
        <v>69</v>
      </c>
      <c r="F822">
        <v>1229</v>
      </c>
      <c r="G822">
        <v>25</v>
      </c>
      <c r="H822">
        <f>SUMIFS($F$2:F822,$C$2:C822,C822)</f>
        <v>26030</v>
      </c>
      <c r="I822" s="8">
        <f>STAMP_Escapement_Data[[#This Row],[DATE]]-DATE(STAMP_Escapement_Data[[#This Row],[YEAR]],8,1)</f>
        <v>79</v>
      </c>
    </row>
    <row r="823" spans="1:9" x14ac:dyDescent="0.25">
      <c r="A823" s="1">
        <v>36088</v>
      </c>
      <c r="B823">
        <v>1020</v>
      </c>
      <c r="C823">
        <v>1998</v>
      </c>
      <c r="D823">
        <v>817</v>
      </c>
      <c r="E823">
        <v>21</v>
      </c>
      <c r="F823">
        <v>1316</v>
      </c>
      <c r="G823">
        <v>18</v>
      </c>
      <c r="H823">
        <f>SUMIFS($F$2:F823,$C$2:C823,C823)</f>
        <v>27346</v>
      </c>
      <c r="I823" s="8">
        <f>STAMP_Escapement_Data[[#This Row],[DATE]]-DATE(STAMP_Escapement_Data[[#This Row],[YEAR]],8,1)</f>
        <v>80</v>
      </c>
    </row>
    <row r="824" spans="1:9" x14ac:dyDescent="0.25">
      <c r="A824" s="1">
        <v>36089</v>
      </c>
      <c r="B824">
        <v>1021</v>
      </c>
      <c r="C824">
        <v>1998</v>
      </c>
      <c r="D824">
        <v>672</v>
      </c>
      <c r="E824">
        <v>40</v>
      </c>
      <c r="F824">
        <v>1280</v>
      </c>
      <c r="G824">
        <v>7</v>
      </c>
      <c r="H824">
        <f>SUMIFS($F$2:F824,$C$2:C824,C824)</f>
        <v>28626</v>
      </c>
      <c r="I824" s="8">
        <f>STAMP_Escapement_Data[[#This Row],[DATE]]-DATE(STAMP_Escapement_Data[[#This Row],[YEAR]],8,1)</f>
        <v>81</v>
      </c>
    </row>
    <row r="825" spans="1:9" x14ac:dyDescent="0.25">
      <c r="A825" s="1">
        <v>36090</v>
      </c>
      <c r="B825">
        <v>1022</v>
      </c>
      <c r="C825">
        <v>1998</v>
      </c>
      <c r="D825">
        <v>714</v>
      </c>
      <c r="E825">
        <v>32</v>
      </c>
      <c r="F825">
        <v>1301</v>
      </c>
      <c r="G825">
        <v>11</v>
      </c>
      <c r="H825">
        <f>SUMIFS($F$2:F825,$C$2:C825,C825)</f>
        <v>29927</v>
      </c>
      <c r="I825" s="8">
        <f>STAMP_Escapement_Data[[#This Row],[DATE]]-DATE(STAMP_Escapement_Data[[#This Row],[YEAR]],8,1)</f>
        <v>82</v>
      </c>
    </row>
    <row r="826" spans="1:9" x14ac:dyDescent="0.25">
      <c r="A826" s="1">
        <v>36091</v>
      </c>
      <c r="B826">
        <v>1023</v>
      </c>
      <c r="C826">
        <v>1998</v>
      </c>
      <c r="D826">
        <v>609</v>
      </c>
      <c r="E826">
        <v>32</v>
      </c>
      <c r="F826">
        <v>1154</v>
      </c>
      <c r="G826">
        <v>5</v>
      </c>
      <c r="H826">
        <f>SUMIFS($F$2:F826,$C$2:C826,C826)</f>
        <v>31081</v>
      </c>
      <c r="I826" s="8">
        <f>STAMP_Escapement_Data[[#This Row],[DATE]]-DATE(STAMP_Escapement_Data[[#This Row],[YEAR]],8,1)</f>
        <v>83</v>
      </c>
    </row>
    <row r="827" spans="1:9" x14ac:dyDescent="0.25">
      <c r="A827" s="1">
        <v>36092</v>
      </c>
      <c r="B827">
        <v>1024</v>
      </c>
      <c r="C827">
        <v>1998</v>
      </c>
      <c r="D827">
        <v>646</v>
      </c>
      <c r="E827">
        <v>34</v>
      </c>
      <c r="F827">
        <v>1144</v>
      </c>
      <c r="G827">
        <v>12</v>
      </c>
      <c r="H827">
        <f>SUMIFS($F$2:F827,$C$2:C827,C827)</f>
        <v>32225</v>
      </c>
      <c r="I827" s="8">
        <f>STAMP_Escapement_Data[[#This Row],[DATE]]-DATE(STAMP_Escapement_Data[[#This Row],[YEAR]],8,1)</f>
        <v>84</v>
      </c>
    </row>
    <row r="828" spans="1:9" x14ac:dyDescent="0.25">
      <c r="A828" s="1">
        <v>36093</v>
      </c>
      <c r="B828">
        <v>1025</v>
      </c>
      <c r="C828">
        <v>1998</v>
      </c>
      <c r="D828">
        <v>694</v>
      </c>
      <c r="E828">
        <v>41</v>
      </c>
      <c r="F828">
        <v>1030</v>
      </c>
      <c r="G828">
        <v>15</v>
      </c>
      <c r="H828">
        <f>SUMIFS($F$2:F828,$C$2:C828,C828)</f>
        <v>33255</v>
      </c>
      <c r="I828" s="8">
        <f>STAMP_Escapement_Data[[#This Row],[DATE]]-DATE(STAMP_Escapement_Data[[#This Row],[YEAR]],8,1)</f>
        <v>85</v>
      </c>
    </row>
    <row r="829" spans="1:9" x14ac:dyDescent="0.25">
      <c r="A829" s="1">
        <v>36094</v>
      </c>
      <c r="B829">
        <v>1026</v>
      </c>
      <c r="C829">
        <v>1998</v>
      </c>
      <c r="D829">
        <v>538</v>
      </c>
      <c r="E829">
        <v>43</v>
      </c>
      <c r="F829">
        <v>1010</v>
      </c>
      <c r="G829">
        <v>5</v>
      </c>
      <c r="H829">
        <f>SUMIFS($F$2:F829,$C$2:C829,C829)</f>
        <v>34265</v>
      </c>
      <c r="I829" s="8">
        <f>STAMP_Escapement_Data[[#This Row],[DATE]]-DATE(STAMP_Escapement_Data[[#This Row],[YEAR]],8,1)</f>
        <v>86</v>
      </c>
    </row>
    <row r="830" spans="1:9" x14ac:dyDescent="0.25">
      <c r="A830" s="1">
        <v>36095</v>
      </c>
      <c r="B830">
        <v>1027</v>
      </c>
      <c r="C830">
        <v>1998</v>
      </c>
      <c r="D830">
        <v>623</v>
      </c>
      <c r="E830">
        <v>25</v>
      </c>
      <c r="F830">
        <v>882</v>
      </c>
      <c r="G830">
        <v>6</v>
      </c>
      <c r="H830">
        <f>SUMIFS($F$2:F830,$C$2:C830,C830)</f>
        <v>35147</v>
      </c>
      <c r="I830" s="8">
        <f>STAMP_Escapement_Data[[#This Row],[DATE]]-DATE(STAMP_Escapement_Data[[#This Row],[YEAR]],8,1)</f>
        <v>87</v>
      </c>
    </row>
    <row r="831" spans="1:9" x14ac:dyDescent="0.25">
      <c r="A831" s="1">
        <v>36096</v>
      </c>
      <c r="B831">
        <v>1028</v>
      </c>
      <c r="C831">
        <v>1998</v>
      </c>
      <c r="D831">
        <v>940</v>
      </c>
      <c r="E831">
        <v>14</v>
      </c>
      <c r="F831">
        <v>878</v>
      </c>
      <c r="G831">
        <v>2</v>
      </c>
      <c r="H831">
        <f>SUMIFS($F$2:F831,$C$2:C831,C831)</f>
        <v>36025</v>
      </c>
      <c r="I831" s="8">
        <f>STAMP_Escapement_Data[[#This Row],[DATE]]-DATE(STAMP_Escapement_Data[[#This Row],[YEAR]],8,1)</f>
        <v>88</v>
      </c>
    </row>
    <row r="832" spans="1:9" x14ac:dyDescent="0.25">
      <c r="A832" s="1">
        <v>36097</v>
      </c>
      <c r="B832">
        <v>1029</v>
      </c>
      <c r="C832">
        <v>1998</v>
      </c>
      <c r="D832">
        <v>627</v>
      </c>
      <c r="E832">
        <v>11</v>
      </c>
      <c r="F832">
        <v>674</v>
      </c>
      <c r="G832">
        <v>4</v>
      </c>
      <c r="H832">
        <f>SUMIFS($F$2:F832,$C$2:C832,C832)</f>
        <v>36699</v>
      </c>
      <c r="I832" s="8">
        <f>STAMP_Escapement_Data[[#This Row],[DATE]]-DATE(STAMP_Escapement_Data[[#This Row],[YEAR]],8,1)</f>
        <v>89</v>
      </c>
    </row>
    <row r="833" spans="1:9" x14ac:dyDescent="0.25">
      <c r="A833" s="1">
        <v>36098</v>
      </c>
      <c r="B833">
        <v>1030</v>
      </c>
      <c r="C833">
        <v>1998</v>
      </c>
      <c r="D833">
        <v>257</v>
      </c>
      <c r="E833">
        <v>11</v>
      </c>
      <c r="F833">
        <v>487</v>
      </c>
      <c r="G833">
        <v>2</v>
      </c>
      <c r="H833">
        <f>SUMIFS($F$2:F833,$C$2:C833,C833)</f>
        <v>37186</v>
      </c>
      <c r="I833" s="8">
        <f>STAMP_Escapement_Data[[#This Row],[DATE]]-DATE(STAMP_Escapement_Data[[#This Row],[YEAR]],8,1)</f>
        <v>90</v>
      </c>
    </row>
    <row r="834" spans="1:9" x14ac:dyDescent="0.25">
      <c r="A834" s="1">
        <v>36099</v>
      </c>
      <c r="B834">
        <v>1031</v>
      </c>
      <c r="C834">
        <v>1998</v>
      </c>
      <c r="D834">
        <v>126</v>
      </c>
      <c r="E834">
        <v>8</v>
      </c>
      <c r="F834">
        <v>333</v>
      </c>
      <c r="G834">
        <v>1</v>
      </c>
      <c r="H834">
        <f>SUMIFS($F$2:F834,$C$2:C834,C834)</f>
        <v>37519</v>
      </c>
      <c r="I834" s="8">
        <f>STAMP_Escapement_Data[[#This Row],[DATE]]-DATE(STAMP_Escapement_Data[[#This Row],[YEAR]],8,1)</f>
        <v>91</v>
      </c>
    </row>
    <row r="835" spans="1:9" x14ac:dyDescent="0.25">
      <c r="A835" s="1">
        <v>36100</v>
      </c>
      <c r="B835">
        <v>1101</v>
      </c>
      <c r="C835">
        <v>1998</v>
      </c>
      <c r="D835">
        <v>273</v>
      </c>
      <c r="E835">
        <v>10</v>
      </c>
      <c r="F835">
        <v>223</v>
      </c>
      <c r="G835">
        <v>4</v>
      </c>
      <c r="H835">
        <f>SUMIFS($F$2:F835,$C$2:C835,C835)</f>
        <v>37742</v>
      </c>
      <c r="I835" s="8">
        <f>STAMP_Escapement_Data[[#This Row],[DATE]]-DATE(STAMP_Escapement_Data[[#This Row],[YEAR]],8,1)</f>
        <v>92</v>
      </c>
    </row>
    <row r="836" spans="1:9" x14ac:dyDescent="0.25">
      <c r="A836" s="1">
        <v>36101</v>
      </c>
      <c r="B836">
        <v>1102</v>
      </c>
      <c r="C836">
        <v>1998</v>
      </c>
      <c r="D836">
        <v>317</v>
      </c>
      <c r="E836">
        <v>11</v>
      </c>
      <c r="F836">
        <v>192</v>
      </c>
      <c r="G836">
        <v>8</v>
      </c>
      <c r="H836">
        <f>SUMIFS($F$2:F836,$C$2:C836,C836)</f>
        <v>37934</v>
      </c>
      <c r="I836" s="8">
        <f>STAMP_Escapement_Data[[#This Row],[DATE]]-DATE(STAMP_Escapement_Data[[#This Row],[YEAR]],8,1)</f>
        <v>93</v>
      </c>
    </row>
    <row r="837" spans="1:9" x14ac:dyDescent="0.25">
      <c r="A837" s="1">
        <v>36102</v>
      </c>
      <c r="B837">
        <v>1103</v>
      </c>
      <c r="C837">
        <v>1998</v>
      </c>
      <c r="D837">
        <v>126</v>
      </c>
      <c r="E837">
        <v>10</v>
      </c>
      <c r="F837">
        <v>61</v>
      </c>
      <c r="G837">
        <v>1</v>
      </c>
      <c r="H837">
        <f>SUMIFS($F$2:F837,$C$2:C837,C837)</f>
        <v>37995</v>
      </c>
      <c r="I837" s="8">
        <f>STAMP_Escapement_Data[[#This Row],[DATE]]-DATE(STAMP_Escapement_Data[[#This Row],[YEAR]],8,1)</f>
        <v>94</v>
      </c>
    </row>
    <row r="838" spans="1:9" x14ac:dyDescent="0.25">
      <c r="A838" s="1">
        <v>36103</v>
      </c>
      <c r="B838">
        <v>1104</v>
      </c>
      <c r="C838">
        <v>1998</v>
      </c>
      <c r="D838">
        <v>45</v>
      </c>
      <c r="E838">
        <v>3</v>
      </c>
      <c r="F838">
        <v>20</v>
      </c>
      <c r="G838">
        <v>1</v>
      </c>
      <c r="H838">
        <f>SUMIFS($F$2:F838,$C$2:C838,C838)</f>
        <v>38015</v>
      </c>
      <c r="I838" s="8">
        <f>STAMP_Escapement_Data[[#This Row],[DATE]]-DATE(STAMP_Escapement_Data[[#This Row],[YEAR]],8,1)</f>
        <v>95</v>
      </c>
    </row>
    <row r="839" spans="1:9" x14ac:dyDescent="0.25">
      <c r="A839" s="1">
        <v>36104</v>
      </c>
      <c r="B839">
        <v>1105</v>
      </c>
      <c r="C839">
        <v>1998</v>
      </c>
      <c r="D839">
        <v>74</v>
      </c>
      <c r="E839">
        <v>1</v>
      </c>
      <c r="F839">
        <v>37</v>
      </c>
      <c r="G839">
        <v>0</v>
      </c>
      <c r="H839">
        <f>SUMIFS($F$2:F839,$C$2:C839,C839)</f>
        <v>38052</v>
      </c>
      <c r="I839" s="8">
        <f>STAMP_Escapement_Data[[#This Row],[DATE]]-DATE(STAMP_Escapement_Data[[#This Row],[YEAR]],8,1)</f>
        <v>96</v>
      </c>
    </row>
    <row r="840" spans="1:9" x14ac:dyDescent="0.25">
      <c r="A840" s="1">
        <v>36105</v>
      </c>
      <c r="B840">
        <v>1106</v>
      </c>
      <c r="C840">
        <v>1998</v>
      </c>
      <c r="D840">
        <v>104</v>
      </c>
      <c r="E840">
        <v>3</v>
      </c>
      <c r="F840">
        <v>22</v>
      </c>
      <c r="G840">
        <v>0</v>
      </c>
      <c r="H840">
        <f>SUMIFS($F$2:F840,$C$2:C840,C840)</f>
        <v>38074</v>
      </c>
      <c r="I840" s="8">
        <f>STAMP_Escapement_Data[[#This Row],[DATE]]-DATE(STAMP_Escapement_Data[[#This Row],[YEAR]],8,1)</f>
        <v>97</v>
      </c>
    </row>
    <row r="841" spans="1:9" x14ac:dyDescent="0.25">
      <c r="A841" s="1">
        <v>36106</v>
      </c>
      <c r="B841">
        <v>1107</v>
      </c>
      <c r="C841">
        <v>1998</v>
      </c>
      <c r="D841">
        <v>44</v>
      </c>
      <c r="E841">
        <v>2</v>
      </c>
      <c r="F841">
        <v>10</v>
      </c>
      <c r="G841">
        <v>0</v>
      </c>
      <c r="H841">
        <f>SUMIFS($F$2:F841,$C$2:C841,C841)</f>
        <v>38084</v>
      </c>
      <c r="I841" s="8">
        <f>STAMP_Escapement_Data[[#This Row],[DATE]]-DATE(STAMP_Escapement_Data[[#This Row],[YEAR]],8,1)</f>
        <v>98</v>
      </c>
    </row>
    <row r="842" spans="1:9" x14ac:dyDescent="0.25">
      <c r="A842" s="1">
        <v>36107</v>
      </c>
      <c r="B842">
        <v>1108</v>
      </c>
      <c r="C842">
        <v>1998</v>
      </c>
      <c r="D842">
        <v>34</v>
      </c>
      <c r="E842">
        <v>3</v>
      </c>
      <c r="F842">
        <v>7</v>
      </c>
      <c r="G842">
        <v>0</v>
      </c>
      <c r="H842">
        <f>SUMIFS($F$2:F842,$C$2:C842,C842)</f>
        <v>38091</v>
      </c>
      <c r="I842" s="8">
        <f>STAMP_Escapement_Data[[#This Row],[DATE]]-DATE(STAMP_Escapement_Data[[#This Row],[YEAR]],8,1)</f>
        <v>99</v>
      </c>
    </row>
    <row r="843" spans="1:9" x14ac:dyDescent="0.25">
      <c r="A843" s="1">
        <v>36108</v>
      </c>
      <c r="B843">
        <v>1109</v>
      </c>
      <c r="C843">
        <v>1998</v>
      </c>
      <c r="D843">
        <v>39</v>
      </c>
      <c r="E843">
        <v>4</v>
      </c>
      <c r="F843">
        <v>7</v>
      </c>
      <c r="G843">
        <v>0</v>
      </c>
      <c r="H843">
        <f>SUMIFS($F$2:F843,$C$2:C843,C843)</f>
        <v>38098</v>
      </c>
      <c r="I843" s="8">
        <f>STAMP_Escapement_Data[[#This Row],[DATE]]-DATE(STAMP_Escapement_Data[[#This Row],[YEAR]],8,1)</f>
        <v>100</v>
      </c>
    </row>
    <row r="844" spans="1:9" x14ac:dyDescent="0.25">
      <c r="A844" s="1">
        <v>36109</v>
      </c>
      <c r="B844">
        <v>1110</v>
      </c>
      <c r="C844">
        <v>1998</v>
      </c>
      <c r="D844">
        <v>12</v>
      </c>
      <c r="E844">
        <v>1</v>
      </c>
      <c r="F844">
        <v>5</v>
      </c>
      <c r="G844">
        <v>0</v>
      </c>
      <c r="H844">
        <f>SUMIFS($F$2:F844,$C$2:C844,C844)</f>
        <v>38103</v>
      </c>
      <c r="I844" s="8">
        <f>STAMP_Escapement_Data[[#This Row],[DATE]]-DATE(STAMP_Escapement_Data[[#This Row],[YEAR]],8,1)</f>
        <v>101</v>
      </c>
    </row>
    <row r="845" spans="1:9" x14ac:dyDescent="0.25">
      <c r="A845" s="1">
        <v>36404</v>
      </c>
      <c r="B845">
        <v>901</v>
      </c>
      <c r="C845">
        <v>1999</v>
      </c>
      <c r="D845">
        <v>35</v>
      </c>
      <c r="E845">
        <v>9</v>
      </c>
      <c r="F845">
        <v>5</v>
      </c>
      <c r="G845">
        <v>0</v>
      </c>
      <c r="H845">
        <f>SUMIFS($F$2:F845,$C$2:C845,C845)</f>
        <v>5</v>
      </c>
      <c r="I845" s="8">
        <f>STAMP_Escapement_Data[[#This Row],[DATE]]-DATE(STAMP_Escapement_Data[[#This Row],[YEAR]],8,1)</f>
        <v>31</v>
      </c>
    </row>
    <row r="846" spans="1:9" x14ac:dyDescent="0.25">
      <c r="A846" s="1">
        <v>36405</v>
      </c>
      <c r="B846">
        <v>902</v>
      </c>
      <c r="C846">
        <v>1999</v>
      </c>
      <c r="D846">
        <v>330</v>
      </c>
      <c r="E846">
        <v>48</v>
      </c>
      <c r="F846">
        <v>56</v>
      </c>
      <c r="G846">
        <v>1</v>
      </c>
      <c r="H846">
        <f>SUMIFS($F$2:F846,$C$2:C846,C846)</f>
        <v>61</v>
      </c>
      <c r="I846" s="8">
        <f>STAMP_Escapement_Data[[#This Row],[DATE]]-DATE(STAMP_Escapement_Data[[#This Row],[YEAR]],8,1)</f>
        <v>32</v>
      </c>
    </row>
    <row r="847" spans="1:9" x14ac:dyDescent="0.25">
      <c r="A847" s="1">
        <v>36406</v>
      </c>
      <c r="B847">
        <v>903</v>
      </c>
      <c r="C847">
        <v>1999</v>
      </c>
      <c r="D847">
        <v>887</v>
      </c>
      <c r="E847">
        <v>51</v>
      </c>
      <c r="F847">
        <v>83</v>
      </c>
      <c r="G847">
        <v>6</v>
      </c>
      <c r="H847">
        <f>SUMIFS($F$2:F847,$C$2:C847,C847)</f>
        <v>144</v>
      </c>
      <c r="I847" s="8">
        <f>STAMP_Escapement_Data[[#This Row],[DATE]]-DATE(STAMP_Escapement_Data[[#This Row],[YEAR]],8,1)</f>
        <v>33</v>
      </c>
    </row>
    <row r="848" spans="1:9" x14ac:dyDescent="0.25">
      <c r="A848" s="1">
        <v>36406</v>
      </c>
      <c r="B848">
        <v>903</v>
      </c>
      <c r="C848">
        <v>1999</v>
      </c>
      <c r="D848">
        <v>464</v>
      </c>
      <c r="E848">
        <v>61</v>
      </c>
      <c r="F848">
        <v>63</v>
      </c>
      <c r="G848">
        <v>0</v>
      </c>
      <c r="H848">
        <f>SUMIFS($F$2:F848,$C$2:C848,C848)</f>
        <v>207</v>
      </c>
      <c r="I848" s="8">
        <f>STAMP_Escapement_Data[[#This Row],[DATE]]-DATE(STAMP_Escapement_Data[[#This Row],[YEAR]],8,1)</f>
        <v>33</v>
      </c>
    </row>
    <row r="849" spans="1:9" x14ac:dyDescent="0.25">
      <c r="A849" s="1">
        <v>36407</v>
      </c>
      <c r="B849">
        <v>904</v>
      </c>
      <c r="C849">
        <v>1999</v>
      </c>
      <c r="D849">
        <v>800</v>
      </c>
      <c r="E849">
        <v>77</v>
      </c>
      <c r="F849">
        <v>229</v>
      </c>
      <c r="G849">
        <v>9</v>
      </c>
      <c r="H849">
        <f>SUMIFS($F$2:F849,$C$2:C849,C849)</f>
        <v>436</v>
      </c>
      <c r="I849" s="8">
        <f>STAMP_Escapement_Data[[#This Row],[DATE]]-DATE(STAMP_Escapement_Data[[#This Row],[YEAR]],8,1)</f>
        <v>34</v>
      </c>
    </row>
    <row r="850" spans="1:9" x14ac:dyDescent="0.25">
      <c r="A850" s="1">
        <v>36408</v>
      </c>
      <c r="B850">
        <v>905</v>
      </c>
      <c r="C850">
        <v>1999</v>
      </c>
      <c r="D850">
        <v>857</v>
      </c>
      <c r="E850">
        <v>94</v>
      </c>
      <c r="F850">
        <v>140</v>
      </c>
      <c r="G850">
        <v>4</v>
      </c>
      <c r="H850">
        <f>SUMIFS($F$2:F850,$C$2:C850,C850)</f>
        <v>576</v>
      </c>
      <c r="I850" s="8">
        <f>STAMP_Escapement_Data[[#This Row],[DATE]]-DATE(STAMP_Escapement_Data[[#This Row],[YEAR]],8,1)</f>
        <v>35</v>
      </c>
    </row>
    <row r="851" spans="1:9" x14ac:dyDescent="0.25">
      <c r="A851" s="1">
        <v>36409</v>
      </c>
      <c r="B851">
        <v>906</v>
      </c>
      <c r="C851">
        <v>1999</v>
      </c>
      <c r="D851">
        <v>1033</v>
      </c>
      <c r="E851">
        <v>93</v>
      </c>
      <c r="F851">
        <v>105</v>
      </c>
      <c r="G851">
        <v>3</v>
      </c>
      <c r="H851">
        <f>SUMIFS($F$2:F851,$C$2:C851,C851)</f>
        <v>681</v>
      </c>
      <c r="I851" s="8">
        <f>STAMP_Escapement_Data[[#This Row],[DATE]]-DATE(STAMP_Escapement_Data[[#This Row],[YEAR]],8,1)</f>
        <v>36</v>
      </c>
    </row>
    <row r="852" spans="1:9" x14ac:dyDescent="0.25">
      <c r="A852" s="1">
        <v>36410</v>
      </c>
      <c r="B852">
        <v>907</v>
      </c>
      <c r="C852">
        <v>1999</v>
      </c>
      <c r="D852">
        <v>1355</v>
      </c>
      <c r="E852">
        <v>99</v>
      </c>
      <c r="F852">
        <v>85</v>
      </c>
      <c r="G852">
        <v>9</v>
      </c>
      <c r="H852">
        <f>SUMIFS($F$2:F852,$C$2:C852,C852)</f>
        <v>766</v>
      </c>
      <c r="I852" s="8">
        <f>STAMP_Escapement_Data[[#This Row],[DATE]]-DATE(STAMP_Escapement_Data[[#This Row],[YEAR]],8,1)</f>
        <v>37</v>
      </c>
    </row>
    <row r="853" spans="1:9" x14ac:dyDescent="0.25">
      <c r="A853" s="1">
        <v>36411</v>
      </c>
      <c r="B853">
        <v>908</v>
      </c>
      <c r="C853">
        <v>1999</v>
      </c>
      <c r="D853">
        <v>464</v>
      </c>
      <c r="E853">
        <v>64</v>
      </c>
      <c r="F853">
        <v>81</v>
      </c>
      <c r="G853">
        <v>3</v>
      </c>
      <c r="H853">
        <f>SUMIFS($F$2:F853,$C$2:C853,C853)</f>
        <v>847</v>
      </c>
      <c r="I853" s="8">
        <f>STAMP_Escapement_Data[[#This Row],[DATE]]-DATE(STAMP_Escapement_Data[[#This Row],[YEAR]],8,1)</f>
        <v>38</v>
      </c>
    </row>
    <row r="854" spans="1:9" x14ac:dyDescent="0.25">
      <c r="A854" s="1">
        <v>36412</v>
      </c>
      <c r="B854">
        <v>909</v>
      </c>
      <c r="C854">
        <v>1999</v>
      </c>
      <c r="D854">
        <v>1053</v>
      </c>
      <c r="E854">
        <v>86</v>
      </c>
      <c r="F854">
        <v>84</v>
      </c>
      <c r="G854">
        <v>12</v>
      </c>
      <c r="H854">
        <f>SUMIFS($F$2:F854,$C$2:C854,C854)</f>
        <v>931</v>
      </c>
      <c r="I854" s="8">
        <f>STAMP_Escapement_Data[[#This Row],[DATE]]-DATE(STAMP_Escapement_Data[[#This Row],[YEAR]],8,1)</f>
        <v>39</v>
      </c>
    </row>
    <row r="855" spans="1:9" x14ac:dyDescent="0.25">
      <c r="A855" s="1">
        <v>36413</v>
      </c>
      <c r="B855">
        <v>910</v>
      </c>
      <c r="C855">
        <v>1999</v>
      </c>
      <c r="D855">
        <v>2000</v>
      </c>
      <c r="E855">
        <v>141</v>
      </c>
      <c r="F855">
        <v>128</v>
      </c>
      <c r="G855">
        <v>34</v>
      </c>
      <c r="H855">
        <f>SUMIFS($F$2:F855,$C$2:C855,C855)</f>
        <v>1059</v>
      </c>
      <c r="I855" s="8">
        <f>STAMP_Escapement_Data[[#This Row],[DATE]]-DATE(STAMP_Escapement_Data[[#This Row],[YEAR]],8,1)</f>
        <v>40</v>
      </c>
    </row>
    <row r="856" spans="1:9" x14ac:dyDescent="0.25">
      <c r="A856" s="1">
        <v>36414</v>
      </c>
      <c r="B856">
        <v>911</v>
      </c>
      <c r="C856">
        <v>1999</v>
      </c>
      <c r="D856">
        <v>1921</v>
      </c>
      <c r="E856">
        <v>204</v>
      </c>
      <c r="F856">
        <v>136</v>
      </c>
      <c r="G856">
        <v>26</v>
      </c>
      <c r="H856">
        <f>SUMIFS($F$2:F856,$C$2:C856,C856)</f>
        <v>1195</v>
      </c>
      <c r="I856" s="8">
        <f>STAMP_Escapement_Data[[#This Row],[DATE]]-DATE(STAMP_Escapement_Data[[#This Row],[YEAR]],8,1)</f>
        <v>41</v>
      </c>
    </row>
    <row r="857" spans="1:9" x14ac:dyDescent="0.25">
      <c r="A857" s="1">
        <v>36415</v>
      </c>
      <c r="B857">
        <v>912</v>
      </c>
      <c r="C857">
        <v>1999</v>
      </c>
      <c r="D857">
        <v>1741</v>
      </c>
      <c r="E857">
        <v>166</v>
      </c>
      <c r="F857">
        <v>43</v>
      </c>
      <c r="G857">
        <v>15</v>
      </c>
      <c r="H857">
        <f>SUMIFS($F$2:F857,$C$2:C857,C857)</f>
        <v>1238</v>
      </c>
      <c r="I857" s="8">
        <f>STAMP_Escapement_Data[[#This Row],[DATE]]-DATE(STAMP_Escapement_Data[[#This Row],[YEAR]],8,1)</f>
        <v>42</v>
      </c>
    </row>
    <row r="858" spans="1:9" x14ac:dyDescent="0.25">
      <c r="A858" s="1">
        <v>36416</v>
      </c>
      <c r="B858">
        <v>913</v>
      </c>
      <c r="C858">
        <v>1999</v>
      </c>
      <c r="D858">
        <v>1618</v>
      </c>
      <c r="E858">
        <v>234</v>
      </c>
      <c r="F858">
        <v>33</v>
      </c>
      <c r="G858">
        <v>1</v>
      </c>
      <c r="H858">
        <f>SUMIFS($F$2:F858,$C$2:C858,C858)</f>
        <v>1271</v>
      </c>
      <c r="I858" s="8">
        <f>STAMP_Escapement_Data[[#This Row],[DATE]]-DATE(STAMP_Escapement_Data[[#This Row],[YEAR]],8,1)</f>
        <v>43</v>
      </c>
    </row>
    <row r="859" spans="1:9" x14ac:dyDescent="0.25">
      <c r="A859" s="1">
        <v>36417</v>
      </c>
      <c r="B859">
        <v>914</v>
      </c>
      <c r="C859">
        <v>1999</v>
      </c>
      <c r="D859">
        <v>2227</v>
      </c>
      <c r="E859">
        <v>403</v>
      </c>
      <c r="F859">
        <v>143</v>
      </c>
      <c r="G859">
        <v>41</v>
      </c>
      <c r="H859">
        <f>SUMIFS($F$2:F859,$C$2:C859,C859)</f>
        <v>1414</v>
      </c>
      <c r="I859" s="8">
        <f>STAMP_Escapement_Data[[#This Row],[DATE]]-DATE(STAMP_Escapement_Data[[#This Row],[YEAR]],8,1)</f>
        <v>44</v>
      </c>
    </row>
    <row r="860" spans="1:9" x14ac:dyDescent="0.25">
      <c r="A860" s="1">
        <v>36418</v>
      </c>
      <c r="B860">
        <v>915</v>
      </c>
      <c r="C860">
        <v>1999</v>
      </c>
      <c r="D860">
        <v>1456</v>
      </c>
      <c r="E860">
        <v>386</v>
      </c>
      <c r="F860">
        <v>126</v>
      </c>
      <c r="G860">
        <v>12</v>
      </c>
      <c r="H860">
        <f>SUMIFS($F$2:F860,$C$2:C860,C860)</f>
        <v>1540</v>
      </c>
      <c r="I860" s="8">
        <f>STAMP_Escapement_Data[[#This Row],[DATE]]-DATE(STAMP_Escapement_Data[[#This Row],[YEAR]],8,1)</f>
        <v>45</v>
      </c>
    </row>
    <row r="861" spans="1:9" x14ac:dyDescent="0.25">
      <c r="A861" s="1">
        <v>36419</v>
      </c>
      <c r="B861">
        <v>916</v>
      </c>
      <c r="C861">
        <v>1999</v>
      </c>
      <c r="D861">
        <v>1808</v>
      </c>
      <c r="E861">
        <v>378</v>
      </c>
      <c r="F861">
        <v>238</v>
      </c>
      <c r="G861">
        <v>28</v>
      </c>
      <c r="H861">
        <f>SUMIFS($F$2:F861,$C$2:C861,C861)</f>
        <v>1778</v>
      </c>
      <c r="I861" s="8">
        <f>STAMP_Escapement_Data[[#This Row],[DATE]]-DATE(STAMP_Escapement_Data[[#This Row],[YEAR]],8,1)</f>
        <v>46</v>
      </c>
    </row>
    <row r="862" spans="1:9" x14ac:dyDescent="0.25">
      <c r="A862" s="1">
        <v>36420</v>
      </c>
      <c r="B862">
        <v>917</v>
      </c>
      <c r="C862">
        <v>1999</v>
      </c>
      <c r="D862">
        <v>965</v>
      </c>
      <c r="E862">
        <v>189</v>
      </c>
      <c r="F862">
        <v>339</v>
      </c>
      <c r="G862">
        <v>35</v>
      </c>
      <c r="H862">
        <f>SUMIFS($F$2:F862,$C$2:C862,C862)</f>
        <v>2117</v>
      </c>
      <c r="I862" s="8">
        <f>STAMP_Escapement_Data[[#This Row],[DATE]]-DATE(STAMP_Escapement_Data[[#This Row],[YEAR]],8,1)</f>
        <v>47</v>
      </c>
    </row>
    <row r="863" spans="1:9" x14ac:dyDescent="0.25">
      <c r="A863" s="1">
        <v>36421</v>
      </c>
      <c r="B863">
        <v>918</v>
      </c>
      <c r="C863">
        <v>1999</v>
      </c>
      <c r="D863">
        <v>414</v>
      </c>
      <c r="E863">
        <v>99</v>
      </c>
      <c r="F863">
        <v>106</v>
      </c>
      <c r="G863">
        <v>19</v>
      </c>
      <c r="H863">
        <f>SUMIFS($F$2:F863,$C$2:C863,C863)</f>
        <v>2223</v>
      </c>
      <c r="I863" s="8">
        <f>STAMP_Escapement_Data[[#This Row],[DATE]]-DATE(STAMP_Escapement_Data[[#This Row],[YEAR]],8,1)</f>
        <v>48</v>
      </c>
    </row>
    <row r="864" spans="1:9" x14ac:dyDescent="0.25">
      <c r="A864" s="1">
        <v>36422</v>
      </c>
      <c r="B864">
        <v>919</v>
      </c>
      <c r="C864">
        <v>1999</v>
      </c>
      <c r="D864">
        <v>425</v>
      </c>
      <c r="E864">
        <v>258</v>
      </c>
      <c r="F864">
        <v>62</v>
      </c>
      <c r="G864">
        <v>27</v>
      </c>
      <c r="H864">
        <f>SUMIFS($F$2:F864,$C$2:C864,C864)</f>
        <v>2285</v>
      </c>
      <c r="I864" s="8">
        <f>STAMP_Escapement_Data[[#This Row],[DATE]]-DATE(STAMP_Escapement_Data[[#This Row],[YEAR]],8,1)</f>
        <v>49</v>
      </c>
    </row>
    <row r="865" spans="1:9" x14ac:dyDescent="0.25">
      <c r="A865" s="1">
        <v>36423</v>
      </c>
      <c r="B865">
        <v>920</v>
      </c>
      <c r="C865">
        <v>1999</v>
      </c>
      <c r="D865">
        <v>689</v>
      </c>
      <c r="E865">
        <v>298</v>
      </c>
      <c r="F865">
        <v>196</v>
      </c>
      <c r="G865">
        <v>42</v>
      </c>
      <c r="H865">
        <f>SUMIFS($F$2:F865,$C$2:C865,C865)</f>
        <v>2481</v>
      </c>
      <c r="I865" s="8">
        <f>STAMP_Escapement_Data[[#This Row],[DATE]]-DATE(STAMP_Escapement_Data[[#This Row],[YEAR]],8,1)</f>
        <v>50</v>
      </c>
    </row>
    <row r="866" spans="1:9" x14ac:dyDescent="0.25">
      <c r="A866" s="1">
        <v>36424</v>
      </c>
      <c r="B866">
        <v>921</v>
      </c>
      <c r="C866">
        <v>1999</v>
      </c>
      <c r="D866">
        <v>566</v>
      </c>
      <c r="E866">
        <v>324</v>
      </c>
      <c r="F866">
        <v>89</v>
      </c>
      <c r="G866">
        <v>55</v>
      </c>
      <c r="H866">
        <f>SUMIFS($F$2:F866,$C$2:C866,C866)</f>
        <v>2570</v>
      </c>
      <c r="I866" s="8">
        <f>STAMP_Escapement_Data[[#This Row],[DATE]]-DATE(STAMP_Escapement_Data[[#This Row],[YEAR]],8,1)</f>
        <v>51</v>
      </c>
    </row>
    <row r="867" spans="1:9" x14ac:dyDescent="0.25">
      <c r="A867" s="1">
        <v>36425</v>
      </c>
      <c r="B867">
        <v>922</v>
      </c>
      <c r="C867">
        <v>1999</v>
      </c>
      <c r="D867">
        <v>438</v>
      </c>
      <c r="E867">
        <v>286</v>
      </c>
      <c r="F867">
        <v>125</v>
      </c>
      <c r="G867">
        <v>64</v>
      </c>
      <c r="H867">
        <f>SUMIFS($F$2:F867,$C$2:C867,C867)</f>
        <v>2695</v>
      </c>
      <c r="I867" s="8">
        <f>STAMP_Escapement_Data[[#This Row],[DATE]]-DATE(STAMP_Escapement_Data[[#This Row],[YEAR]],8,1)</f>
        <v>52</v>
      </c>
    </row>
    <row r="868" spans="1:9" x14ac:dyDescent="0.25">
      <c r="A868" s="1">
        <v>36426</v>
      </c>
      <c r="B868">
        <v>923</v>
      </c>
      <c r="C868">
        <v>1999</v>
      </c>
      <c r="D868">
        <v>1114</v>
      </c>
      <c r="E868">
        <v>259</v>
      </c>
      <c r="F868">
        <v>501</v>
      </c>
      <c r="G868">
        <v>34</v>
      </c>
      <c r="H868">
        <f>SUMIFS($F$2:F868,$C$2:C868,C868)</f>
        <v>3196</v>
      </c>
      <c r="I868" s="8">
        <f>STAMP_Escapement_Data[[#This Row],[DATE]]-DATE(STAMP_Escapement_Data[[#This Row],[YEAR]],8,1)</f>
        <v>53</v>
      </c>
    </row>
    <row r="869" spans="1:9" x14ac:dyDescent="0.25">
      <c r="A869" s="1">
        <v>36427</v>
      </c>
      <c r="B869">
        <v>924</v>
      </c>
      <c r="C869">
        <v>1999</v>
      </c>
      <c r="D869">
        <v>3899</v>
      </c>
      <c r="E869">
        <v>263</v>
      </c>
      <c r="F869">
        <v>1257</v>
      </c>
      <c r="G869">
        <v>26</v>
      </c>
      <c r="H869">
        <f>SUMIFS($F$2:F869,$C$2:C869,C869)</f>
        <v>4453</v>
      </c>
      <c r="I869" s="8">
        <f>STAMP_Escapement_Data[[#This Row],[DATE]]-DATE(STAMP_Escapement_Data[[#This Row],[YEAR]],8,1)</f>
        <v>54</v>
      </c>
    </row>
    <row r="870" spans="1:9" x14ac:dyDescent="0.25">
      <c r="A870" s="1">
        <v>36428</v>
      </c>
      <c r="B870">
        <v>925</v>
      </c>
      <c r="C870">
        <v>1999</v>
      </c>
      <c r="D870">
        <v>2368</v>
      </c>
      <c r="E870">
        <v>205</v>
      </c>
      <c r="F870">
        <v>264</v>
      </c>
      <c r="G870">
        <v>4</v>
      </c>
      <c r="H870">
        <f>SUMIFS($F$2:F870,$C$2:C870,C870)</f>
        <v>4717</v>
      </c>
      <c r="I870" s="8">
        <f>STAMP_Escapement_Data[[#This Row],[DATE]]-DATE(STAMP_Escapement_Data[[#This Row],[YEAR]],8,1)</f>
        <v>55</v>
      </c>
    </row>
    <row r="871" spans="1:9" x14ac:dyDescent="0.25">
      <c r="A871" s="1">
        <v>36429</v>
      </c>
      <c r="B871">
        <v>926</v>
      </c>
      <c r="C871">
        <v>1999</v>
      </c>
      <c r="D871">
        <v>1773</v>
      </c>
      <c r="E871">
        <v>233</v>
      </c>
      <c r="F871">
        <v>224</v>
      </c>
      <c r="G871">
        <v>5</v>
      </c>
      <c r="H871">
        <f>SUMIFS($F$2:F871,$C$2:C871,C871)</f>
        <v>4941</v>
      </c>
      <c r="I871" s="8">
        <f>STAMP_Escapement_Data[[#This Row],[DATE]]-DATE(STAMP_Escapement_Data[[#This Row],[YEAR]],8,1)</f>
        <v>56</v>
      </c>
    </row>
    <row r="872" spans="1:9" x14ac:dyDescent="0.25">
      <c r="A872" s="1">
        <v>36430</v>
      </c>
      <c r="B872">
        <v>927</v>
      </c>
      <c r="C872">
        <v>1999</v>
      </c>
      <c r="D872">
        <v>1221</v>
      </c>
      <c r="E872">
        <v>304</v>
      </c>
      <c r="F872">
        <v>336</v>
      </c>
      <c r="G872">
        <v>10</v>
      </c>
      <c r="H872">
        <f>SUMIFS($F$2:F872,$C$2:C872,C872)</f>
        <v>5277</v>
      </c>
      <c r="I872" s="8">
        <f>STAMP_Escapement_Data[[#This Row],[DATE]]-DATE(STAMP_Escapement_Data[[#This Row],[YEAR]],8,1)</f>
        <v>57</v>
      </c>
    </row>
    <row r="873" spans="1:9" x14ac:dyDescent="0.25">
      <c r="A873" s="1">
        <v>36431</v>
      </c>
      <c r="B873">
        <v>928</v>
      </c>
      <c r="C873">
        <v>1999</v>
      </c>
      <c r="D873">
        <v>1331</v>
      </c>
      <c r="E873">
        <v>331</v>
      </c>
      <c r="F873">
        <v>300</v>
      </c>
      <c r="G873">
        <v>6</v>
      </c>
      <c r="H873">
        <f>SUMIFS($F$2:F873,$C$2:C873,C873)</f>
        <v>5577</v>
      </c>
      <c r="I873" s="8">
        <f>STAMP_Escapement_Data[[#This Row],[DATE]]-DATE(STAMP_Escapement_Data[[#This Row],[YEAR]],8,1)</f>
        <v>58</v>
      </c>
    </row>
    <row r="874" spans="1:9" x14ac:dyDescent="0.25">
      <c r="A874" s="1">
        <v>36432</v>
      </c>
      <c r="B874">
        <v>929</v>
      </c>
      <c r="C874">
        <v>1999</v>
      </c>
      <c r="D874">
        <v>1211</v>
      </c>
      <c r="E874">
        <v>340</v>
      </c>
      <c r="F874">
        <v>189</v>
      </c>
      <c r="G874">
        <v>6</v>
      </c>
      <c r="H874">
        <f>SUMIFS($F$2:F874,$C$2:C874,C874)</f>
        <v>5766</v>
      </c>
      <c r="I874" s="8">
        <f>STAMP_Escapement_Data[[#This Row],[DATE]]-DATE(STAMP_Escapement_Data[[#This Row],[YEAR]],8,1)</f>
        <v>59</v>
      </c>
    </row>
    <row r="875" spans="1:9" x14ac:dyDescent="0.25">
      <c r="A875" s="1">
        <v>36433</v>
      </c>
      <c r="B875">
        <v>930</v>
      </c>
      <c r="C875">
        <v>1999</v>
      </c>
      <c r="D875">
        <v>1110</v>
      </c>
      <c r="E875">
        <v>488</v>
      </c>
      <c r="F875">
        <v>272</v>
      </c>
      <c r="G875">
        <v>13</v>
      </c>
      <c r="H875">
        <f>SUMIFS($F$2:F875,$C$2:C875,C875)</f>
        <v>6038</v>
      </c>
      <c r="I875" s="8">
        <f>STAMP_Escapement_Data[[#This Row],[DATE]]-DATE(STAMP_Escapement_Data[[#This Row],[YEAR]],8,1)</f>
        <v>60</v>
      </c>
    </row>
    <row r="876" spans="1:9" x14ac:dyDescent="0.25">
      <c r="A876" s="1">
        <v>36434</v>
      </c>
      <c r="B876">
        <v>1001</v>
      </c>
      <c r="C876">
        <v>1999</v>
      </c>
      <c r="D876">
        <v>693</v>
      </c>
      <c r="E876">
        <v>382</v>
      </c>
      <c r="F876">
        <v>336</v>
      </c>
      <c r="G876">
        <v>12</v>
      </c>
      <c r="H876">
        <f>SUMIFS($F$2:F876,$C$2:C876,C876)</f>
        <v>6374</v>
      </c>
      <c r="I876" s="8">
        <f>STAMP_Escapement_Data[[#This Row],[DATE]]-DATE(STAMP_Escapement_Data[[#This Row],[YEAR]],8,1)</f>
        <v>61</v>
      </c>
    </row>
    <row r="877" spans="1:9" x14ac:dyDescent="0.25">
      <c r="A877" s="1">
        <v>36435</v>
      </c>
      <c r="B877">
        <v>1002</v>
      </c>
      <c r="C877">
        <v>1999</v>
      </c>
      <c r="D877">
        <v>643</v>
      </c>
      <c r="E877">
        <v>272</v>
      </c>
      <c r="F877">
        <v>278</v>
      </c>
      <c r="G877">
        <v>12</v>
      </c>
      <c r="H877">
        <f>SUMIFS($F$2:F877,$C$2:C877,C877)</f>
        <v>6652</v>
      </c>
      <c r="I877" s="8">
        <f>STAMP_Escapement_Data[[#This Row],[DATE]]-DATE(STAMP_Escapement_Data[[#This Row],[YEAR]],8,1)</f>
        <v>62</v>
      </c>
    </row>
    <row r="878" spans="1:9" x14ac:dyDescent="0.25">
      <c r="A878" s="1">
        <v>36436</v>
      </c>
      <c r="B878">
        <v>1003</v>
      </c>
      <c r="C878">
        <v>1999</v>
      </c>
      <c r="D878">
        <v>639</v>
      </c>
      <c r="E878">
        <v>179</v>
      </c>
      <c r="F878">
        <v>342</v>
      </c>
      <c r="G878">
        <v>10</v>
      </c>
      <c r="H878">
        <f>SUMIFS($F$2:F878,$C$2:C878,C878)</f>
        <v>6994</v>
      </c>
      <c r="I878" s="8">
        <f>STAMP_Escapement_Data[[#This Row],[DATE]]-DATE(STAMP_Escapement_Data[[#This Row],[YEAR]],8,1)</f>
        <v>63</v>
      </c>
    </row>
    <row r="879" spans="1:9" x14ac:dyDescent="0.25">
      <c r="A879" s="1">
        <v>36437</v>
      </c>
      <c r="B879">
        <v>1004</v>
      </c>
      <c r="C879">
        <v>1999</v>
      </c>
      <c r="D879">
        <v>438</v>
      </c>
      <c r="E879">
        <v>159</v>
      </c>
      <c r="F879">
        <v>350</v>
      </c>
      <c r="G879">
        <v>11</v>
      </c>
      <c r="H879">
        <f>SUMIFS($F$2:F879,$C$2:C879,C879)</f>
        <v>7344</v>
      </c>
      <c r="I879" s="8">
        <f>STAMP_Escapement_Data[[#This Row],[DATE]]-DATE(STAMP_Escapement_Data[[#This Row],[YEAR]],8,1)</f>
        <v>64</v>
      </c>
    </row>
    <row r="880" spans="1:9" x14ac:dyDescent="0.25">
      <c r="A880" s="1">
        <v>36438</v>
      </c>
      <c r="B880">
        <v>1005</v>
      </c>
      <c r="C880">
        <v>1999</v>
      </c>
      <c r="D880">
        <v>450</v>
      </c>
      <c r="E880">
        <v>144</v>
      </c>
      <c r="F880">
        <v>353</v>
      </c>
      <c r="G880">
        <v>14</v>
      </c>
      <c r="H880">
        <f>SUMIFS($F$2:F880,$C$2:C880,C880)</f>
        <v>7697</v>
      </c>
      <c r="I880" s="8">
        <f>STAMP_Escapement_Data[[#This Row],[DATE]]-DATE(STAMP_Escapement_Data[[#This Row],[YEAR]],8,1)</f>
        <v>65</v>
      </c>
    </row>
    <row r="881" spans="1:9" x14ac:dyDescent="0.25">
      <c r="A881" s="1">
        <v>36439</v>
      </c>
      <c r="B881">
        <v>1006</v>
      </c>
      <c r="C881">
        <v>1999</v>
      </c>
      <c r="D881">
        <v>359</v>
      </c>
      <c r="E881">
        <v>118</v>
      </c>
      <c r="F881">
        <v>288</v>
      </c>
      <c r="G881">
        <v>13</v>
      </c>
      <c r="H881">
        <f>SUMIFS($F$2:F881,$C$2:C881,C881)</f>
        <v>7985</v>
      </c>
      <c r="I881" s="8">
        <f>STAMP_Escapement_Data[[#This Row],[DATE]]-DATE(STAMP_Escapement_Data[[#This Row],[YEAR]],8,1)</f>
        <v>66</v>
      </c>
    </row>
    <row r="882" spans="1:9" x14ac:dyDescent="0.25">
      <c r="A882" s="1">
        <v>36440</v>
      </c>
      <c r="B882">
        <v>1007</v>
      </c>
      <c r="C882">
        <v>1999</v>
      </c>
      <c r="D882">
        <v>277</v>
      </c>
      <c r="E882">
        <v>104</v>
      </c>
      <c r="F882">
        <v>400</v>
      </c>
      <c r="G882">
        <v>9</v>
      </c>
      <c r="H882">
        <f>SUMIFS($F$2:F882,$C$2:C882,C882)</f>
        <v>8385</v>
      </c>
      <c r="I882" s="8">
        <f>STAMP_Escapement_Data[[#This Row],[DATE]]-DATE(STAMP_Escapement_Data[[#This Row],[YEAR]],8,1)</f>
        <v>67</v>
      </c>
    </row>
    <row r="883" spans="1:9" x14ac:dyDescent="0.25">
      <c r="A883" s="1">
        <v>36441</v>
      </c>
      <c r="B883">
        <v>1008</v>
      </c>
      <c r="C883">
        <v>1999</v>
      </c>
      <c r="D883">
        <v>388</v>
      </c>
      <c r="E883">
        <v>97</v>
      </c>
      <c r="F883">
        <v>450</v>
      </c>
      <c r="G883">
        <v>18</v>
      </c>
      <c r="H883">
        <f>SUMIFS($F$2:F883,$C$2:C883,C883)</f>
        <v>8835</v>
      </c>
      <c r="I883" s="8">
        <f>STAMP_Escapement_Data[[#This Row],[DATE]]-DATE(STAMP_Escapement_Data[[#This Row],[YEAR]],8,1)</f>
        <v>68</v>
      </c>
    </row>
    <row r="884" spans="1:9" x14ac:dyDescent="0.25">
      <c r="A884" s="1">
        <v>36442</v>
      </c>
      <c r="B884">
        <v>1009</v>
      </c>
      <c r="C884">
        <v>1999</v>
      </c>
      <c r="D884">
        <v>157</v>
      </c>
      <c r="E884">
        <v>85</v>
      </c>
      <c r="F884">
        <v>456</v>
      </c>
      <c r="G884">
        <v>17</v>
      </c>
      <c r="H884">
        <f>SUMIFS($F$2:F884,$C$2:C884,C884)</f>
        <v>9291</v>
      </c>
      <c r="I884" s="8">
        <f>STAMP_Escapement_Data[[#This Row],[DATE]]-DATE(STAMP_Escapement_Data[[#This Row],[YEAR]],8,1)</f>
        <v>69</v>
      </c>
    </row>
    <row r="885" spans="1:9" x14ac:dyDescent="0.25">
      <c r="A885" s="1">
        <v>36443</v>
      </c>
      <c r="B885">
        <v>1010</v>
      </c>
      <c r="C885">
        <v>1999</v>
      </c>
      <c r="D885">
        <v>82</v>
      </c>
      <c r="E885">
        <v>50</v>
      </c>
      <c r="F885">
        <v>472</v>
      </c>
      <c r="G885">
        <v>18</v>
      </c>
      <c r="H885">
        <f>SUMIFS($F$2:F885,$C$2:C885,C885)</f>
        <v>9763</v>
      </c>
      <c r="I885" s="8">
        <f>STAMP_Escapement_Data[[#This Row],[DATE]]-DATE(STAMP_Escapement_Data[[#This Row],[YEAR]],8,1)</f>
        <v>70</v>
      </c>
    </row>
    <row r="886" spans="1:9" x14ac:dyDescent="0.25">
      <c r="A886" s="1">
        <v>36444</v>
      </c>
      <c r="B886">
        <v>1011</v>
      </c>
      <c r="C886">
        <v>1999</v>
      </c>
      <c r="D886">
        <v>83</v>
      </c>
      <c r="E886">
        <v>42</v>
      </c>
      <c r="F886">
        <v>385</v>
      </c>
      <c r="G886">
        <v>9</v>
      </c>
      <c r="H886">
        <f>SUMIFS($F$2:F886,$C$2:C886,C886)</f>
        <v>10148</v>
      </c>
      <c r="I886" s="8">
        <f>STAMP_Escapement_Data[[#This Row],[DATE]]-DATE(STAMP_Escapement_Data[[#This Row],[YEAR]],8,1)</f>
        <v>71</v>
      </c>
    </row>
    <row r="887" spans="1:9" x14ac:dyDescent="0.25">
      <c r="A887" s="1">
        <v>36445</v>
      </c>
      <c r="B887">
        <v>1012</v>
      </c>
      <c r="C887">
        <v>1999</v>
      </c>
      <c r="D887">
        <v>61</v>
      </c>
      <c r="E887">
        <v>49</v>
      </c>
      <c r="F887">
        <v>225</v>
      </c>
      <c r="G887">
        <v>9</v>
      </c>
      <c r="H887">
        <f>SUMIFS($F$2:F887,$C$2:C887,C887)</f>
        <v>10373</v>
      </c>
      <c r="I887" s="8">
        <f>STAMP_Escapement_Data[[#This Row],[DATE]]-DATE(STAMP_Escapement_Data[[#This Row],[YEAR]],8,1)</f>
        <v>72</v>
      </c>
    </row>
    <row r="888" spans="1:9" x14ac:dyDescent="0.25">
      <c r="A888" s="1">
        <v>36446</v>
      </c>
      <c r="B888">
        <v>1013</v>
      </c>
      <c r="C888">
        <v>1999</v>
      </c>
      <c r="D888">
        <v>390</v>
      </c>
      <c r="E888">
        <v>127</v>
      </c>
      <c r="F888">
        <v>399</v>
      </c>
      <c r="G888">
        <v>27</v>
      </c>
      <c r="H888">
        <f>SUMIFS($F$2:F888,$C$2:C888,C888)</f>
        <v>10772</v>
      </c>
      <c r="I888" s="8">
        <f>STAMP_Escapement_Data[[#This Row],[DATE]]-DATE(STAMP_Escapement_Data[[#This Row],[YEAR]],8,1)</f>
        <v>73</v>
      </c>
    </row>
    <row r="889" spans="1:9" x14ac:dyDescent="0.25">
      <c r="A889" s="1">
        <v>36447</v>
      </c>
      <c r="B889">
        <v>1014</v>
      </c>
      <c r="C889">
        <v>1999</v>
      </c>
      <c r="D889">
        <v>370</v>
      </c>
      <c r="E889">
        <v>118</v>
      </c>
      <c r="F889">
        <v>433</v>
      </c>
      <c r="G889">
        <v>27</v>
      </c>
      <c r="H889">
        <f>SUMIFS($F$2:F889,$C$2:C889,C889)</f>
        <v>11205</v>
      </c>
      <c r="I889" s="8">
        <f>STAMP_Escapement_Data[[#This Row],[DATE]]-DATE(STAMP_Escapement_Data[[#This Row],[YEAR]],8,1)</f>
        <v>74</v>
      </c>
    </row>
    <row r="890" spans="1:9" x14ac:dyDescent="0.25">
      <c r="A890" s="1">
        <v>36448</v>
      </c>
      <c r="B890">
        <v>1015</v>
      </c>
      <c r="C890">
        <v>1999</v>
      </c>
      <c r="D890">
        <v>87</v>
      </c>
      <c r="E890">
        <v>71</v>
      </c>
      <c r="F890">
        <v>431</v>
      </c>
      <c r="G890">
        <v>12</v>
      </c>
      <c r="H890">
        <f>SUMIFS($F$2:F890,$C$2:C890,C890)</f>
        <v>11636</v>
      </c>
      <c r="I890" s="8">
        <f>STAMP_Escapement_Data[[#This Row],[DATE]]-DATE(STAMP_Escapement_Data[[#This Row],[YEAR]],8,1)</f>
        <v>75</v>
      </c>
    </row>
    <row r="891" spans="1:9" x14ac:dyDescent="0.25">
      <c r="A891" s="1">
        <v>36449</v>
      </c>
      <c r="B891">
        <v>1016</v>
      </c>
      <c r="C891">
        <v>1999</v>
      </c>
      <c r="D891">
        <v>51</v>
      </c>
      <c r="E891">
        <v>36</v>
      </c>
      <c r="F891">
        <v>347</v>
      </c>
      <c r="G891">
        <v>3</v>
      </c>
      <c r="H891">
        <f>SUMIFS($F$2:F891,$C$2:C891,C891)</f>
        <v>11983</v>
      </c>
      <c r="I891" s="8">
        <f>STAMP_Escapement_Data[[#This Row],[DATE]]-DATE(STAMP_Escapement_Data[[#This Row],[YEAR]],8,1)</f>
        <v>76</v>
      </c>
    </row>
    <row r="892" spans="1:9" x14ac:dyDescent="0.25">
      <c r="A892" s="1">
        <v>36450</v>
      </c>
      <c r="B892">
        <v>1017</v>
      </c>
      <c r="C892">
        <v>1999</v>
      </c>
      <c r="D892">
        <v>36</v>
      </c>
      <c r="E892">
        <v>30</v>
      </c>
      <c r="F892">
        <v>242</v>
      </c>
      <c r="G892">
        <v>3</v>
      </c>
      <c r="H892">
        <f>SUMIFS($F$2:F892,$C$2:C892,C892)</f>
        <v>12225</v>
      </c>
      <c r="I892" s="8">
        <f>STAMP_Escapement_Data[[#This Row],[DATE]]-DATE(STAMP_Escapement_Data[[#This Row],[YEAR]],8,1)</f>
        <v>77</v>
      </c>
    </row>
    <row r="893" spans="1:9" x14ac:dyDescent="0.25">
      <c r="A893" s="1">
        <v>36451</v>
      </c>
      <c r="B893">
        <v>1018</v>
      </c>
      <c r="C893">
        <v>1999</v>
      </c>
      <c r="D893">
        <v>47</v>
      </c>
      <c r="E893">
        <v>31</v>
      </c>
      <c r="F893">
        <v>278</v>
      </c>
      <c r="G893">
        <v>7</v>
      </c>
      <c r="H893">
        <f>SUMIFS($F$2:F893,$C$2:C893,C893)</f>
        <v>12503</v>
      </c>
      <c r="I893" s="8">
        <f>STAMP_Escapement_Data[[#This Row],[DATE]]-DATE(STAMP_Escapement_Data[[#This Row],[YEAR]],8,1)</f>
        <v>78</v>
      </c>
    </row>
    <row r="894" spans="1:9" x14ac:dyDescent="0.25">
      <c r="A894" s="1">
        <v>36452</v>
      </c>
      <c r="B894">
        <v>1019</v>
      </c>
      <c r="C894">
        <v>1999</v>
      </c>
      <c r="D894">
        <v>44</v>
      </c>
      <c r="E894">
        <v>29</v>
      </c>
      <c r="F894">
        <v>144</v>
      </c>
      <c r="G894">
        <v>6</v>
      </c>
      <c r="H894">
        <f>SUMIFS($F$2:F894,$C$2:C894,C894)</f>
        <v>12647</v>
      </c>
      <c r="I894" s="8">
        <f>STAMP_Escapement_Data[[#This Row],[DATE]]-DATE(STAMP_Escapement_Data[[#This Row],[YEAR]],8,1)</f>
        <v>79</v>
      </c>
    </row>
    <row r="895" spans="1:9" x14ac:dyDescent="0.25">
      <c r="A895" s="1">
        <v>36453</v>
      </c>
      <c r="B895">
        <v>1020</v>
      </c>
      <c r="C895">
        <v>1999</v>
      </c>
      <c r="D895">
        <v>72</v>
      </c>
      <c r="E895">
        <v>41</v>
      </c>
      <c r="F895">
        <v>144</v>
      </c>
      <c r="G895">
        <v>5</v>
      </c>
      <c r="H895">
        <f>SUMIFS($F$2:F895,$C$2:C895,C895)</f>
        <v>12791</v>
      </c>
      <c r="I895" s="8">
        <f>STAMP_Escapement_Data[[#This Row],[DATE]]-DATE(STAMP_Escapement_Data[[#This Row],[YEAR]],8,1)</f>
        <v>80</v>
      </c>
    </row>
    <row r="896" spans="1:9" x14ac:dyDescent="0.25">
      <c r="A896" s="1">
        <v>36454</v>
      </c>
      <c r="B896">
        <v>1021</v>
      </c>
      <c r="C896">
        <v>1999</v>
      </c>
      <c r="D896">
        <v>70</v>
      </c>
      <c r="E896">
        <v>45</v>
      </c>
      <c r="F896">
        <v>159</v>
      </c>
      <c r="G896">
        <v>8</v>
      </c>
      <c r="H896">
        <f>SUMIFS($F$2:F896,$C$2:C896,C896)</f>
        <v>12950</v>
      </c>
      <c r="I896" s="8">
        <f>STAMP_Escapement_Data[[#This Row],[DATE]]-DATE(STAMP_Escapement_Data[[#This Row],[YEAR]],8,1)</f>
        <v>81</v>
      </c>
    </row>
    <row r="897" spans="1:9" x14ac:dyDescent="0.25">
      <c r="A897" s="1">
        <v>36455</v>
      </c>
      <c r="B897">
        <v>1022</v>
      </c>
      <c r="C897">
        <v>1999</v>
      </c>
      <c r="D897">
        <v>36</v>
      </c>
      <c r="E897">
        <v>20</v>
      </c>
      <c r="F897">
        <v>111</v>
      </c>
      <c r="G897">
        <v>1</v>
      </c>
      <c r="H897">
        <f>SUMIFS($F$2:F897,$C$2:C897,C897)</f>
        <v>13061</v>
      </c>
      <c r="I897" s="8">
        <f>STAMP_Escapement_Data[[#This Row],[DATE]]-DATE(STAMP_Escapement_Data[[#This Row],[YEAR]],8,1)</f>
        <v>82</v>
      </c>
    </row>
    <row r="898" spans="1:9" x14ac:dyDescent="0.25">
      <c r="A898" s="1">
        <v>36456</v>
      </c>
      <c r="B898">
        <v>1023</v>
      </c>
      <c r="C898">
        <v>1999</v>
      </c>
      <c r="D898">
        <v>19</v>
      </c>
      <c r="E898">
        <v>16</v>
      </c>
      <c r="F898">
        <v>130</v>
      </c>
      <c r="G898">
        <v>5</v>
      </c>
      <c r="H898">
        <f>SUMIFS($F$2:F898,$C$2:C898,C898)</f>
        <v>13191</v>
      </c>
      <c r="I898" s="8">
        <f>STAMP_Escapement_Data[[#This Row],[DATE]]-DATE(STAMP_Escapement_Data[[#This Row],[YEAR]],8,1)</f>
        <v>83</v>
      </c>
    </row>
    <row r="899" spans="1:9" x14ac:dyDescent="0.25">
      <c r="A899" s="1">
        <v>36457</v>
      </c>
      <c r="B899">
        <v>1024</v>
      </c>
      <c r="C899">
        <v>1999</v>
      </c>
      <c r="D899">
        <v>28</v>
      </c>
      <c r="E899">
        <v>23</v>
      </c>
      <c r="F899">
        <v>263</v>
      </c>
      <c r="G899">
        <v>1</v>
      </c>
      <c r="H899">
        <f>SUMIFS($F$2:F899,$C$2:C899,C899)</f>
        <v>13454</v>
      </c>
      <c r="I899" s="8">
        <f>STAMP_Escapement_Data[[#This Row],[DATE]]-DATE(STAMP_Escapement_Data[[#This Row],[YEAR]],8,1)</f>
        <v>84</v>
      </c>
    </row>
    <row r="900" spans="1:9" x14ac:dyDescent="0.25">
      <c r="A900" s="1">
        <v>36458</v>
      </c>
      <c r="B900">
        <v>1025</v>
      </c>
      <c r="C900">
        <v>1999</v>
      </c>
      <c r="D900">
        <v>15</v>
      </c>
      <c r="E900">
        <v>6</v>
      </c>
      <c r="F900">
        <v>72</v>
      </c>
      <c r="G900">
        <v>1</v>
      </c>
      <c r="H900">
        <f>SUMIFS($F$2:F900,$C$2:C900,C900)</f>
        <v>13526</v>
      </c>
      <c r="I900" s="8">
        <f>STAMP_Escapement_Data[[#This Row],[DATE]]-DATE(STAMP_Escapement_Data[[#This Row],[YEAR]],8,1)</f>
        <v>85</v>
      </c>
    </row>
    <row r="901" spans="1:9" x14ac:dyDescent="0.25">
      <c r="A901" s="1">
        <v>36459</v>
      </c>
      <c r="B901">
        <v>1026</v>
      </c>
      <c r="C901">
        <v>1999</v>
      </c>
      <c r="D901">
        <v>19</v>
      </c>
      <c r="E901">
        <v>13</v>
      </c>
      <c r="F901">
        <v>44</v>
      </c>
      <c r="G901">
        <v>2</v>
      </c>
      <c r="H901">
        <f>SUMIFS($F$2:F901,$C$2:C901,C901)</f>
        <v>13570</v>
      </c>
      <c r="I901" s="8">
        <f>STAMP_Escapement_Data[[#This Row],[DATE]]-DATE(STAMP_Escapement_Data[[#This Row],[YEAR]],8,1)</f>
        <v>86</v>
      </c>
    </row>
    <row r="902" spans="1:9" x14ac:dyDescent="0.25">
      <c r="A902" s="1">
        <v>36460</v>
      </c>
      <c r="B902">
        <v>1027</v>
      </c>
      <c r="C902">
        <v>1999</v>
      </c>
      <c r="D902">
        <v>16</v>
      </c>
      <c r="E902">
        <v>6</v>
      </c>
      <c r="F902">
        <v>42</v>
      </c>
      <c r="G902">
        <v>0</v>
      </c>
      <c r="H902">
        <f>SUMIFS($F$2:F902,$C$2:C902,C902)</f>
        <v>13612</v>
      </c>
      <c r="I902" s="8">
        <f>STAMP_Escapement_Data[[#This Row],[DATE]]-DATE(STAMP_Escapement_Data[[#This Row],[YEAR]],8,1)</f>
        <v>87</v>
      </c>
    </row>
    <row r="903" spans="1:9" x14ac:dyDescent="0.25">
      <c r="A903" s="1">
        <v>36461</v>
      </c>
      <c r="B903">
        <v>1028</v>
      </c>
      <c r="C903">
        <v>1999</v>
      </c>
      <c r="D903">
        <v>53</v>
      </c>
      <c r="E903">
        <v>30</v>
      </c>
      <c r="F903">
        <v>78</v>
      </c>
      <c r="G903">
        <v>2</v>
      </c>
      <c r="H903">
        <f>SUMIFS($F$2:F903,$C$2:C903,C903)</f>
        <v>13690</v>
      </c>
      <c r="I903" s="8">
        <f>STAMP_Escapement_Data[[#This Row],[DATE]]-DATE(STAMP_Escapement_Data[[#This Row],[YEAR]],8,1)</f>
        <v>88</v>
      </c>
    </row>
    <row r="904" spans="1:9" x14ac:dyDescent="0.25">
      <c r="A904" s="1">
        <v>36462</v>
      </c>
      <c r="B904">
        <v>1029</v>
      </c>
      <c r="C904">
        <v>1999</v>
      </c>
      <c r="D904">
        <v>106</v>
      </c>
      <c r="E904">
        <v>22</v>
      </c>
      <c r="F904">
        <v>37</v>
      </c>
      <c r="G904">
        <v>0</v>
      </c>
      <c r="H904">
        <f>SUMIFS($F$2:F904,$C$2:C904,C904)</f>
        <v>13727</v>
      </c>
      <c r="I904" s="8">
        <f>STAMP_Escapement_Data[[#This Row],[DATE]]-DATE(STAMP_Escapement_Data[[#This Row],[YEAR]],8,1)</f>
        <v>89</v>
      </c>
    </row>
    <row r="905" spans="1:9" x14ac:dyDescent="0.25">
      <c r="A905" s="1">
        <v>36463</v>
      </c>
      <c r="B905">
        <v>1030</v>
      </c>
      <c r="C905">
        <v>1999</v>
      </c>
      <c r="D905">
        <v>67</v>
      </c>
      <c r="E905">
        <v>19</v>
      </c>
      <c r="F905">
        <v>11</v>
      </c>
      <c r="G905">
        <v>0</v>
      </c>
      <c r="H905">
        <f>SUMIFS($F$2:F905,$C$2:C905,C905)</f>
        <v>13738</v>
      </c>
      <c r="I905" s="8">
        <f>STAMP_Escapement_Data[[#This Row],[DATE]]-DATE(STAMP_Escapement_Data[[#This Row],[YEAR]],8,1)</f>
        <v>90</v>
      </c>
    </row>
    <row r="906" spans="1:9" x14ac:dyDescent="0.25">
      <c r="A906" s="1">
        <v>36464</v>
      </c>
      <c r="B906">
        <v>1031</v>
      </c>
      <c r="C906">
        <v>1999</v>
      </c>
      <c r="D906">
        <v>41</v>
      </c>
      <c r="E906">
        <v>19</v>
      </c>
      <c r="F906">
        <v>12</v>
      </c>
      <c r="G906">
        <v>0</v>
      </c>
      <c r="H906">
        <f>SUMIFS($F$2:F906,$C$2:C906,C906)</f>
        <v>13750</v>
      </c>
      <c r="I906" s="8">
        <f>STAMP_Escapement_Data[[#This Row],[DATE]]-DATE(STAMP_Escapement_Data[[#This Row],[YEAR]],8,1)</f>
        <v>91</v>
      </c>
    </row>
    <row r="907" spans="1:9" x14ac:dyDescent="0.25">
      <c r="A907" s="1">
        <v>36465</v>
      </c>
      <c r="B907">
        <v>1101</v>
      </c>
      <c r="C907">
        <v>1999</v>
      </c>
      <c r="D907">
        <v>18</v>
      </c>
      <c r="E907">
        <v>9</v>
      </c>
      <c r="F907">
        <v>15</v>
      </c>
      <c r="G907">
        <v>0</v>
      </c>
      <c r="H907">
        <f>SUMIFS($F$2:F907,$C$2:C907,C907)</f>
        <v>13765</v>
      </c>
      <c r="I907" s="8">
        <f>STAMP_Escapement_Data[[#This Row],[DATE]]-DATE(STAMP_Escapement_Data[[#This Row],[YEAR]],8,1)</f>
        <v>92</v>
      </c>
    </row>
    <row r="908" spans="1:9" x14ac:dyDescent="0.25">
      <c r="A908" s="1">
        <v>36466</v>
      </c>
      <c r="B908">
        <v>1102</v>
      </c>
      <c r="C908">
        <v>1999</v>
      </c>
      <c r="D908">
        <v>18</v>
      </c>
      <c r="E908">
        <v>9</v>
      </c>
      <c r="F908">
        <v>5</v>
      </c>
      <c r="G908">
        <v>1</v>
      </c>
      <c r="H908">
        <f>SUMIFS($F$2:F908,$C$2:C908,C908)</f>
        <v>13770</v>
      </c>
      <c r="I908" s="8">
        <f>STAMP_Escapement_Data[[#This Row],[DATE]]-DATE(STAMP_Escapement_Data[[#This Row],[YEAR]],8,1)</f>
        <v>93</v>
      </c>
    </row>
    <row r="909" spans="1:9" x14ac:dyDescent="0.25">
      <c r="A909" s="1">
        <v>36467</v>
      </c>
      <c r="B909">
        <v>1103</v>
      </c>
      <c r="C909">
        <v>1999</v>
      </c>
      <c r="D909">
        <v>14</v>
      </c>
      <c r="E909">
        <v>3</v>
      </c>
      <c r="F909">
        <v>7</v>
      </c>
      <c r="G909">
        <v>1</v>
      </c>
      <c r="H909">
        <f>SUMIFS($F$2:F909,$C$2:C909,C909)</f>
        <v>13777</v>
      </c>
      <c r="I909" s="8">
        <f>STAMP_Escapement_Data[[#This Row],[DATE]]-DATE(STAMP_Escapement_Data[[#This Row],[YEAR]],8,1)</f>
        <v>94</v>
      </c>
    </row>
    <row r="910" spans="1:9" x14ac:dyDescent="0.25">
      <c r="A910" s="1">
        <v>36468</v>
      </c>
      <c r="B910">
        <v>1104</v>
      </c>
      <c r="C910">
        <v>1999</v>
      </c>
      <c r="D910">
        <v>10</v>
      </c>
      <c r="E910">
        <v>5</v>
      </c>
      <c r="F910">
        <v>9</v>
      </c>
      <c r="G910">
        <v>0</v>
      </c>
      <c r="H910">
        <f>SUMIFS($F$2:F910,$C$2:C910,C910)</f>
        <v>13786</v>
      </c>
      <c r="I910" s="8">
        <f>STAMP_Escapement_Data[[#This Row],[DATE]]-DATE(STAMP_Escapement_Data[[#This Row],[YEAR]],8,1)</f>
        <v>95</v>
      </c>
    </row>
    <row r="911" spans="1:9" x14ac:dyDescent="0.25">
      <c r="A911" s="1">
        <v>36775</v>
      </c>
      <c r="B911">
        <v>906</v>
      </c>
      <c r="C911">
        <v>2000</v>
      </c>
      <c r="D911">
        <v>3006</v>
      </c>
      <c r="E911">
        <v>0</v>
      </c>
      <c r="F911">
        <v>0</v>
      </c>
      <c r="G911">
        <v>0</v>
      </c>
      <c r="H911">
        <f>SUMIFS($F$2:F911,$C$2:C911,C911)</f>
        <v>0</v>
      </c>
      <c r="I911" s="8">
        <f>STAMP_Escapement_Data[[#This Row],[DATE]]-DATE(STAMP_Escapement_Data[[#This Row],[YEAR]],8,1)</f>
        <v>36</v>
      </c>
    </row>
    <row r="912" spans="1:9" x14ac:dyDescent="0.25">
      <c r="A912" s="1">
        <v>36775</v>
      </c>
      <c r="B912">
        <v>906</v>
      </c>
      <c r="C912">
        <v>2000</v>
      </c>
      <c r="D912">
        <v>3000</v>
      </c>
      <c r="E912">
        <v>20</v>
      </c>
      <c r="F912">
        <v>1</v>
      </c>
      <c r="G912">
        <v>6</v>
      </c>
      <c r="H912">
        <f>SUMIFS($F$2:F912,$C$2:C912,C912)</f>
        <v>1</v>
      </c>
      <c r="I912" s="8">
        <f>STAMP_Escapement_Data[[#This Row],[DATE]]-DATE(STAMP_Escapement_Data[[#This Row],[YEAR]],8,1)</f>
        <v>36</v>
      </c>
    </row>
    <row r="913" spans="1:9" x14ac:dyDescent="0.25">
      <c r="A913" s="1">
        <v>36775</v>
      </c>
      <c r="B913">
        <v>906</v>
      </c>
      <c r="C913">
        <v>2000</v>
      </c>
      <c r="D913">
        <v>2000</v>
      </c>
      <c r="E913">
        <v>1</v>
      </c>
      <c r="F913">
        <v>58</v>
      </c>
      <c r="G913">
        <v>6</v>
      </c>
      <c r="H913">
        <f>SUMIFS($F$2:F913,$C$2:C913,C913)</f>
        <v>59</v>
      </c>
      <c r="I913" s="8">
        <f>STAMP_Escapement_Data[[#This Row],[DATE]]-DATE(STAMP_Escapement_Data[[#This Row],[YEAR]],8,1)</f>
        <v>36</v>
      </c>
    </row>
    <row r="914" spans="1:9" x14ac:dyDescent="0.25">
      <c r="A914" s="1">
        <v>36775</v>
      </c>
      <c r="B914">
        <v>906</v>
      </c>
      <c r="C914">
        <v>2000</v>
      </c>
      <c r="D914">
        <v>3562</v>
      </c>
      <c r="E914">
        <v>130</v>
      </c>
      <c r="F914">
        <v>15</v>
      </c>
      <c r="G914">
        <v>29</v>
      </c>
      <c r="H914">
        <f>SUMIFS($F$2:F914,$C$2:C914,C914)</f>
        <v>74</v>
      </c>
      <c r="I914" s="8">
        <f>STAMP_Escapement_Data[[#This Row],[DATE]]-DATE(STAMP_Escapement_Data[[#This Row],[YEAR]],8,1)</f>
        <v>36</v>
      </c>
    </row>
    <row r="915" spans="1:9" x14ac:dyDescent="0.25">
      <c r="A915" s="1">
        <v>36776</v>
      </c>
      <c r="B915">
        <v>907</v>
      </c>
      <c r="C915">
        <v>2000</v>
      </c>
      <c r="D915">
        <v>2572</v>
      </c>
      <c r="E915">
        <v>105</v>
      </c>
      <c r="F915">
        <v>41</v>
      </c>
      <c r="G915">
        <v>56</v>
      </c>
      <c r="H915">
        <f>SUMIFS($F$2:F915,$C$2:C915,C915)</f>
        <v>115</v>
      </c>
      <c r="I915" s="8">
        <f>STAMP_Escapement_Data[[#This Row],[DATE]]-DATE(STAMP_Escapement_Data[[#This Row],[YEAR]],8,1)</f>
        <v>37</v>
      </c>
    </row>
    <row r="916" spans="1:9" x14ac:dyDescent="0.25">
      <c r="A916" s="1">
        <v>36777</v>
      </c>
      <c r="B916">
        <v>908</v>
      </c>
      <c r="C916">
        <v>2000</v>
      </c>
      <c r="D916">
        <v>3333</v>
      </c>
      <c r="E916">
        <v>94</v>
      </c>
      <c r="F916">
        <v>34</v>
      </c>
      <c r="G916">
        <v>45</v>
      </c>
      <c r="H916">
        <f>SUMIFS($F$2:F916,$C$2:C916,C916)</f>
        <v>149</v>
      </c>
      <c r="I916" s="8">
        <f>STAMP_Escapement_Data[[#This Row],[DATE]]-DATE(STAMP_Escapement_Data[[#This Row],[YEAR]],8,1)</f>
        <v>38</v>
      </c>
    </row>
    <row r="917" spans="1:9" x14ac:dyDescent="0.25">
      <c r="A917" s="1">
        <v>36778</v>
      </c>
      <c r="B917">
        <v>909</v>
      </c>
      <c r="C917">
        <v>2000</v>
      </c>
      <c r="D917">
        <v>4478</v>
      </c>
      <c r="E917">
        <v>85</v>
      </c>
      <c r="F917">
        <v>44</v>
      </c>
      <c r="G917">
        <v>42</v>
      </c>
      <c r="H917">
        <f>SUMIFS($F$2:F917,$C$2:C917,C917)</f>
        <v>193</v>
      </c>
      <c r="I917" s="8">
        <f>STAMP_Escapement_Data[[#This Row],[DATE]]-DATE(STAMP_Escapement_Data[[#This Row],[YEAR]],8,1)</f>
        <v>39</v>
      </c>
    </row>
    <row r="918" spans="1:9" x14ac:dyDescent="0.25">
      <c r="A918" s="1">
        <v>36779</v>
      </c>
      <c r="B918">
        <v>910</v>
      </c>
      <c r="C918">
        <v>2000</v>
      </c>
      <c r="D918">
        <v>4153</v>
      </c>
      <c r="E918">
        <v>165</v>
      </c>
      <c r="F918">
        <v>32</v>
      </c>
      <c r="G918">
        <v>41</v>
      </c>
      <c r="H918">
        <f>SUMIFS($F$2:F918,$C$2:C918,C918)</f>
        <v>225</v>
      </c>
      <c r="I918" s="8">
        <f>STAMP_Escapement_Data[[#This Row],[DATE]]-DATE(STAMP_Escapement_Data[[#This Row],[YEAR]],8,1)</f>
        <v>40</v>
      </c>
    </row>
    <row r="919" spans="1:9" x14ac:dyDescent="0.25">
      <c r="A919" s="1">
        <v>36780</v>
      </c>
      <c r="B919">
        <v>911</v>
      </c>
      <c r="C919">
        <v>2000</v>
      </c>
      <c r="D919">
        <v>4568</v>
      </c>
      <c r="E919">
        <v>205</v>
      </c>
      <c r="F919">
        <v>73</v>
      </c>
      <c r="G919">
        <v>62</v>
      </c>
      <c r="H919">
        <f>SUMIFS($F$2:F919,$C$2:C919,C919)</f>
        <v>298</v>
      </c>
      <c r="I919" s="8">
        <f>STAMP_Escapement_Data[[#This Row],[DATE]]-DATE(STAMP_Escapement_Data[[#This Row],[YEAR]],8,1)</f>
        <v>41</v>
      </c>
    </row>
    <row r="920" spans="1:9" x14ac:dyDescent="0.25">
      <c r="A920" s="1">
        <v>36781</v>
      </c>
      <c r="B920">
        <v>912</v>
      </c>
      <c r="C920">
        <v>2000</v>
      </c>
      <c r="D920">
        <v>4736</v>
      </c>
      <c r="E920">
        <v>255</v>
      </c>
      <c r="F920">
        <v>72</v>
      </c>
      <c r="G920">
        <v>81</v>
      </c>
      <c r="H920">
        <f>SUMIFS($F$2:F920,$C$2:C920,C920)</f>
        <v>370</v>
      </c>
      <c r="I920" s="8">
        <f>STAMP_Escapement_Data[[#This Row],[DATE]]-DATE(STAMP_Escapement_Data[[#This Row],[YEAR]],8,1)</f>
        <v>42</v>
      </c>
    </row>
    <row r="921" spans="1:9" x14ac:dyDescent="0.25">
      <c r="A921" s="1">
        <v>36782</v>
      </c>
      <c r="B921">
        <v>913</v>
      </c>
      <c r="C921">
        <v>2000</v>
      </c>
      <c r="D921">
        <v>3194</v>
      </c>
      <c r="E921">
        <v>246</v>
      </c>
      <c r="F921">
        <v>55</v>
      </c>
      <c r="G921">
        <v>57</v>
      </c>
      <c r="H921">
        <f>SUMIFS($F$2:F921,$C$2:C921,C921)</f>
        <v>425</v>
      </c>
      <c r="I921" s="8">
        <f>STAMP_Escapement_Data[[#This Row],[DATE]]-DATE(STAMP_Escapement_Data[[#This Row],[YEAR]],8,1)</f>
        <v>43</v>
      </c>
    </row>
    <row r="922" spans="1:9" x14ac:dyDescent="0.25">
      <c r="A922" s="1">
        <v>36783</v>
      </c>
      <c r="B922">
        <v>914</v>
      </c>
      <c r="C922">
        <v>2000</v>
      </c>
      <c r="D922">
        <v>2809</v>
      </c>
      <c r="E922">
        <v>326</v>
      </c>
      <c r="F922">
        <v>34</v>
      </c>
      <c r="G922">
        <v>68</v>
      </c>
      <c r="H922">
        <f>SUMIFS($F$2:F922,$C$2:C922,C922)</f>
        <v>459</v>
      </c>
      <c r="I922" s="8">
        <f>STAMP_Escapement_Data[[#This Row],[DATE]]-DATE(STAMP_Escapement_Data[[#This Row],[YEAR]],8,1)</f>
        <v>44</v>
      </c>
    </row>
    <row r="923" spans="1:9" x14ac:dyDescent="0.25">
      <c r="A923" s="1">
        <v>36784</v>
      </c>
      <c r="B923">
        <v>915</v>
      </c>
      <c r="C923">
        <v>2000</v>
      </c>
      <c r="D923">
        <v>3031</v>
      </c>
      <c r="E923">
        <v>318</v>
      </c>
      <c r="F923">
        <v>33</v>
      </c>
      <c r="G923">
        <v>63</v>
      </c>
      <c r="H923">
        <f>SUMIFS($F$2:F923,$C$2:C923,C923)</f>
        <v>492</v>
      </c>
      <c r="I923" s="8">
        <f>STAMP_Escapement_Data[[#This Row],[DATE]]-DATE(STAMP_Escapement_Data[[#This Row],[YEAR]],8,1)</f>
        <v>45</v>
      </c>
    </row>
    <row r="924" spans="1:9" x14ac:dyDescent="0.25">
      <c r="A924" s="1">
        <v>36785</v>
      </c>
      <c r="B924">
        <v>916</v>
      </c>
      <c r="C924">
        <v>2000</v>
      </c>
      <c r="D924">
        <v>1607</v>
      </c>
      <c r="E924">
        <v>284</v>
      </c>
      <c r="F924">
        <v>91</v>
      </c>
      <c r="G924">
        <v>87</v>
      </c>
      <c r="H924">
        <f>SUMIFS($F$2:F924,$C$2:C924,C924)</f>
        <v>583</v>
      </c>
      <c r="I924" s="8">
        <f>STAMP_Escapement_Data[[#This Row],[DATE]]-DATE(STAMP_Escapement_Data[[#This Row],[YEAR]],8,1)</f>
        <v>46</v>
      </c>
    </row>
    <row r="925" spans="1:9" x14ac:dyDescent="0.25">
      <c r="A925" s="1">
        <v>36786</v>
      </c>
      <c r="B925">
        <v>917</v>
      </c>
      <c r="C925">
        <v>2000</v>
      </c>
      <c r="D925">
        <v>1501</v>
      </c>
      <c r="E925">
        <v>194</v>
      </c>
      <c r="F925">
        <v>137</v>
      </c>
      <c r="G925">
        <v>120</v>
      </c>
      <c r="H925">
        <f>SUMIFS($F$2:F925,$C$2:C925,C925)</f>
        <v>720</v>
      </c>
      <c r="I925" s="8">
        <f>STAMP_Escapement_Data[[#This Row],[DATE]]-DATE(STAMP_Escapement_Data[[#This Row],[YEAR]],8,1)</f>
        <v>47</v>
      </c>
    </row>
    <row r="926" spans="1:9" x14ac:dyDescent="0.25">
      <c r="A926" s="1">
        <v>36787</v>
      </c>
      <c r="B926">
        <v>918</v>
      </c>
      <c r="C926">
        <v>2000</v>
      </c>
      <c r="D926">
        <v>2252</v>
      </c>
      <c r="E926">
        <v>268</v>
      </c>
      <c r="F926">
        <v>114</v>
      </c>
      <c r="G926">
        <v>145</v>
      </c>
      <c r="H926">
        <f>SUMIFS($F$2:F926,$C$2:C926,C926)</f>
        <v>834</v>
      </c>
      <c r="I926" s="8">
        <f>STAMP_Escapement_Data[[#This Row],[DATE]]-DATE(STAMP_Escapement_Data[[#This Row],[YEAR]],8,1)</f>
        <v>48</v>
      </c>
    </row>
    <row r="927" spans="1:9" x14ac:dyDescent="0.25">
      <c r="A927" s="1">
        <v>36788</v>
      </c>
      <c r="B927">
        <v>919</v>
      </c>
      <c r="C927">
        <v>2000</v>
      </c>
      <c r="D927">
        <v>3382</v>
      </c>
      <c r="E927">
        <v>230</v>
      </c>
      <c r="F927">
        <v>128</v>
      </c>
      <c r="G927">
        <v>122</v>
      </c>
      <c r="H927">
        <f>SUMIFS($F$2:F927,$C$2:C927,C927)</f>
        <v>962</v>
      </c>
      <c r="I927" s="8">
        <f>STAMP_Escapement_Data[[#This Row],[DATE]]-DATE(STAMP_Escapement_Data[[#This Row],[YEAR]],8,1)</f>
        <v>49</v>
      </c>
    </row>
    <row r="928" spans="1:9" x14ac:dyDescent="0.25">
      <c r="A928" s="1">
        <v>36789</v>
      </c>
      <c r="B928">
        <v>920</v>
      </c>
      <c r="C928">
        <v>2000</v>
      </c>
      <c r="D928">
        <v>4684</v>
      </c>
      <c r="E928">
        <v>243</v>
      </c>
      <c r="F928">
        <v>524</v>
      </c>
      <c r="G928">
        <v>138</v>
      </c>
      <c r="H928">
        <f>SUMIFS($F$2:F928,$C$2:C928,C928)</f>
        <v>1486</v>
      </c>
      <c r="I928" s="8">
        <f>STAMP_Escapement_Data[[#This Row],[DATE]]-DATE(STAMP_Escapement_Data[[#This Row],[YEAR]],8,1)</f>
        <v>50</v>
      </c>
    </row>
    <row r="929" spans="1:9" x14ac:dyDescent="0.25">
      <c r="A929" s="1">
        <v>36790</v>
      </c>
      <c r="B929">
        <v>921</v>
      </c>
      <c r="C929">
        <v>2000</v>
      </c>
      <c r="D929">
        <v>3468</v>
      </c>
      <c r="E929">
        <v>197</v>
      </c>
      <c r="F929">
        <v>269</v>
      </c>
      <c r="G929">
        <v>83</v>
      </c>
      <c r="H929">
        <f>SUMIFS($F$2:F929,$C$2:C929,C929)</f>
        <v>1755</v>
      </c>
      <c r="I929" s="8">
        <f>STAMP_Escapement_Data[[#This Row],[DATE]]-DATE(STAMP_Escapement_Data[[#This Row],[YEAR]],8,1)</f>
        <v>51</v>
      </c>
    </row>
    <row r="930" spans="1:9" x14ac:dyDescent="0.25">
      <c r="A930" s="1">
        <v>36791</v>
      </c>
      <c r="B930">
        <v>922</v>
      </c>
      <c r="C930">
        <v>2000</v>
      </c>
      <c r="D930">
        <v>1925</v>
      </c>
      <c r="E930">
        <v>151</v>
      </c>
      <c r="F930">
        <v>30</v>
      </c>
      <c r="G930">
        <v>10</v>
      </c>
      <c r="H930">
        <f>SUMIFS($F$2:F930,$C$2:C930,C930)</f>
        <v>1785</v>
      </c>
      <c r="I930" s="8">
        <f>STAMP_Escapement_Data[[#This Row],[DATE]]-DATE(STAMP_Escapement_Data[[#This Row],[YEAR]],8,1)</f>
        <v>52</v>
      </c>
    </row>
    <row r="931" spans="1:9" x14ac:dyDescent="0.25">
      <c r="A931" s="1">
        <v>36792</v>
      </c>
      <c r="B931">
        <v>923</v>
      </c>
      <c r="C931">
        <v>2000</v>
      </c>
      <c r="D931">
        <v>2219</v>
      </c>
      <c r="E931">
        <v>146</v>
      </c>
      <c r="F931">
        <v>34</v>
      </c>
      <c r="G931">
        <v>13</v>
      </c>
      <c r="H931">
        <f>SUMIFS($F$2:F931,$C$2:C931,C931)</f>
        <v>1819</v>
      </c>
      <c r="I931" s="8">
        <f>STAMP_Escapement_Data[[#This Row],[DATE]]-DATE(STAMP_Escapement_Data[[#This Row],[YEAR]],8,1)</f>
        <v>53</v>
      </c>
    </row>
    <row r="932" spans="1:9" x14ac:dyDescent="0.25">
      <c r="A932" s="1">
        <v>36793</v>
      </c>
      <c r="B932">
        <v>924</v>
      </c>
      <c r="C932">
        <v>2000</v>
      </c>
      <c r="D932">
        <v>2271</v>
      </c>
      <c r="E932">
        <v>207</v>
      </c>
      <c r="F932">
        <v>66</v>
      </c>
      <c r="G932">
        <v>23</v>
      </c>
      <c r="H932">
        <f>SUMIFS($F$2:F932,$C$2:C932,C932)</f>
        <v>1885</v>
      </c>
      <c r="I932" s="8">
        <f>STAMP_Escapement_Data[[#This Row],[DATE]]-DATE(STAMP_Escapement_Data[[#This Row],[YEAR]],8,1)</f>
        <v>54</v>
      </c>
    </row>
    <row r="933" spans="1:9" x14ac:dyDescent="0.25">
      <c r="A933" s="1">
        <v>36794</v>
      </c>
      <c r="B933">
        <v>925</v>
      </c>
      <c r="C933">
        <v>2000</v>
      </c>
      <c r="D933">
        <v>2002</v>
      </c>
      <c r="E933">
        <v>183</v>
      </c>
      <c r="F933">
        <v>52</v>
      </c>
      <c r="G933">
        <v>19</v>
      </c>
      <c r="H933">
        <f>SUMIFS($F$2:F933,$C$2:C933,C933)</f>
        <v>1937</v>
      </c>
      <c r="I933" s="8">
        <f>STAMP_Escapement_Data[[#This Row],[DATE]]-DATE(STAMP_Escapement_Data[[#This Row],[YEAR]],8,1)</f>
        <v>55</v>
      </c>
    </row>
    <row r="934" spans="1:9" x14ac:dyDescent="0.25">
      <c r="A934" s="1">
        <v>36795</v>
      </c>
      <c r="B934">
        <v>926</v>
      </c>
      <c r="C934">
        <v>2000</v>
      </c>
      <c r="D934">
        <v>2111</v>
      </c>
      <c r="E934">
        <v>200</v>
      </c>
      <c r="F934">
        <v>62</v>
      </c>
      <c r="G934">
        <v>41</v>
      </c>
      <c r="H934">
        <f>SUMIFS($F$2:F934,$C$2:C934,C934)</f>
        <v>1999</v>
      </c>
      <c r="I934" s="8">
        <f>STAMP_Escapement_Data[[#This Row],[DATE]]-DATE(STAMP_Escapement_Data[[#This Row],[YEAR]],8,1)</f>
        <v>56</v>
      </c>
    </row>
    <row r="935" spans="1:9" x14ac:dyDescent="0.25">
      <c r="A935" s="1">
        <v>36796</v>
      </c>
      <c r="B935">
        <v>927</v>
      </c>
      <c r="C935">
        <v>2000</v>
      </c>
      <c r="D935">
        <v>2754</v>
      </c>
      <c r="E935">
        <v>245</v>
      </c>
      <c r="F935">
        <v>111</v>
      </c>
      <c r="G935">
        <v>57</v>
      </c>
      <c r="H935">
        <f>SUMIFS($F$2:F935,$C$2:C935,C935)</f>
        <v>2110</v>
      </c>
      <c r="I935" s="8">
        <f>STAMP_Escapement_Data[[#This Row],[DATE]]-DATE(STAMP_Escapement_Data[[#This Row],[YEAR]],8,1)</f>
        <v>57</v>
      </c>
    </row>
    <row r="936" spans="1:9" x14ac:dyDescent="0.25">
      <c r="A936" s="1">
        <v>36797</v>
      </c>
      <c r="B936">
        <v>928</v>
      </c>
      <c r="C936">
        <v>2000</v>
      </c>
      <c r="D936">
        <v>3059</v>
      </c>
      <c r="E936">
        <v>288</v>
      </c>
      <c r="F936">
        <v>152</v>
      </c>
      <c r="G936">
        <v>79</v>
      </c>
      <c r="H936">
        <f>SUMIFS($F$2:F936,$C$2:C936,C936)</f>
        <v>2262</v>
      </c>
      <c r="I936" s="8">
        <f>STAMP_Escapement_Data[[#This Row],[DATE]]-DATE(STAMP_Escapement_Data[[#This Row],[YEAR]],8,1)</f>
        <v>58</v>
      </c>
    </row>
    <row r="937" spans="1:9" x14ac:dyDescent="0.25">
      <c r="A937" s="1">
        <v>36798</v>
      </c>
      <c r="B937">
        <v>929</v>
      </c>
      <c r="C937">
        <v>2000</v>
      </c>
      <c r="D937">
        <v>2053</v>
      </c>
      <c r="E937">
        <v>289</v>
      </c>
      <c r="F937">
        <v>219</v>
      </c>
      <c r="G937">
        <v>56</v>
      </c>
      <c r="H937">
        <f>SUMIFS($F$2:F937,$C$2:C937,C937)</f>
        <v>2481</v>
      </c>
      <c r="I937" s="8">
        <f>STAMP_Escapement_Data[[#This Row],[DATE]]-DATE(STAMP_Escapement_Data[[#This Row],[YEAR]],8,1)</f>
        <v>59</v>
      </c>
    </row>
    <row r="938" spans="1:9" x14ac:dyDescent="0.25">
      <c r="A938" s="1">
        <v>36799</v>
      </c>
      <c r="B938">
        <v>930</v>
      </c>
      <c r="C938">
        <v>2000</v>
      </c>
      <c r="D938">
        <v>1470</v>
      </c>
      <c r="E938">
        <v>235</v>
      </c>
      <c r="F938">
        <v>181</v>
      </c>
      <c r="G938">
        <v>47</v>
      </c>
      <c r="H938">
        <f>SUMIFS($F$2:F938,$C$2:C938,C938)</f>
        <v>2662</v>
      </c>
      <c r="I938" s="8">
        <f>STAMP_Escapement_Data[[#This Row],[DATE]]-DATE(STAMP_Escapement_Data[[#This Row],[YEAR]],8,1)</f>
        <v>60</v>
      </c>
    </row>
    <row r="939" spans="1:9" x14ac:dyDescent="0.25">
      <c r="A939" s="1">
        <v>36800</v>
      </c>
      <c r="B939">
        <v>1001</v>
      </c>
      <c r="C939">
        <v>2000</v>
      </c>
      <c r="D939">
        <v>727</v>
      </c>
      <c r="E939">
        <v>99</v>
      </c>
      <c r="F939">
        <v>128</v>
      </c>
      <c r="G939">
        <v>38</v>
      </c>
      <c r="H939">
        <f>SUMIFS($F$2:F939,$C$2:C939,C939)</f>
        <v>2790</v>
      </c>
      <c r="I939" s="8">
        <f>STAMP_Escapement_Data[[#This Row],[DATE]]-DATE(STAMP_Escapement_Data[[#This Row],[YEAR]],8,1)</f>
        <v>61</v>
      </c>
    </row>
    <row r="940" spans="1:9" x14ac:dyDescent="0.25">
      <c r="A940" s="1">
        <v>36801</v>
      </c>
      <c r="B940">
        <v>1002</v>
      </c>
      <c r="C940">
        <v>2000</v>
      </c>
      <c r="D940">
        <v>577</v>
      </c>
      <c r="E940">
        <v>95</v>
      </c>
      <c r="F940">
        <v>146</v>
      </c>
      <c r="G940">
        <v>35</v>
      </c>
      <c r="H940">
        <f>SUMIFS($F$2:F940,$C$2:C940,C940)</f>
        <v>2936</v>
      </c>
      <c r="I940" s="8">
        <f>STAMP_Escapement_Data[[#This Row],[DATE]]-DATE(STAMP_Escapement_Data[[#This Row],[YEAR]],8,1)</f>
        <v>62</v>
      </c>
    </row>
    <row r="941" spans="1:9" x14ac:dyDescent="0.25">
      <c r="A941" s="1">
        <v>36802</v>
      </c>
      <c r="B941">
        <v>1003</v>
      </c>
      <c r="C941">
        <v>2000</v>
      </c>
      <c r="D941">
        <v>219</v>
      </c>
      <c r="E941">
        <v>51</v>
      </c>
      <c r="F941">
        <v>130</v>
      </c>
      <c r="G941">
        <v>36</v>
      </c>
      <c r="H941">
        <f>SUMIFS($F$2:F941,$C$2:C941,C941)</f>
        <v>3066</v>
      </c>
      <c r="I941" s="8">
        <f>STAMP_Escapement_Data[[#This Row],[DATE]]-DATE(STAMP_Escapement_Data[[#This Row],[YEAR]],8,1)</f>
        <v>63</v>
      </c>
    </row>
    <row r="942" spans="1:9" x14ac:dyDescent="0.25">
      <c r="A942" s="1">
        <v>36803</v>
      </c>
      <c r="B942">
        <v>1004</v>
      </c>
      <c r="C942">
        <v>2000</v>
      </c>
      <c r="D942">
        <v>128</v>
      </c>
      <c r="E942">
        <v>47</v>
      </c>
      <c r="F942">
        <v>82</v>
      </c>
      <c r="G942">
        <v>17</v>
      </c>
      <c r="H942">
        <f>SUMIFS($F$2:F942,$C$2:C942,C942)</f>
        <v>3148</v>
      </c>
      <c r="I942" s="8">
        <f>STAMP_Escapement_Data[[#This Row],[DATE]]-DATE(STAMP_Escapement_Data[[#This Row],[YEAR]],8,1)</f>
        <v>64</v>
      </c>
    </row>
    <row r="943" spans="1:9" x14ac:dyDescent="0.25">
      <c r="A943" s="1">
        <v>36804</v>
      </c>
      <c r="B943">
        <v>1005</v>
      </c>
      <c r="C943">
        <v>2000</v>
      </c>
      <c r="D943">
        <v>310</v>
      </c>
      <c r="E943">
        <v>105</v>
      </c>
      <c r="F943">
        <v>61</v>
      </c>
      <c r="G943">
        <v>21</v>
      </c>
      <c r="H943">
        <f>SUMIFS($F$2:F943,$C$2:C943,C943)</f>
        <v>3209</v>
      </c>
      <c r="I943" s="8">
        <f>STAMP_Escapement_Data[[#This Row],[DATE]]-DATE(STAMP_Escapement_Data[[#This Row],[YEAR]],8,1)</f>
        <v>65</v>
      </c>
    </row>
    <row r="944" spans="1:9" x14ac:dyDescent="0.25">
      <c r="A944" s="1">
        <v>36805</v>
      </c>
      <c r="B944">
        <v>1006</v>
      </c>
      <c r="C944">
        <v>2000</v>
      </c>
      <c r="D944">
        <v>316</v>
      </c>
      <c r="E944">
        <v>113</v>
      </c>
      <c r="F944">
        <v>56</v>
      </c>
      <c r="G944">
        <v>26</v>
      </c>
      <c r="H944">
        <f>SUMIFS($F$2:F944,$C$2:C944,C944)</f>
        <v>3265</v>
      </c>
      <c r="I944" s="8">
        <f>STAMP_Escapement_Data[[#This Row],[DATE]]-DATE(STAMP_Escapement_Data[[#This Row],[YEAR]],8,1)</f>
        <v>66</v>
      </c>
    </row>
    <row r="945" spans="1:9" x14ac:dyDescent="0.25">
      <c r="A945" s="1">
        <v>36806</v>
      </c>
      <c r="B945">
        <v>1007</v>
      </c>
      <c r="C945">
        <v>2000</v>
      </c>
      <c r="D945">
        <v>265</v>
      </c>
      <c r="E945">
        <v>143</v>
      </c>
      <c r="F945">
        <v>69</v>
      </c>
      <c r="G945">
        <v>33</v>
      </c>
      <c r="H945">
        <f>SUMIFS($F$2:F945,$C$2:C945,C945)</f>
        <v>3334</v>
      </c>
      <c r="I945" s="8">
        <f>STAMP_Escapement_Data[[#This Row],[DATE]]-DATE(STAMP_Escapement_Data[[#This Row],[YEAR]],8,1)</f>
        <v>67</v>
      </c>
    </row>
    <row r="946" spans="1:9" x14ac:dyDescent="0.25">
      <c r="A946" s="1">
        <v>36807</v>
      </c>
      <c r="B946">
        <v>1008</v>
      </c>
      <c r="C946">
        <v>2000</v>
      </c>
      <c r="D946">
        <v>347</v>
      </c>
      <c r="E946">
        <v>194</v>
      </c>
      <c r="F946">
        <v>68</v>
      </c>
      <c r="G946">
        <v>37</v>
      </c>
      <c r="H946">
        <f>SUMIFS($F$2:F946,$C$2:C946,C946)</f>
        <v>3402</v>
      </c>
      <c r="I946" s="8">
        <f>STAMP_Escapement_Data[[#This Row],[DATE]]-DATE(STAMP_Escapement_Data[[#This Row],[YEAR]],8,1)</f>
        <v>68</v>
      </c>
    </row>
    <row r="947" spans="1:9" x14ac:dyDescent="0.25">
      <c r="A947" s="1">
        <v>36808</v>
      </c>
      <c r="B947">
        <v>1009</v>
      </c>
      <c r="C947">
        <v>2000</v>
      </c>
      <c r="D947">
        <v>256</v>
      </c>
      <c r="E947">
        <v>106</v>
      </c>
      <c r="F947">
        <v>53</v>
      </c>
      <c r="G947">
        <v>27</v>
      </c>
      <c r="H947">
        <f>SUMIFS($F$2:F947,$C$2:C947,C947)</f>
        <v>3455</v>
      </c>
      <c r="I947" s="8">
        <f>STAMP_Escapement_Data[[#This Row],[DATE]]-DATE(STAMP_Escapement_Data[[#This Row],[YEAR]],8,1)</f>
        <v>69</v>
      </c>
    </row>
    <row r="948" spans="1:9" x14ac:dyDescent="0.25">
      <c r="A948" s="1">
        <v>36809</v>
      </c>
      <c r="B948">
        <v>1010</v>
      </c>
      <c r="C948">
        <v>2000</v>
      </c>
      <c r="D948">
        <v>125</v>
      </c>
      <c r="E948">
        <v>81</v>
      </c>
      <c r="F948">
        <v>24</v>
      </c>
      <c r="G948">
        <v>28</v>
      </c>
      <c r="H948">
        <f>SUMIFS($F$2:F948,$C$2:C948,C948)</f>
        <v>3479</v>
      </c>
      <c r="I948" s="8">
        <f>STAMP_Escapement_Data[[#This Row],[DATE]]-DATE(STAMP_Escapement_Data[[#This Row],[YEAR]],8,1)</f>
        <v>70</v>
      </c>
    </row>
    <row r="949" spans="1:9" x14ac:dyDescent="0.25">
      <c r="A949" s="1">
        <v>36810</v>
      </c>
      <c r="B949">
        <v>1011</v>
      </c>
      <c r="C949">
        <v>2000</v>
      </c>
      <c r="D949">
        <v>130</v>
      </c>
      <c r="E949">
        <v>66</v>
      </c>
      <c r="F949">
        <v>61</v>
      </c>
      <c r="G949">
        <v>29</v>
      </c>
      <c r="H949">
        <f>SUMIFS($F$2:F949,$C$2:C949,C949)</f>
        <v>3540</v>
      </c>
      <c r="I949" s="8">
        <f>STAMP_Escapement_Data[[#This Row],[DATE]]-DATE(STAMP_Escapement_Data[[#This Row],[YEAR]],8,1)</f>
        <v>71</v>
      </c>
    </row>
    <row r="950" spans="1:9" x14ac:dyDescent="0.25">
      <c r="A950" s="1">
        <v>36811</v>
      </c>
      <c r="B950">
        <v>1012</v>
      </c>
      <c r="C950">
        <v>2000</v>
      </c>
      <c r="D950">
        <v>98</v>
      </c>
      <c r="E950">
        <v>44</v>
      </c>
      <c r="F950">
        <v>40</v>
      </c>
      <c r="G950">
        <v>21</v>
      </c>
      <c r="H950">
        <f>SUMIFS($F$2:F950,$C$2:C950,C950)</f>
        <v>3580</v>
      </c>
      <c r="I950" s="8">
        <f>STAMP_Escapement_Data[[#This Row],[DATE]]-DATE(STAMP_Escapement_Data[[#This Row],[YEAR]],8,1)</f>
        <v>72</v>
      </c>
    </row>
    <row r="951" spans="1:9" x14ac:dyDescent="0.25">
      <c r="A951" s="1">
        <v>36812</v>
      </c>
      <c r="B951">
        <v>1013</v>
      </c>
      <c r="C951">
        <v>2000</v>
      </c>
      <c r="D951">
        <v>91</v>
      </c>
      <c r="E951">
        <v>58</v>
      </c>
      <c r="F951">
        <v>56</v>
      </c>
      <c r="G951">
        <v>26</v>
      </c>
      <c r="H951">
        <f>SUMIFS($F$2:F951,$C$2:C951,C951)</f>
        <v>3636</v>
      </c>
      <c r="I951" s="8">
        <f>STAMP_Escapement_Data[[#This Row],[DATE]]-DATE(STAMP_Escapement_Data[[#This Row],[YEAR]],8,1)</f>
        <v>73</v>
      </c>
    </row>
    <row r="952" spans="1:9" x14ac:dyDescent="0.25">
      <c r="A952" s="1">
        <v>36813</v>
      </c>
      <c r="B952">
        <v>1014</v>
      </c>
      <c r="C952">
        <v>2000</v>
      </c>
      <c r="D952">
        <v>166</v>
      </c>
      <c r="E952">
        <v>75</v>
      </c>
      <c r="F952">
        <v>113</v>
      </c>
      <c r="G952">
        <v>63</v>
      </c>
      <c r="H952">
        <f>SUMIFS($F$2:F952,$C$2:C952,C952)</f>
        <v>3749</v>
      </c>
      <c r="I952" s="8">
        <f>STAMP_Escapement_Data[[#This Row],[DATE]]-DATE(STAMP_Escapement_Data[[#This Row],[YEAR]],8,1)</f>
        <v>74</v>
      </c>
    </row>
    <row r="953" spans="1:9" x14ac:dyDescent="0.25">
      <c r="A953" s="1">
        <v>36814</v>
      </c>
      <c r="B953">
        <v>1015</v>
      </c>
      <c r="C953">
        <v>2000</v>
      </c>
      <c r="D953">
        <v>189</v>
      </c>
      <c r="E953">
        <v>49</v>
      </c>
      <c r="F953">
        <v>137</v>
      </c>
      <c r="G953">
        <v>40</v>
      </c>
      <c r="H953">
        <f>SUMIFS($F$2:F953,$C$2:C953,C953)</f>
        <v>3886</v>
      </c>
      <c r="I953" s="8">
        <f>STAMP_Escapement_Data[[#This Row],[DATE]]-DATE(STAMP_Escapement_Data[[#This Row],[YEAR]],8,1)</f>
        <v>75</v>
      </c>
    </row>
    <row r="954" spans="1:9" x14ac:dyDescent="0.25">
      <c r="A954" s="1">
        <v>36815</v>
      </c>
      <c r="B954">
        <v>1016</v>
      </c>
      <c r="C954">
        <v>2000</v>
      </c>
      <c r="D954">
        <v>590</v>
      </c>
      <c r="E954">
        <v>96</v>
      </c>
      <c r="F954">
        <v>116</v>
      </c>
      <c r="G954">
        <v>34</v>
      </c>
      <c r="H954">
        <f>SUMIFS($F$2:F954,$C$2:C954,C954)</f>
        <v>4002</v>
      </c>
      <c r="I954" s="8">
        <f>STAMP_Escapement_Data[[#This Row],[DATE]]-DATE(STAMP_Escapement_Data[[#This Row],[YEAR]],8,1)</f>
        <v>76</v>
      </c>
    </row>
    <row r="955" spans="1:9" x14ac:dyDescent="0.25">
      <c r="A955" s="1">
        <v>36816</v>
      </c>
      <c r="B955">
        <v>1017</v>
      </c>
      <c r="C955">
        <v>2000</v>
      </c>
      <c r="D955">
        <v>535</v>
      </c>
      <c r="E955">
        <v>57</v>
      </c>
      <c r="F955">
        <v>298</v>
      </c>
      <c r="G955">
        <v>20</v>
      </c>
      <c r="H955">
        <f>SUMIFS($F$2:F955,$C$2:C955,C955)</f>
        <v>4300</v>
      </c>
      <c r="I955" s="8">
        <f>STAMP_Escapement_Data[[#This Row],[DATE]]-DATE(STAMP_Escapement_Data[[#This Row],[YEAR]],8,1)</f>
        <v>77</v>
      </c>
    </row>
    <row r="956" spans="1:9" x14ac:dyDescent="0.25">
      <c r="A956" s="1">
        <v>36817</v>
      </c>
      <c r="B956">
        <v>1018</v>
      </c>
      <c r="C956">
        <v>2000</v>
      </c>
      <c r="D956">
        <v>473</v>
      </c>
      <c r="E956">
        <v>112</v>
      </c>
      <c r="F956">
        <v>327</v>
      </c>
      <c r="G956">
        <v>50</v>
      </c>
      <c r="H956">
        <f>SUMIFS($F$2:F956,$C$2:C956,C956)</f>
        <v>4627</v>
      </c>
      <c r="I956" s="8">
        <f>STAMP_Escapement_Data[[#This Row],[DATE]]-DATE(STAMP_Escapement_Data[[#This Row],[YEAR]],8,1)</f>
        <v>78</v>
      </c>
    </row>
    <row r="957" spans="1:9" x14ac:dyDescent="0.25">
      <c r="A957" s="1">
        <v>36818</v>
      </c>
      <c r="B957">
        <v>1019</v>
      </c>
      <c r="C957">
        <v>2000</v>
      </c>
      <c r="D957">
        <v>437</v>
      </c>
      <c r="E957">
        <v>76</v>
      </c>
      <c r="F957">
        <v>32</v>
      </c>
      <c r="G957">
        <v>8</v>
      </c>
      <c r="H957">
        <f>SUMIFS($F$2:F957,$C$2:C957,C957)</f>
        <v>4659</v>
      </c>
      <c r="I957" s="8">
        <f>STAMP_Escapement_Data[[#This Row],[DATE]]-DATE(STAMP_Escapement_Data[[#This Row],[YEAR]],8,1)</f>
        <v>79</v>
      </c>
    </row>
    <row r="958" spans="1:9" x14ac:dyDescent="0.25">
      <c r="A958" s="1">
        <v>36819</v>
      </c>
      <c r="B958">
        <v>1020</v>
      </c>
      <c r="C958">
        <v>2000</v>
      </c>
      <c r="D958">
        <v>357</v>
      </c>
      <c r="E958">
        <v>58</v>
      </c>
      <c r="F958">
        <v>32</v>
      </c>
      <c r="G958">
        <v>11</v>
      </c>
      <c r="H958">
        <f>SUMIFS($F$2:F958,$C$2:C958,C958)</f>
        <v>4691</v>
      </c>
      <c r="I958" s="8">
        <f>STAMP_Escapement_Data[[#This Row],[DATE]]-DATE(STAMP_Escapement_Data[[#This Row],[YEAR]],8,1)</f>
        <v>80</v>
      </c>
    </row>
    <row r="959" spans="1:9" x14ac:dyDescent="0.25">
      <c r="A959" s="1">
        <v>36820</v>
      </c>
      <c r="B959">
        <v>1021</v>
      </c>
      <c r="C959">
        <v>2000</v>
      </c>
      <c r="D959">
        <v>277</v>
      </c>
      <c r="E959">
        <v>39</v>
      </c>
      <c r="F959">
        <v>32</v>
      </c>
      <c r="G959">
        <v>15</v>
      </c>
      <c r="H959">
        <f>SUMIFS($F$2:F959,$C$2:C959,C959)</f>
        <v>4723</v>
      </c>
      <c r="I959" s="8">
        <f>STAMP_Escapement_Data[[#This Row],[DATE]]-DATE(STAMP_Escapement_Data[[#This Row],[YEAR]],8,1)</f>
        <v>81</v>
      </c>
    </row>
    <row r="960" spans="1:9" x14ac:dyDescent="0.25">
      <c r="A960" s="1">
        <v>36821</v>
      </c>
      <c r="B960">
        <v>1022</v>
      </c>
      <c r="C960">
        <v>2000</v>
      </c>
      <c r="D960">
        <v>197</v>
      </c>
      <c r="E960">
        <v>21</v>
      </c>
      <c r="F960">
        <v>32</v>
      </c>
      <c r="G960">
        <v>18</v>
      </c>
      <c r="H960">
        <f>SUMIFS($F$2:F960,$C$2:C960,C960)</f>
        <v>4755</v>
      </c>
      <c r="I960" s="8">
        <f>STAMP_Escapement_Data[[#This Row],[DATE]]-DATE(STAMP_Escapement_Data[[#This Row],[YEAR]],8,1)</f>
        <v>82</v>
      </c>
    </row>
    <row r="961" spans="1:9" x14ac:dyDescent="0.25">
      <c r="A961" s="1">
        <v>36822</v>
      </c>
      <c r="B961">
        <v>1023</v>
      </c>
      <c r="C961">
        <v>2000</v>
      </c>
      <c r="D961">
        <v>131</v>
      </c>
      <c r="E961">
        <v>25</v>
      </c>
      <c r="F961">
        <v>77</v>
      </c>
      <c r="G961">
        <v>13</v>
      </c>
      <c r="H961">
        <f>SUMIFS($F$2:F961,$C$2:C961,C961)</f>
        <v>4832</v>
      </c>
      <c r="I961" s="8">
        <f>STAMP_Escapement_Data[[#This Row],[DATE]]-DATE(STAMP_Escapement_Data[[#This Row],[YEAR]],8,1)</f>
        <v>83</v>
      </c>
    </row>
    <row r="962" spans="1:9" x14ac:dyDescent="0.25">
      <c r="A962" s="1">
        <v>36823</v>
      </c>
      <c r="B962">
        <v>1024</v>
      </c>
      <c r="C962">
        <v>2000</v>
      </c>
      <c r="D962">
        <v>123</v>
      </c>
      <c r="E962">
        <v>35</v>
      </c>
      <c r="F962">
        <v>58</v>
      </c>
      <c r="G962">
        <v>7</v>
      </c>
      <c r="H962">
        <f>SUMIFS($F$2:F962,$C$2:C962,C962)</f>
        <v>4890</v>
      </c>
      <c r="I962" s="8">
        <f>STAMP_Escapement_Data[[#This Row],[DATE]]-DATE(STAMP_Escapement_Data[[#This Row],[YEAR]],8,1)</f>
        <v>84</v>
      </c>
    </row>
    <row r="963" spans="1:9" x14ac:dyDescent="0.25">
      <c r="A963" s="1">
        <v>36824</v>
      </c>
      <c r="B963">
        <v>1025</v>
      </c>
      <c r="C963">
        <v>2000</v>
      </c>
      <c r="D963">
        <v>65</v>
      </c>
      <c r="E963">
        <v>22</v>
      </c>
      <c r="F963">
        <v>39</v>
      </c>
      <c r="G963">
        <v>12</v>
      </c>
      <c r="H963">
        <f>SUMIFS($F$2:F963,$C$2:C963,C963)</f>
        <v>4929</v>
      </c>
      <c r="I963" s="8">
        <f>STAMP_Escapement_Data[[#This Row],[DATE]]-DATE(STAMP_Escapement_Data[[#This Row],[YEAR]],8,1)</f>
        <v>85</v>
      </c>
    </row>
    <row r="964" spans="1:9" x14ac:dyDescent="0.25">
      <c r="A964" s="1">
        <v>36825</v>
      </c>
      <c r="B964">
        <v>1026</v>
      </c>
      <c r="C964">
        <v>2000</v>
      </c>
      <c r="D964">
        <v>84</v>
      </c>
      <c r="E964">
        <v>35</v>
      </c>
      <c r="F964">
        <v>37</v>
      </c>
      <c r="G964">
        <v>6</v>
      </c>
      <c r="H964">
        <f>SUMIFS($F$2:F964,$C$2:C964,C964)</f>
        <v>4966</v>
      </c>
      <c r="I964" s="8">
        <f>STAMP_Escapement_Data[[#This Row],[DATE]]-DATE(STAMP_Escapement_Data[[#This Row],[YEAR]],8,1)</f>
        <v>86</v>
      </c>
    </row>
    <row r="965" spans="1:9" x14ac:dyDescent="0.25">
      <c r="A965" s="1">
        <v>36826</v>
      </c>
      <c r="B965">
        <v>1027</v>
      </c>
      <c r="C965">
        <v>2000</v>
      </c>
      <c r="D965">
        <v>60</v>
      </c>
      <c r="E965">
        <v>34</v>
      </c>
      <c r="F965">
        <v>16</v>
      </c>
      <c r="G965">
        <v>11</v>
      </c>
      <c r="H965">
        <f>SUMIFS($F$2:F965,$C$2:C965,C965)</f>
        <v>4982</v>
      </c>
      <c r="I965" s="8">
        <f>STAMP_Escapement_Data[[#This Row],[DATE]]-DATE(STAMP_Escapement_Data[[#This Row],[YEAR]],8,1)</f>
        <v>87</v>
      </c>
    </row>
    <row r="966" spans="1:9" x14ac:dyDescent="0.25">
      <c r="A966" s="1">
        <v>36827</v>
      </c>
      <c r="B966">
        <v>1028</v>
      </c>
      <c r="C966">
        <v>2000</v>
      </c>
      <c r="D966">
        <v>23</v>
      </c>
      <c r="E966">
        <v>7</v>
      </c>
      <c r="F966">
        <v>21</v>
      </c>
      <c r="G966">
        <v>4</v>
      </c>
      <c r="H966">
        <f>SUMIFS($F$2:F966,$C$2:C966,C966)</f>
        <v>5003</v>
      </c>
      <c r="I966" s="8">
        <f>STAMP_Escapement_Data[[#This Row],[DATE]]-DATE(STAMP_Escapement_Data[[#This Row],[YEAR]],8,1)</f>
        <v>88</v>
      </c>
    </row>
    <row r="967" spans="1:9" x14ac:dyDescent="0.25">
      <c r="A967" s="1">
        <v>36828</v>
      </c>
      <c r="B967">
        <v>1029</v>
      </c>
      <c r="C967">
        <v>2000</v>
      </c>
      <c r="D967">
        <v>5</v>
      </c>
      <c r="E967">
        <v>4</v>
      </c>
      <c r="F967">
        <v>3</v>
      </c>
      <c r="G967">
        <v>2</v>
      </c>
      <c r="H967">
        <f>SUMIFS($F$2:F967,$C$2:C967,C967)</f>
        <v>5006</v>
      </c>
      <c r="I967" s="8">
        <f>STAMP_Escapement_Data[[#This Row],[DATE]]-DATE(STAMP_Escapement_Data[[#This Row],[YEAR]],8,1)</f>
        <v>89</v>
      </c>
    </row>
    <row r="968" spans="1:9" x14ac:dyDescent="0.25">
      <c r="A968" s="1">
        <v>36829</v>
      </c>
      <c r="B968">
        <v>1030</v>
      </c>
      <c r="C968">
        <v>2000</v>
      </c>
      <c r="D968">
        <v>13</v>
      </c>
      <c r="E968">
        <v>11</v>
      </c>
      <c r="F968">
        <v>8</v>
      </c>
      <c r="G968">
        <v>0</v>
      </c>
      <c r="H968">
        <f>SUMIFS($F$2:F968,$C$2:C968,C968)</f>
        <v>5014</v>
      </c>
      <c r="I968" s="8">
        <f>STAMP_Escapement_Data[[#This Row],[DATE]]-DATE(STAMP_Escapement_Data[[#This Row],[YEAR]],8,1)</f>
        <v>90</v>
      </c>
    </row>
    <row r="969" spans="1:9" x14ac:dyDescent="0.25">
      <c r="A969" s="1">
        <v>36830</v>
      </c>
      <c r="B969">
        <v>1031</v>
      </c>
      <c r="C969">
        <v>2000</v>
      </c>
      <c r="D969">
        <v>33</v>
      </c>
      <c r="E969">
        <v>5</v>
      </c>
      <c r="F969">
        <v>3</v>
      </c>
      <c r="G969">
        <v>3</v>
      </c>
      <c r="H969">
        <f>SUMIFS($F$2:F969,$C$2:C969,C969)</f>
        <v>5017</v>
      </c>
      <c r="I969" s="8">
        <f>STAMP_Escapement_Data[[#This Row],[DATE]]-DATE(STAMP_Escapement_Data[[#This Row],[YEAR]],8,1)</f>
        <v>91</v>
      </c>
    </row>
    <row r="970" spans="1:9" x14ac:dyDescent="0.25">
      <c r="A970" s="1">
        <v>36831</v>
      </c>
      <c r="B970">
        <v>1101</v>
      </c>
      <c r="C970">
        <v>2000</v>
      </c>
      <c r="D970">
        <v>22</v>
      </c>
      <c r="E970">
        <v>5</v>
      </c>
      <c r="F970">
        <v>3</v>
      </c>
      <c r="G970">
        <v>1</v>
      </c>
      <c r="H970">
        <f>SUMIFS($F$2:F970,$C$2:C970,C970)</f>
        <v>5020</v>
      </c>
      <c r="I970" s="8">
        <f>STAMP_Escapement_Data[[#This Row],[DATE]]-DATE(STAMP_Escapement_Data[[#This Row],[YEAR]],8,1)</f>
        <v>92</v>
      </c>
    </row>
    <row r="971" spans="1:9" x14ac:dyDescent="0.25">
      <c r="A971" s="1">
        <v>36832</v>
      </c>
      <c r="B971">
        <v>1102</v>
      </c>
      <c r="C971">
        <v>2000</v>
      </c>
      <c r="D971">
        <v>17</v>
      </c>
      <c r="E971">
        <v>4</v>
      </c>
      <c r="F971">
        <v>10</v>
      </c>
      <c r="G971">
        <v>14</v>
      </c>
      <c r="H971">
        <f>SUMIFS($F$2:F971,$C$2:C971,C971)</f>
        <v>5030</v>
      </c>
      <c r="I971" s="8">
        <f>STAMP_Escapement_Data[[#This Row],[DATE]]-DATE(STAMP_Escapement_Data[[#This Row],[YEAR]],8,1)</f>
        <v>93</v>
      </c>
    </row>
    <row r="972" spans="1:9" x14ac:dyDescent="0.25">
      <c r="A972" s="1">
        <v>36833</v>
      </c>
      <c r="B972">
        <v>1103</v>
      </c>
      <c r="C972">
        <v>2000</v>
      </c>
      <c r="D972">
        <v>17</v>
      </c>
      <c r="E972">
        <v>8</v>
      </c>
      <c r="F972">
        <v>1</v>
      </c>
      <c r="G972">
        <v>2</v>
      </c>
      <c r="H972">
        <f>SUMIFS($F$2:F972,$C$2:C972,C972)</f>
        <v>5031</v>
      </c>
      <c r="I972" s="8">
        <f>STAMP_Escapement_Data[[#This Row],[DATE]]-DATE(STAMP_Escapement_Data[[#This Row],[YEAR]],8,1)</f>
        <v>94</v>
      </c>
    </row>
    <row r="973" spans="1:9" x14ac:dyDescent="0.25">
      <c r="A973" s="1">
        <v>36834</v>
      </c>
      <c r="B973">
        <v>1104</v>
      </c>
      <c r="C973">
        <v>2000</v>
      </c>
      <c r="D973">
        <v>0</v>
      </c>
      <c r="E973">
        <v>0</v>
      </c>
      <c r="F973">
        <v>0</v>
      </c>
      <c r="G973">
        <v>0</v>
      </c>
      <c r="H973">
        <f>SUMIFS($F$2:F973,$C$2:C973,C973)</f>
        <v>5031</v>
      </c>
      <c r="I973" s="8">
        <f>STAMP_Escapement_Data[[#This Row],[DATE]]-DATE(STAMP_Escapement_Data[[#This Row],[YEAR]],8,1)</f>
        <v>95</v>
      </c>
    </row>
    <row r="974" spans="1:9" x14ac:dyDescent="0.25">
      <c r="A974" s="1">
        <v>36835</v>
      </c>
      <c r="B974">
        <v>1105</v>
      </c>
      <c r="C974">
        <v>2000</v>
      </c>
      <c r="D974">
        <v>0</v>
      </c>
      <c r="E974">
        <v>0</v>
      </c>
      <c r="F974">
        <v>0</v>
      </c>
      <c r="G974">
        <v>0</v>
      </c>
      <c r="H974">
        <f>SUMIFS($F$2:F974,$C$2:C974,C974)</f>
        <v>5031</v>
      </c>
      <c r="I974" s="8">
        <f>STAMP_Escapement_Data[[#This Row],[DATE]]-DATE(STAMP_Escapement_Data[[#This Row],[YEAR]],8,1)</f>
        <v>96</v>
      </c>
    </row>
    <row r="975" spans="1:9" x14ac:dyDescent="0.25">
      <c r="A975" s="1">
        <v>36836</v>
      </c>
      <c r="B975">
        <v>1106</v>
      </c>
      <c r="C975">
        <v>2000</v>
      </c>
      <c r="D975">
        <v>0</v>
      </c>
      <c r="E975">
        <v>0</v>
      </c>
      <c r="F975">
        <v>0</v>
      </c>
      <c r="G975">
        <v>0</v>
      </c>
      <c r="H975">
        <f>SUMIFS($F$2:F975,$C$2:C975,C975)</f>
        <v>5031</v>
      </c>
      <c r="I975" s="8">
        <f>STAMP_Escapement_Data[[#This Row],[DATE]]-DATE(STAMP_Escapement_Data[[#This Row],[YEAR]],8,1)</f>
        <v>97</v>
      </c>
    </row>
    <row r="976" spans="1:9" x14ac:dyDescent="0.25">
      <c r="A976" s="1">
        <v>36837</v>
      </c>
      <c r="B976">
        <v>1107</v>
      </c>
      <c r="C976">
        <v>2000</v>
      </c>
      <c r="D976">
        <v>0</v>
      </c>
      <c r="E976">
        <v>0</v>
      </c>
      <c r="F976">
        <v>0</v>
      </c>
      <c r="G976">
        <v>0</v>
      </c>
      <c r="H976">
        <f>SUMIFS($F$2:F976,$C$2:C976,C976)</f>
        <v>5031</v>
      </c>
      <c r="I976" s="8">
        <f>STAMP_Escapement_Data[[#This Row],[DATE]]-DATE(STAMP_Escapement_Data[[#This Row],[YEAR]],8,1)</f>
        <v>98</v>
      </c>
    </row>
    <row r="977" spans="1:9" x14ac:dyDescent="0.25">
      <c r="A977" s="1">
        <v>36838</v>
      </c>
      <c r="B977">
        <v>1108</v>
      </c>
      <c r="C977">
        <v>2000</v>
      </c>
      <c r="D977">
        <v>14</v>
      </c>
      <c r="E977">
        <v>6</v>
      </c>
      <c r="F977">
        <v>1</v>
      </c>
      <c r="G977">
        <v>0</v>
      </c>
      <c r="H977">
        <f>SUMIFS($F$2:F977,$C$2:C977,C977)</f>
        <v>5032</v>
      </c>
      <c r="I977" s="8">
        <f>STAMP_Escapement_Data[[#This Row],[DATE]]-DATE(STAMP_Escapement_Data[[#This Row],[YEAR]],8,1)</f>
        <v>99</v>
      </c>
    </row>
    <row r="978" spans="1:9" x14ac:dyDescent="0.25">
      <c r="A978" s="1">
        <v>37140</v>
      </c>
      <c r="B978">
        <v>906</v>
      </c>
      <c r="C978">
        <v>2001</v>
      </c>
      <c r="D978">
        <v>6757</v>
      </c>
      <c r="E978">
        <v>413</v>
      </c>
      <c r="F978">
        <v>1271</v>
      </c>
      <c r="G978">
        <v>113</v>
      </c>
      <c r="H978">
        <f>SUMIFS($F$2:F978,$C$2:C978,C978)</f>
        <v>1271</v>
      </c>
      <c r="I978" s="8">
        <f>STAMP_Escapement_Data[[#This Row],[DATE]]-DATE(STAMP_Escapement_Data[[#This Row],[YEAR]],8,1)</f>
        <v>36</v>
      </c>
    </row>
    <row r="979" spans="1:9" x14ac:dyDescent="0.25">
      <c r="A979" s="1">
        <v>37140</v>
      </c>
      <c r="B979">
        <v>906</v>
      </c>
      <c r="C979">
        <v>2001</v>
      </c>
      <c r="D979">
        <v>4786</v>
      </c>
      <c r="E979">
        <v>5</v>
      </c>
      <c r="F979">
        <v>0</v>
      </c>
      <c r="G979">
        <v>0</v>
      </c>
      <c r="H979">
        <f>SUMIFS($F$2:F979,$C$2:C979,C979)</f>
        <v>1271</v>
      </c>
      <c r="I979" s="8">
        <f>STAMP_Escapement_Data[[#This Row],[DATE]]-DATE(STAMP_Escapement_Data[[#This Row],[YEAR]],8,1)</f>
        <v>36</v>
      </c>
    </row>
    <row r="980" spans="1:9" x14ac:dyDescent="0.25">
      <c r="A980" s="1">
        <v>37140</v>
      </c>
      <c r="B980">
        <v>906</v>
      </c>
      <c r="C980">
        <v>2001</v>
      </c>
      <c r="D980">
        <v>593</v>
      </c>
      <c r="E980">
        <v>34</v>
      </c>
      <c r="F980">
        <v>83</v>
      </c>
      <c r="G980">
        <v>39</v>
      </c>
      <c r="H980">
        <f>SUMIFS($F$2:F980,$C$2:C980,C980)</f>
        <v>1354</v>
      </c>
      <c r="I980" s="8">
        <f>STAMP_Escapement_Data[[#This Row],[DATE]]-DATE(STAMP_Escapement_Data[[#This Row],[YEAR]],8,1)</f>
        <v>36</v>
      </c>
    </row>
    <row r="981" spans="1:9" x14ac:dyDescent="0.25">
      <c r="A981" s="1">
        <v>37141</v>
      </c>
      <c r="B981">
        <v>907</v>
      </c>
      <c r="C981">
        <v>2001</v>
      </c>
      <c r="D981">
        <v>1252</v>
      </c>
      <c r="E981">
        <v>84</v>
      </c>
      <c r="F981">
        <v>226</v>
      </c>
      <c r="G981">
        <v>75</v>
      </c>
      <c r="H981">
        <f>SUMIFS($F$2:F981,$C$2:C981,C981)</f>
        <v>1580</v>
      </c>
      <c r="I981" s="8">
        <f>STAMP_Escapement_Data[[#This Row],[DATE]]-DATE(STAMP_Escapement_Data[[#This Row],[YEAR]],8,1)</f>
        <v>37</v>
      </c>
    </row>
    <row r="982" spans="1:9" x14ac:dyDescent="0.25">
      <c r="A982" s="1">
        <v>37142</v>
      </c>
      <c r="B982">
        <v>908</v>
      </c>
      <c r="C982">
        <v>2001</v>
      </c>
      <c r="D982">
        <v>1134</v>
      </c>
      <c r="E982">
        <v>90</v>
      </c>
      <c r="F982">
        <v>225</v>
      </c>
      <c r="G982">
        <v>79</v>
      </c>
      <c r="H982">
        <f>SUMIFS($F$2:F982,$C$2:C982,C982)</f>
        <v>1805</v>
      </c>
      <c r="I982" s="8">
        <f>STAMP_Escapement_Data[[#This Row],[DATE]]-DATE(STAMP_Escapement_Data[[#This Row],[YEAR]],8,1)</f>
        <v>38</v>
      </c>
    </row>
    <row r="983" spans="1:9" x14ac:dyDescent="0.25">
      <c r="A983" s="1">
        <v>37143</v>
      </c>
      <c r="B983">
        <v>909</v>
      </c>
      <c r="C983">
        <v>2001</v>
      </c>
      <c r="D983">
        <v>969</v>
      </c>
      <c r="E983">
        <v>82</v>
      </c>
      <c r="F983">
        <v>224</v>
      </c>
      <c r="G983">
        <v>56</v>
      </c>
      <c r="H983">
        <f>SUMIFS($F$2:F983,$C$2:C983,C983)</f>
        <v>2029</v>
      </c>
      <c r="I983" s="8">
        <f>STAMP_Escapement_Data[[#This Row],[DATE]]-DATE(STAMP_Escapement_Data[[#This Row],[YEAR]],8,1)</f>
        <v>39</v>
      </c>
    </row>
    <row r="984" spans="1:9" x14ac:dyDescent="0.25">
      <c r="A984" s="1">
        <v>37144</v>
      </c>
      <c r="B984">
        <v>910</v>
      </c>
      <c r="C984">
        <v>2001</v>
      </c>
      <c r="D984">
        <v>850</v>
      </c>
      <c r="E984">
        <v>114</v>
      </c>
      <c r="F984">
        <v>249</v>
      </c>
      <c r="G984">
        <v>102</v>
      </c>
      <c r="H984">
        <f>SUMIFS($F$2:F984,$C$2:C984,C984)</f>
        <v>2278</v>
      </c>
      <c r="I984" s="8">
        <f>STAMP_Escapement_Data[[#This Row],[DATE]]-DATE(STAMP_Escapement_Data[[#This Row],[YEAR]],8,1)</f>
        <v>40</v>
      </c>
    </row>
    <row r="985" spans="1:9" x14ac:dyDescent="0.25">
      <c r="A985" s="1">
        <v>37145</v>
      </c>
      <c r="B985">
        <v>911</v>
      </c>
      <c r="C985">
        <v>2001</v>
      </c>
      <c r="D985">
        <v>993</v>
      </c>
      <c r="E985">
        <v>122</v>
      </c>
      <c r="F985">
        <v>268</v>
      </c>
      <c r="G985">
        <v>135</v>
      </c>
      <c r="H985">
        <f>SUMIFS($F$2:F985,$C$2:C985,C985)</f>
        <v>2546</v>
      </c>
      <c r="I985" s="8">
        <f>STAMP_Escapement_Data[[#This Row],[DATE]]-DATE(STAMP_Escapement_Data[[#This Row],[YEAR]],8,1)</f>
        <v>41</v>
      </c>
    </row>
    <row r="986" spans="1:9" x14ac:dyDescent="0.25">
      <c r="A986" s="1">
        <v>37146</v>
      </c>
      <c r="B986">
        <v>912</v>
      </c>
      <c r="C986">
        <v>2001</v>
      </c>
      <c r="D986">
        <v>1676</v>
      </c>
      <c r="E986">
        <v>89</v>
      </c>
      <c r="F986">
        <v>327</v>
      </c>
      <c r="G986">
        <v>134</v>
      </c>
      <c r="H986">
        <f>SUMIFS($F$2:F986,$C$2:C986,C986)</f>
        <v>2873</v>
      </c>
      <c r="I986" s="8">
        <f>STAMP_Escapement_Data[[#This Row],[DATE]]-DATE(STAMP_Escapement_Data[[#This Row],[YEAR]],8,1)</f>
        <v>42</v>
      </c>
    </row>
    <row r="987" spans="1:9" x14ac:dyDescent="0.25">
      <c r="A987" s="1">
        <v>37147</v>
      </c>
      <c r="B987">
        <v>913</v>
      </c>
      <c r="C987">
        <v>2001</v>
      </c>
      <c r="D987">
        <v>1320</v>
      </c>
      <c r="E987">
        <v>71</v>
      </c>
      <c r="F987">
        <v>282</v>
      </c>
      <c r="G987">
        <v>181</v>
      </c>
      <c r="H987">
        <f>SUMIFS($F$2:F987,$C$2:C987,C987)</f>
        <v>3155</v>
      </c>
      <c r="I987" s="8">
        <f>STAMP_Escapement_Data[[#This Row],[DATE]]-DATE(STAMP_Escapement_Data[[#This Row],[YEAR]],8,1)</f>
        <v>43</v>
      </c>
    </row>
    <row r="988" spans="1:9" x14ac:dyDescent="0.25">
      <c r="A988" s="1">
        <v>37148</v>
      </c>
      <c r="B988">
        <v>914</v>
      </c>
      <c r="C988">
        <v>2001</v>
      </c>
      <c r="D988">
        <v>1367</v>
      </c>
      <c r="E988">
        <v>99</v>
      </c>
      <c r="F988">
        <v>522</v>
      </c>
      <c r="G988">
        <v>208</v>
      </c>
      <c r="H988">
        <f>SUMIFS($F$2:F988,$C$2:C988,C988)</f>
        <v>3677</v>
      </c>
      <c r="I988" s="8">
        <f>STAMP_Escapement_Data[[#This Row],[DATE]]-DATE(STAMP_Escapement_Data[[#This Row],[YEAR]],8,1)</f>
        <v>44</v>
      </c>
    </row>
    <row r="989" spans="1:9" x14ac:dyDescent="0.25">
      <c r="A989" s="1">
        <v>37149</v>
      </c>
      <c r="B989">
        <v>915</v>
      </c>
      <c r="C989">
        <v>2001</v>
      </c>
      <c r="D989">
        <v>783</v>
      </c>
      <c r="E989">
        <v>97</v>
      </c>
      <c r="F989">
        <v>312</v>
      </c>
      <c r="G989">
        <v>120</v>
      </c>
      <c r="H989">
        <f>SUMIFS($F$2:F989,$C$2:C989,C989)</f>
        <v>3989</v>
      </c>
      <c r="I989" s="8">
        <f>STAMP_Escapement_Data[[#This Row],[DATE]]-DATE(STAMP_Escapement_Data[[#This Row],[YEAR]],8,1)</f>
        <v>45</v>
      </c>
    </row>
    <row r="990" spans="1:9" x14ac:dyDescent="0.25">
      <c r="A990" s="1">
        <v>37150</v>
      </c>
      <c r="B990">
        <v>916</v>
      </c>
      <c r="C990">
        <v>2001</v>
      </c>
      <c r="D990">
        <v>1449</v>
      </c>
      <c r="E990">
        <v>122</v>
      </c>
      <c r="F990">
        <v>325</v>
      </c>
      <c r="G990">
        <v>181</v>
      </c>
      <c r="H990">
        <f>SUMIFS($F$2:F990,$C$2:C990,C990)</f>
        <v>4314</v>
      </c>
      <c r="I990" s="8">
        <f>STAMP_Escapement_Data[[#This Row],[DATE]]-DATE(STAMP_Escapement_Data[[#This Row],[YEAR]],8,1)</f>
        <v>46</v>
      </c>
    </row>
    <row r="991" spans="1:9" x14ac:dyDescent="0.25">
      <c r="A991" s="1">
        <v>37151</v>
      </c>
      <c r="B991">
        <v>917</v>
      </c>
      <c r="C991">
        <v>2001</v>
      </c>
      <c r="D991">
        <v>2027</v>
      </c>
      <c r="E991">
        <v>90</v>
      </c>
      <c r="F991">
        <v>140</v>
      </c>
      <c r="G991">
        <v>75</v>
      </c>
      <c r="H991">
        <f>SUMIFS($F$2:F991,$C$2:C991,C991)</f>
        <v>4454</v>
      </c>
      <c r="I991" s="8">
        <f>STAMP_Escapement_Data[[#This Row],[DATE]]-DATE(STAMP_Escapement_Data[[#This Row],[YEAR]],8,1)</f>
        <v>47</v>
      </c>
    </row>
    <row r="992" spans="1:9" x14ac:dyDescent="0.25">
      <c r="A992" s="1">
        <v>37152</v>
      </c>
      <c r="B992">
        <v>918</v>
      </c>
      <c r="C992">
        <v>2001</v>
      </c>
      <c r="D992">
        <v>2024</v>
      </c>
      <c r="E992">
        <v>106</v>
      </c>
      <c r="F992">
        <v>117</v>
      </c>
      <c r="G992">
        <v>42</v>
      </c>
      <c r="H992">
        <f>SUMIFS($F$2:F992,$C$2:C992,C992)</f>
        <v>4571</v>
      </c>
      <c r="I992" s="8">
        <f>STAMP_Escapement_Data[[#This Row],[DATE]]-DATE(STAMP_Escapement_Data[[#This Row],[YEAR]],8,1)</f>
        <v>48</v>
      </c>
    </row>
    <row r="993" spans="1:9" x14ac:dyDescent="0.25">
      <c r="A993" s="1">
        <v>37153</v>
      </c>
      <c r="B993">
        <v>919</v>
      </c>
      <c r="C993">
        <v>2001</v>
      </c>
      <c r="D993">
        <v>2649</v>
      </c>
      <c r="E993">
        <v>88</v>
      </c>
      <c r="F993">
        <v>203</v>
      </c>
      <c r="G993">
        <v>55</v>
      </c>
      <c r="H993">
        <f>SUMIFS($F$2:F993,$C$2:C993,C993)</f>
        <v>4774</v>
      </c>
      <c r="I993" s="8">
        <f>STAMP_Escapement_Data[[#This Row],[DATE]]-DATE(STAMP_Escapement_Data[[#This Row],[YEAR]],8,1)</f>
        <v>49</v>
      </c>
    </row>
    <row r="994" spans="1:9" x14ac:dyDescent="0.25">
      <c r="A994" s="1">
        <v>37154</v>
      </c>
      <c r="B994">
        <v>920</v>
      </c>
      <c r="C994">
        <v>2001</v>
      </c>
      <c r="D994">
        <v>1827</v>
      </c>
      <c r="E994">
        <v>36</v>
      </c>
      <c r="F994">
        <v>209</v>
      </c>
      <c r="G994">
        <v>12</v>
      </c>
      <c r="H994">
        <f>SUMIFS($F$2:F994,$C$2:C994,C994)</f>
        <v>4983</v>
      </c>
      <c r="I994" s="8">
        <f>STAMP_Escapement_Data[[#This Row],[DATE]]-DATE(STAMP_Escapement_Data[[#This Row],[YEAR]],8,1)</f>
        <v>50</v>
      </c>
    </row>
    <row r="995" spans="1:9" x14ac:dyDescent="0.25">
      <c r="A995" s="1">
        <v>37155</v>
      </c>
      <c r="B995">
        <v>921</v>
      </c>
      <c r="C995">
        <v>2001</v>
      </c>
      <c r="D995">
        <v>2862</v>
      </c>
      <c r="E995">
        <v>90</v>
      </c>
      <c r="F995">
        <v>259</v>
      </c>
      <c r="G995">
        <v>25</v>
      </c>
      <c r="H995">
        <f>SUMIFS($F$2:F995,$C$2:C995,C995)</f>
        <v>5242</v>
      </c>
      <c r="I995" s="8">
        <f>STAMP_Escapement_Data[[#This Row],[DATE]]-DATE(STAMP_Escapement_Data[[#This Row],[YEAR]],8,1)</f>
        <v>51</v>
      </c>
    </row>
    <row r="996" spans="1:9" x14ac:dyDescent="0.25">
      <c r="A996" s="1">
        <v>37156</v>
      </c>
      <c r="B996">
        <v>922</v>
      </c>
      <c r="C996">
        <v>2001</v>
      </c>
      <c r="D996">
        <v>2527</v>
      </c>
      <c r="E996">
        <v>111</v>
      </c>
      <c r="F996">
        <v>202</v>
      </c>
      <c r="G996">
        <v>23</v>
      </c>
      <c r="H996">
        <f>SUMIFS($F$2:F996,$C$2:C996,C996)</f>
        <v>5444</v>
      </c>
      <c r="I996" s="8">
        <f>STAMP_Escapement_Data[[#This Row],[DATE]]-DATE(STAMP_Escapement_Data[[#This Row],[YEAR]],8,1)</f>
        <v>52</v>
      </c>
    </row>
    <row r="997" spans="1:9" x14ac:dyDescent="0.25">
      <c r="A997" s="1">
        <v>37157</v>
      </c>
      <c r="B997">
        <v>923</v>
      </c>
      <c r="C997">
        <v>2001</v>
      </c>
      <c r="D997">
        <v>2178</v>
      </c>
      <c r="E997">
        <v>107</v>
      </c>
      <c r="F997">
        <v>174</v>
      </c>
      <c r="G997">
        <v>20</v>
      </c>
      <c r="H997">
        <f>SUMIFS($F$2:F997,$C$2:C997,C997)</f>
        <v>5618</v>
      </c>
      <c r="I997" s="8">
        <f>STAMP_Escapement_Data[[#This Row],[DATE]]-DATE(STAMP_Escapement_Data[[#This Row],[YEAR]],8,1)</f>
        <v>53</v>
      </c>
    </row>
    <row r="998" spans="1:9" x14ac:dyDescent="0.25">
      <c r="A998" s="1">
        <v>37158</v>
      </c>
      <c r="B998">
        <v>924</v>
      </c>
      <c r="C998">
        <v>2001</v>
      </c>
      <c r="D998">
        <v>2421</v>
      </c>
      <c r="E998">
        <v>145</v>
      </c>
      <c r="F998">
        <v>247</v>
      </c>
      <c r="G998">
        <v>27</v>
      </c>
      <c r="H998">
        <f>SUMIFS($F$2:F998,$C$2:C998,C998)</f>
        <v>5865</v>
      </c>
      <c r="I998" s="8">
        <f>STAMP_Escapement_Data[[#This Row],[DATE]]-DATE(STAMP_Escapement_Data[[#This Row],[YEAR]],8,1)</f>
        <v>54</v>
      </c>
    </row>
    <row r="999" spans="1:9" x14ac:dyDescent="0.25">
      <c r="A999" s="1">
        <v>37159</v>
      </c>
      <c r="B999">
        <v>925</v>
      </c>
      <c r="C999">
        <v>2001</v>
      </c>
      <c r="D999">
        <v>2684</v>
      </c>
      <c r="E999">
        <v>190</v>
      </c>
      <c r="F999">
        <v>276</v>
      </c>
      <c r="G999">
        <v>44</v>
      </c>
      <c r="H999">
        <f>SUMIFS($F$2:F999,$C$2:C999,C999)</f>
        <v>6141</v>
      </c>
      <c r="I999" s="8">
        <f>STAMP_Escapement_Data[[#This Row],[DATE]]-DATE(STAMP_Escapement_Data[[#This Row],[YEAR]],8,1)</f>
        <v>55</v>
      </c>
    </row>
    <row r="1000" spans="1:9" x14ac:dyDescent="0.25">
      <c r="A1000" s="1">
        <v>37160</v>
      </c>
      <c r="B1000">
        <v>926</v>
      </c>
      <c r="C1000">
        <v>2001</v>
      </c>
      <c r="D1000">
        <v>2564</v>
      </c>
      <c r="E1000">
        <v>222</v>
      </c>
      <c r="F1000">
        <v>409</v>
      </c>
      <c r="G1000">
        <v>48</v>
      </c>
      <c r="H1000">
        <f>SUMIFS($F$2:F1000,$C$2:C1000,C1000)</f>
        <v>6550</v>
      </c>
      <c r="I1000" s="8">
        <f>STAMP_Escapement_Data[[#This Row],[DATE]]-DATE(STAMP_Escapement_Data[[#This Row],[YEAR]],8,1)</f>
        <v>56</v>
      </c>
    </row>
    <row r="1001" spans="1:9" x14ac:dyDescent="0.25">
      <c r="A1001" s="1">
        <v>37161</v>
      </c>
      <c r="B1001">
        <v>927</v>
      </c>
      <c r="C1001">
        <v>2001</v>
      </c>
      <c r="D1001">
        <v>1806</v>
      </c>
      <c r="E1001">
        <v>120</v>
      </c>
      <c r="F1001">
        <v>123</v>
      </c>
      <c r="G1001">
        <v>24</v>
      </c>
      <c r="H1001">
        <f>SUMIFS($F$2:F1001,$C$2:C1001,C1001)</f>
        <v>6673</v>
      </c>
      <c r="I1001" s="8">
        <f>STAMP_Escapement_Data[[#This Row],[DATE]]-DATE(STAMP_Escapement_Data[[#This Row],[YEAR]],8,1)</f>
        <v>57</v>
      </c>
    </row>
    <row r="1002" spans="1:9" x14ac:dyDescent="0.25">
      <c r="A1002" s="1">
        <v>37162</v>
      </c>
      <c r="B1002">
        <v>928</v>
      </c>
      <c r="C1002">
        <v>2001</v>
      </c>
      <c r="D1002">
        <v>1482</v>
      </c>
      <c r="E1002">
        <v>70</v>
      </c>
      <c r="F1002">
        <v>210</v>
      </c>
      <c r="G1002">
        <v>15</v>
      </c>
      <c r="H1002">
        <f>SUMIFS($F$2:F1002,$C$2:C1002,C1002)</f>
        <v>6883</v>
      </c>
      <c r="I1002" s="8">
        <f>STAMP_Escapement_Data[[#This Row],[DATE]]-DATE(STAMP_Escapement_Data[[#This Row],[YEAR]],8,1)</f>
        <v>58</v>
      </c>
    </row>
    <row r="1003" spans="1:9" x14ac:dyDescent="0.25">
      <c r="A1003" s="1">
        <v>37163</v>
      </c>
      <c r="B1003">
        <v>929</v>
      </c>
      <c r="C1003">
        <v>2001</v>
      </c>
      <c r="D1003">
        <v>2466</v>
      </c>
      <c r="E1003">
        <v>102</v>
      </c>
      <c r="F1003">
        <v>169</v>
      </c>
      <c r="G1003">
        <v>11</v>
      </c>
      <c r="H1003">
        <f>SUMIFS($F$2:F1003,$C$2:C1003,C1003)</f>
        <v>7052</v>
      </c>
      <c r="I1003" s="8">
        <f>STAMP_Escapement_Data[[#This Row],[DATE]]-DATE(STAMP_Escapement_Data[[#This Row],[YEAR]],8,1)</f>
        <v>59</v>
      </c>
    </row>
    <row r="1004" spans="1:9" x14ac:dyDescent="0.25">
      <c r="A1004" s="1">
        <v>37164</v>
      </c>
      <c r="B1004">
        <v>930</v>
      </c>
      <c r="C1004">
        <v>2001</v>
      </c>
      <c r="D1004">
        <v>2010</v>
      </c>
      <c r="E1004">
        <v>104</v>
      </c>
      <c r="F1004">
        <v>154</v>
      </c>
      <c r="G1004">
        <v>8</v>
      </c>
      <c r="H1004">
        <f>SUMIFS($F$2:F1004,$C$2:C1004,C1004)</f>
        <v>7206</v>
      </c>
      <c r="I1004" s="8">
        <f>STAMP_Escapement_Data[[#This Row],[DATE]]-DATE(STAMP_Escapement_Data[[#This Row],[YEAR]],8,1)</f>
        <v>60</v>
      </c>
    </row>
    <row r="1005" spans="1:9" x14ac:dyDescent="0.25">
      <c r="A1005" s="1">
        <v>37165</v>
      </c>
      <c r="B1005">
        <v>1001</v>
      </c>
      <c r="C1005">
        <v>2001</v>
      </c>
      <c r="D1005">
        <v>1712</v>
      </c>
      <c r="E1005">
        <v>109</v>
      </c>
      <c r="F1005">
        <v>117</v>
      </c>
      <c r="G1005">
        <v>10</v>
      </c>
      <c r="H1005">
        <f>SUMIFS($F$2:F1005,$C$2:C1005,C1005)</f>
        <v>7323</v>
      </c>
      <c r="I1005" s="8">
        <f>STAMP_Escapement_Data[[#This Row],[DATE]]-DATE(STAMP_Escapement_Data[[#This Row],[YEAR]],8,1)</f>
        <v>61</v>
      </c>
    </row>
    <row r="1006" spans="1:9" x14ac:dyDescent="0.25">
      <c r="A1006" s="1">
        <v>37166</v>
      </c>
      <c r="B1006">
        <v>1002</v>
      </c>
      <c r="C1006">
        <v>2001</v>
      </c>
      <c r="D1006">
        <v>2012</v>
      </c>
      <c r="E1006">
        <v>138</v>
      </c>
      <c r="F1006">
        <v>168</v>
      </c>
      <c r="G1006">
        <v>15</v>
      </c>
      <c r="H1006">
        <f>SUMIFS($F$2:F1006,$C$2:C1006,C1006)</f>
        <v>7491</v>
      </c>
      <c r="I1006" s="8">
        <f>STAMP_Escapement_Data[[#This Row],[DATE]]-DATE(STAMP_Escapement_Data[[#This Row],[YEAR]],8,1)</f>
        <v>62</v>
      </c>
    </row>
    <row r="1007" spans="1:9" x14ac:dyDescent="0.25">
      <c r="A1007" s="1">
        <v>37167</v>
      </c>
      <c r="B1007">
        <v>1003</v>
      </c>
      <c r="C1007">
        <v>2001</v>
      </c>
      <c r="D1007">
        <v>2263</v>
      </c>
      <c r="E1007">
        <v>132</v>
      </c>
      <c r="F1007">
        <v>162</v>
      </c>
      <c r="G1007">
        <v>18</v>
      </c>
      <c r="H1007">
        <f>SUMIFS($F$2:F1007,$C$2:C1007,C1007)</f>
        <v>7653</v>
      </c>
      <c r="I1007" s="8">
        <f>STAMP_Escapement_Data[[#This Row],[DATE]]-DATE(STAMP_Escapement_Data[[#This Row],[YEAR]],8,1)</f>
        <v>63</v>
      </c>
    </row>
    <row r="1008" spans="1:9" x14ac:dyDescent="0.25">
      <c r="A1008" s="1">
        <v>37168</v>
      </c>
      <c r="B1008">
        <v>1004</v>
      </c>
      <c r="C1008">
        <v>2001</v>
      </c>
      <c r="D1008">
        <v>2505</v>
      </c>
      <c r="E1008">
        <v>157</v>
      </c>
      <c r="F1008">
        <v>170</v>
      </c>
      <c r="G1008">
        <v>28</v>
      </c>
      <c r="H1008">
        <f>SUMIFS($F$2:F1008,$C$2:C1008,C1008)</f>
        <v>7823</v>
      </c>
      <c r="I1008" s="8">
        <f>STAMP_Escapement_Data[[#This Row],[DATE]]-DATE(STAMP_Escapement_Data[[#This Row],[YEAR]],8,1)</f>
        <v>64</v>
      </c>
    </row>
    <row r="1009" spans="1:9" x14ac:dyDescent="0.25">
      <c r="A1009" s="1">
        <v>37169</v>
      </c>
      <c r="B1009">
        <v>1005</v>
      </c>
      <c r="C1009">
        <v>2001</v>
      </c>
      <c r="D1009">
        <v>3116</v>
      </c>
      <c r="E1009">
        <v>188</v>
      </c>
      <c r="F1009">
        <v>284</v>
      </c>
      <c r="G1009">
        <v>48</v>
      </c>
      <c r="H1009">
        <f>SUMIFS($F$2:F1009,$C$2:C1009,C1009)</f>
        <v>8107</v>
      </c>
      <c r="I1009" s="8">
        <f>STAMP_Escapement_Data[[#This Row],[DATE]]-DATE(STAMP_Escapement_Data[[#This Row],[YEAR]],8,1)</f>
        <v>65</v>
      </c>
    </row>
    <row r="1010" spans="1:9" x14ac:dyDescent="0.25">
      <c r="A1010" s="1">
        <v>37170</v>
      </c>
      <c r="B1010">
        <v>1006</v>
      </c>
      <c r="C1010">
        <v>2001</v>
      </c>
      <c r="D1010">
        <v>3305</v>
      </c>
      <c r="E1010">
        <v>120</v>
      </c>
      <c r="F1010">
        <v>590</v>
      </c>
      <c r="G1010">
        <v>65</v>
      </c>
      <c r="H1010">
        <f>SUMIFS($F$2:F1010,$C$2:C1010,C1010)</f>
        <v>8697</v>
      </c>
      <c r="I1010" s="8">
        <f>STAMP_Escapement_Data[[#This Row],[DATE]]-DATE(STAMP_Escapement_Data[[#This Row],[YEAR]],8,1)</f>
        <v>66</v>
      </c>
    </row>
    <row r="1011" spans="1:9" x14ac:dyDescent="0.25">
      <c r="A1011" s="1">
        <v>37171</v>
      </c>
      <c r="B1011">
        <v>1007</v>
      </c>
      <c r="C1011">
        <v>2001</v>
      </c>
      <c r="D1011">
        <v>1995</v>
      </c>
      <c r="E1011">
        <v>113</v>
      </c>
      <c r="F1011">
        <v>245</v>
      </c>
      <c r="G1011">
        <v>33</v>
      </c>
      <c r="H1011">
        <f>SUMIFS($F$2:F1011,$C$2:C1011,C1011)</f>
        <v>8942</v>
      </c>
      <c r="I1011" s="8">
        <f>STAMP_Escapement_Data[[#This Row],[DATE]]-DATE(STAMP_Escapement_Data[[#This Row],[YEAR]],8,1)</f>
        <v>67</v>
      </c>
    </row>
    <row r="1012" spans="1:9" x14ac:dyDescent="0.25">
      <c r="A1012" s="1">
        <v>37172</v>
      </c>
      <c r="B1012">
        <v>1008</v>
      </c>
      <c r="C1012">
        <v>2001</v>
      </c>
      <c r="D1012">
        <v>2203</v>
      </c>
      <c r="E1012">
        <v>91</v>
      </c>
      <c r="F1012">
        <v>431</v>
      </c>
      <c r="G1012">
        <v>34</v>
      </c>
      <c r="H1012">
        <f>SUMIFS($F$2:F1012,$C$2:C1012,C1012)</f>
        <v>9373</v>
      </c>
      <c r="I1012" s="8">
        <f>STAMP_Escapement_Data[[#This Row],[DATE]]-DATE(STAMP_Escapement_Data[[#This Row],[YEAR]],8,1)</f>
        <v>68</v>
      </c>
    </row>
    <row r="1013" spans="1:9" x14ac:dyDescent="0.25">
      <c r="A1013" s="1">
        <v>37173</v>
      </c>
      <c r="B1013">
        <v>1009</v>
      </c>
      <c r="C1013">
        <v>2001</v>
      </c>
      <c r="D1013">
        <v>2095</v>
      </c>
      <c r="E1013">
        <v>84</v>
      </c>
      <c r="F1013">
        <v>596</v>
      </c>
      <c r="G1013">
        <v>45</v>
      </c>
      <c r="H1013">
        <f>SUMIFS($F$2:F1013,$C$2:C1013,C1013)</f>
        <v>9969</v>
      </c>
      <c r="I1013" s="8">
        <f>STAMP_Escapement_Data[[#This Row],[DATE]]-DATE(STAMP_Escapement_Data[[#This Row],[YEAR]],8,1)</f>
        <v>69</v>
      </c>
    </row>
    <row r="1014" spans="1:9" x14ac:dyDescent="0.25">
      <c r="A1014" s="1">
        <v>37174</v>
      </c>
      <c r="B1014">
        <v>1010</v>
      </c>
      <c r="C1014">
        <v>2001</v>
      </c>
      <c r="D1014">
        <v>1022</v>
      </c>
      <c r="E1014">
        <v>52</v>
      </c>
      <c r="F1014">
        <v>1126</v>
      </c>
      <c r="G1014">
        <v>75</v>
      </c>
      <c r="H1014">
        <f>SUMIFS($F$2:F1014,$C$2:C1014,C1014)</f>
        <v>11095</v>
      </c>
      <c r="I1014" s="8">
        <f>STAMP_Escapement_Data[[#This Row],[DATE]]-DATE(STAMP_Escapement_Data[[#This Row],[YEAR]],8,1)</f>
        <v>70</v>
      </c>
    </row>
    <row r="1015" spans="1:9" x14ac:dyDescent="0.25">
      <c r="A1015" s="1">
        <v>37175</v>
      </c>
      <c r="B1015">
        <v>1011</v>
      </c>
      <c r="C1015">
        <v>2001</v>
      </c>
      <c r="D1015">
        <v>1709</v>
      </c>
      <c r="E1015">
        <v>78</v>
      </c>
      <c r="F1015">
        <v>1041</v>
      </c>
      <c r="G1015">
        <v>45</v>
      </c>
      <c r="H1015">
        <f>SUMIFS($F$2:F1015,$C$2:C1015,C1015)</f>
        <v>12136</v>
      </c>
      <c r="I1015" s="8">
        <f>STAMP_Escapement_Data[[#This Row],[DATE]]-DATE(STAMP_Escapement_Data[[#This Row],[YEAR]],8,1)</f>
        <v>71</v>
      </c>
    </row>
    <row r="1016" spans="1:9" x14ac:dyDescent="0.25">
      <c r="A1016" s="1">
        <v>37176</v>
      </c>
      <c r="B1016">
        <v>1012</v>
      </c>
      <c r="C1016">
        <v>2001</v>
      </c>
      <c r="D1016">
        <v>1580</v>
      </c>
      <c r="E1016">
        <v>83</v>
      </c>
      <c r="F1016">
        <v>2729</v>
      </c>
      <c r="G1016">
        <v>163</v>
      </c>
      <c r="H1016">
        <f>SUMIFS($F$2:F1016,$C$2:C1016,C1016)</f>
        <v>14865</v>
      </c>
      <c r="I1016" s="8">
        <f>STAMP_Escapement_Data[[#This Row],[DATE]]-DATE(STAMP_Escapement_Data[[#This Row],[YEAR]],8,1)</f>
        <v>72</v>
      </c>
    </row>
    <row r="1017" spans="1:9" x14ac:dyDescent="0.25">
      <c r="A1017" s="1">
        <v>37177</v>
      </c>
      <c r="B1017">
        <v>1013</v>
      </c>
      <c r="C1017">
        <v>2001</v>
      </c>
      <c r="D1017">
        <v>2318</v>
      </c>
      <c r="E1017">
        <v>75</v>
      </c>
      <c r="F1017">
        <v>1371</v>
      </c>
      <c r="G1017">
        <v>84</v>
      </c>
      <c r="H1017">
        <f>SUMIFS($F$2:F1017,$C$2:C1017,C1017)</f>
        <v>16236</v>
      </c>
      <c r="I1017" s="8">
        <f>STAMP_Escapement_Data[[#This Row],[DATE]]-DATE(STAMP_Escapement_Data[[#This Row],[YEAR]],8,1)</f>
        <v>73</v>
      </c>
    </row>
    <row r="1018" spans="1:9" x14ac:dyDescent="0.25">
      <c r="A1018" s="1">
        <v>37178</v>
      </c>
      <c r="B1018">
        <v>1014</v>
      </c>
      <c r="C1018">
        <v>2001</v>
      </c>
      <c r="D1018">
        <v>1536</v>
      </c>
      <c r="E1018">
        <v>48</v>
      </c>
      <c r="F1018">
        <v>1221</v>
      </c>
      <c r="G1018">
        <v>73</v>
      </c>
      <c r="H1018">
        <f>SUMIFS($F$2:F1018,$C$2:C1018,C1018)</f>
        <v>17457</v>
      </c>
      <c r="I1018" s="8">
        <f>STAMP_Escapement_Data[[#This Row],[DATE]]-DATE(STAMP_Escapement_Data[[#This Row],[YEAR]],8,1)</f>
        <v>74</v>
      </c>
    </row>
    <row r="1019" spans="1:9" x14ac:dyDescent="0.25">
      <c r="A1019" s="1">
        <v>37179</v>
      </c>
      <c r="B1019">
        <v>1015</v>
      </c>
      <c r="C1019">
        <v>2001</v>
      </c>
      <c r="D1019">
        <v>1954</v>
      </c>
      <c r="E1019">
        <v>38</v>
      </c>
      <c r="F1019">
        <v>1679</v>
      </c>
      <c r="G1019">
        <v>119</v>
      </c>
      <c r="H1019">
        <f>SUMIFS($F$2:F1019,$C$2:C1019,C1019)</f>
        <v>19136</v>
      </c>
      <c r="I1019" s="8">
        <f>STAMP_Escapement_Data[[#This Row],[DATE]]-DATE(STAMP_Escapement_Data[[#This Row],[YEAR]],8,1)</f>
        <v>75</v>
      </c>
    </row>
    <row r="1020" spans="1:9" x14ac:dyDescent="0.25">
      <c r="A1020" s="1">
        <v>37180</v>
      </c>
      <c r="B1020">
        <v>1016</v>
      </c>
      <c r="C1020">
        <v>2001</v>
      </c>
      <c r="D1020">
        <v>887</v>
      </c>
      <c r="E1020">
        <v>29</v>
      </c>
      <c r="F1020">
        <v>1340</v>
      </c>
      <c r="G1020">
        <v>65</v>
      </c>
      <c r="H1020">
        <f>SUMIFS($F$2:F1020,$C$2:C1020,C1020)</f>
        <v>20476</v>
      </c>
      <c r="I1020" s="8">
        <f>STAMP_Escapement_Data[[#This Row],[DATE]]-DATE(STAMP_Escapement_Data[[#This Row],[YEAR]],8,1)</f>
        <v>76</v>
      </c>
    </row>
    <row r="1021" spans="1:9" x14ac:dyDescent="0.25">
      <c r="A1021" s="1">
        <v>37181</v>
      </c>
      <c r="B1021">
        <v>1017</v>
      </c>
      <c r="C1021">
        <v>2001</v>
      </c>
      <c r="D1021">
        <v>1222</v>
      </c>
      <c r="E1021">
        <v>25</v>
      </c>
      <c r="F1021">
        <v>1031</v>
      </c>
      <c r="G1021">
        <v>68</v>
      </c>
      <c r="H1021">
        <f>SUMIFS($F$2:F1021,$C$2:C1021,C1021)</f>
        <v>21507</v>
      </c>
      <c r="I1021" s="8">
        <f>STAMP_Escapement_Data[[#This Row],[DATE]]-DATE(STAMP_Escapement_Data[[#This Row],[YEAR]],8,1)</f>
        <v>77</v>
      </c>
    </row>
    <row r="1022" spans="1:9" x14ac:dyDescent="0.25">
      <c r="A1022" s="1">
        <v>37182</v>
      </c>
      <c r="B1022">
        <v>1018</v>
      </c>
      <c r="C1022">
        <v>2001</v>
      </c>
      <c r="D1022">
        <v>1394</v>
      </c>
      <c r="E1022">
        <v>29</v>
      </c>
      <c r="F1022">
        <v>977</v>
      </c>
      <c r="G1022">
        <v>76</v>
      </c>
      <c r="H1022">
        <f>SUMIFS($F$2:F1022,$C$2:C1022,C1022)</f>
        <v>22484</v>
      </c>
      <c r="I1022" s="8">
        <f>STAMP_Escapement_Data[[#This Row],[DATE]]-DATE(STAMP_Escapement_Data[[#This Row],[YEAR]],8,1)</f>
        <v>78</v>
      </c>
    </row>
    <row r="1023" spans="1:9" x14ac:dyDescent="0.25">
      <c r="A1023" s="1">
        <v>37183</v>
      </c>
      <c r="B1023">
        <v>1019</v>
      </c>
      <c r="C1023">
        <v>2001</v>
      </c>
      <c r="D1023">
        <v>1332</v>
      </c>
      <c r="E1023">
        <v>25</v>
      </c>
      <c r="F1023">
        <v>824</v>
      </c>
      <c r="G1023">
        <v>82</v>
      </c>
      <c r="H1023">
        <f>SUMIFS($F$2:F1023,$C$2:C1023,C1023)</f>
        <v>23308</v>
      </c>
      <c r="I1023" s="8">
        <f>STAMP_Escapement_Data[[#This Row],[DATE]]-DATE(STAMP_Escapement_Data[[#This Row],[YEAR]],8,1)</f>
        <v>79</v>
      </c>
    </row>
    <row r="1024" spans="1:9" x14ac:dyDescent="0.25">
      <c r="A1024" s="1">
        <v>37184</v>
      </c>
      <c r="B1024">
        <v>1020</v>
      </c>
      <c r="C1024">
        <v>2001</v>
      </c>
      <c r="D1024">
        <v>1254</v>
      </c>
      <c r="E1024">
        <v>28</v>
      </c>
      <c r="F1024">
        <v>616</v>
      </c>
      <c r="G1024">
        <v>41</v>
      </c>
      <c r="H1024">
        <f>SUMIFS($F$2:F1024,$C$2:C1024,C1024)</f>
        <v>23924</v>
      </c>
      <c r="I1024" s="8">
        <f>STAMP_Escapement_Data[[#This Row],[DATE]]-DATE(STAMP_Escapement_Data[[#This Row],[YEAR]],8,1)</f>
        <v>80</v>
      </c>
    </row>
    <row r="1025" spans="1:9" x14ac:dyDescent="0.25">
      <c r="A1025" s="1">
        <v>37185</v>
      </c>
      <c r="B1025">
        <v>1021</v>
      </c>
      <c r="C1025">
        <v>2001</v>
      </c>
      <c r="D1025">
        <v>559</v>
      </c>
      <c r="E1025">
        <v>25</v>
      </c>
      <c r="F1025">
        <v>958</v>
      </c>
      <c r="G1025">
        <v>64</v>
      </c>
      <c r="H1025">
        <f>SUMIFS($F$2:F1025,$C$2:C1025,C1025)</f>
        <v>24882</v>
      </c>
      <c r="I1025" s="8">
        <f>STAMP_Escapement_Data[[#This Row],[DATE]]-DATE(STAMP_Escapement_Data[[#This Row],[YEAR]],8,1)</f>
        <v>81</v>
      </c>
    </row>
    <row r="1026" spans="1:9" x14ac:dyDescent="0.25">
      <c r="A1026" s="1">
        <v>37186</v>
      </c>
      <c r="B1026">
        <v>1022</v>
      </c>
      <c r="C1026">
        <v>2001</v>
      </c>
      <c r="D1026">
        <v>747</v>
      </c>
      <c r="E1026">
        <v>20</v>
      </c>
      <c r="F1026">
        <v>1001</v>
      </c>
      <c r="G1026">
        <v>89</v>
      </c>
      <c r="H1026">
        <f>SUMIFS($F$2:F1026,$C$2:C1026,C1026)</f>
        <v>25883</v>
      </c>
      <c r="I1026" s="8">
        <f>STAMP_Escapement_Data[[#This Row],[DATE]]-DATE(STAMP_Escapement_Data[[#This Row],[YEAR]],8,1)</f>
        <v>82</v>
      </c>
    </row>
    <row r="1027" spans="1:9" x14ac:dyDescent="0.25">
      <c r="A1027" s="1">
        <v>37187</v>
      </c>
      <c r="B1027">
        <v>1023</v>
      </c>
      <c r="C1027">
        <v>2001</v>
      </c>
      <c r="D1027">
        <v>2046</v>
      </c>
      <c r="E1027">
        <v>34</v>
      </c>
      <c r="F1027">
        <v>492</v>
      </c>
      <c r="G1027">
        <v>57</v>
      </c>
      <c r="H1027">
        <f>SUMIFS($F$2:F1027,$C$2:C1027,C1027)</f>
        <v>26375</v>
      </c>
      <c r="I1027" s="8">
        <f>STAMP_Escapement_Data[[#This Row],[DATE]]-DATE(STAMP_Escapement_Data[[#This Row],[YEAR]],8,1)</f>
        <v>83</v>
      </c>
    </row>
    <row r="1028" spans="1:9" x14ac:dyDescent="0.25">
      <c r="A1028" s="1">
        <v>37188</v>
      </c>
      <c r="B1028">
        <v>1024</v>
      </c>
      <c r="C1028">
        <v>2001</v>
      </c>
      <c r="D1028">
        <v>1770</v>
      </c>
      <c r="E1028">
        <v>21</v>
      </c>
      <c r="F1028">
        <v>251</v>
      </c>
      <c r="G1028">
        <v>36</v>
      </c>
      <c r="H1028">
        <f>SUMIFS($F$2:F1028,$C$2:C1028,C1028)</f>
        <v>26626</v>
      </c>
      <c r="I1028" s="8">
        <f>STAMP_Escapement_Data[[#This Row],[DATE]]-DATE(STAMP_Escapement_Data[[#This Row],[YEAR]],8,1)</f>
        <v>84</v>
      </c>
    </row>
    <row r="1029" spans="1:9" x14ac:dyDescent="0.25">
      <c r="A1029" s="1">
        <v>37189</v>
      </c>
      <c r="B1029">
        <v>1025</v>
      </c>
      <c r="C1029">
        <v>2001</v>
      </c>
      <c r="D1029">
        <v>909</v>
      </c>
      <c r="E1029">
        <v>12</v>
      </c>
      <c r="F1029">
        <v>311</v>
      </c>
      <c r="G1029">
        <v>40</v>
      </c>
      <c r="H1029">
        <f>SUMIFS($F$2:F1029,$C$2:C1029,C1029)</f>
        <v>26937</v>
      </c>
      <c r="I1029" s="8">
        <f>STAMP_Escapement_Data[[#This Row],[DATE]]-DATE(STAMP_Escapement_Data[[#This Row],[YEAR]],8,1)</f>
        <v>85</v>
      </c>
    </row>
    <row r="1030" spans="1:9" x14ac:dyDescent="0.25">
      <c r="A1030" s="1">
        <v>37190</v>
      </c>
      <c r="B1030">
        <v>1026</v>
      </c>
      <c r="C1030">
        <v>2001</v>
      </c>
      <c r="D1030">
        <v>247</v>
      </c>
      <c r="E1030">
        <v>7</v>
      </c>
      <c r="F1030">
        <v>180</v>
      </c>
      <c r="G1030">
        <v>21</v>
      </c>
      <c r="H1030">
        <f>SUMIFS($F$2:F1030,$C$2:C1030,C1030)</f>
        <v>27117</v>
      </c>
      <c r="I1030" s="8">
        <f>STAMP_Escapement_Data[[#This Row],[DATE]]-DATE(STAMP_Escapement_Data[[#This Row],[YEAR]],8,1)</f>
        <v>86</v>
      </c>
    </row>
    <row r="1031" spans="1:9" x14ac:dyDescent="0.25">
      <c r="A1031" s="1">
        <v>37191</v>
      </c>
      <c r="B1031">
        <v>1027</v>
      </c>
      <c r="C1031">
        <v>2001</v>
      </c>
      <c r="D1031">
        <v>1891</v>
      </c>
      <c r="E1031">
        <v>27</v>
      </c>
      <c r="F1031">
        <v>137</v>
      </c>
      <c r="G1031">
        <v>30</v>
      </c>
      <c r="H1031">
        <f>SUMIFS($F$2:F1031,$C$2:C1031,C1031)</f>
        <v>27254</v>
      </c>
      <c r="I1031" s="8">
        <f>STAMP_Escapement_Data[[#This Row],[DATE]]-DATE(STAMP_Escapement_Data[[#This Row],[YEAR]],8,1)</f>
        <v>87</v>
      </c>
    </row>
    <row r="1032" spans="1:9" x14ac:dyDescent="0.25">
      <c r="A1032" s="1">
        <v>37192</v>
      </c>
      <c r="B1032">
        <v>1028</v>
      </c>
      <c r="C1032">
        <v>2001</v>
      </c>
      <c r="D1032">
        <v>425</v>
      </c>
      <c r="E1032">
        <v>14</v>
      </c>
      <c r="F1032">
        <v>80</v>
      </c>
      <c r="G1032">
        <v>11</v>
      </c>
      <c r="H1032">
        <f>SUMIFS($F$2:F1032,$C$2:C1032,C1032)</f>
        <v>27334</v>
      </c>
      <c r="I1032" s="8">
        <f>STAMP_Escapement_Data[[#This Row],[DATE]]-DATE(STAMP_Escapement_Data[[#This Row],[YEAR]],8,1)</f>
        <v>88</v>
      </c>
    </row>
    <row r="1033" spans="1:9" x14ac:dyDescent="0.25">
      <c r="A1033" s="1">
        <v>37193</v>
      </c>
      <c r="B1033">
        <v>1029</v>
      </c>
      <c r="C1033">
        <v>2001</v>
      </c>
      <c r="D1033">
        <v>151</v>
      </c>
      <c r="E1033">
        <v>5</v>
      </c>
      <c r="F1033">
        <v>53</v>
      </c>
      <c r="G1033">
        <v>7</v>
      </c>
      <c r="H1033">
        <f>SUMIFS($F$2:F1033,$C$2:C1033,C1033)</f>
        <v>27387</v>
      </c>
      <c r="I1033" s="8">
        <f>STAMP_Escapement_Data[[#This Row],[DATE]]-DATE(STAMP_Escapement_Data[[#This Row],[YEAR]],8,1)</f>
        <v>89</v>
      </c>
    </row>
    <row r="1034" spans="1:9" x14ac:dyDescent="0.25">
      <c r="A1034" s="1">
        <v>37194</v>
      </c>
      <c r="B1034">
        <v>1030</v>
      </c>
      <c r="C1034">
        <v>2001</v>
      </c>
      <c r="D1034">
        <v>173</v>
      </c>
      <c r="E1034">
        <v>10</v>
      </c>
      <c r="F1034">
        <v>64</v>
      </c>
      <c r="G1034">
        <v>11</v>
      </c>
      <c r="H1034">
        <f>SUMIFS($F$2:F1034,$C$2:C1034,C1034)</f>
        <v>27451</v>
      </c>
      <c r="I1034" s="8">
        <f>STAMP_Escapement_Data[[#This Row],[DATE]]-DATE(STAMP_Escapement_Data[[#This Row],[YEAR]],8,1)</f>
        <v>90</v>
      </c>
    </row>
    <row r="1035" spans="1:9" x14ac:dyDescent="0.25">
      <c r="A1035" s="1">
        <v>37195</v>
      </c>
      <c r="B1035">
        <v>1031</v>
      </c>
      <c r="C1035">
        <v>2001</v>
      </c>
      <c r="D1035">
        <v>276</v>
      </c>
      <c r="E1035">
        <v>11</v>
      </c>
      <c r="F1035">
        <v>63</v>
      </c>
      <c r="G1035">
        <v>16</v>
      </c>
      <c r="H1035">
        <f>SUMIFS($F$2:F1035,$C$2:C1035,C1035)</f>
        <v>27514</v>
      </c>
      <c r="I1035" s="8">
        <f>STAMP_Escapement_Data[[#This Row],[DATE]]-DATE(STAMP_Escapement_Data[[#This Row],[YEAR]],8,1)</f>
        <v>91</v>
      </c>
    </row>
    <row r="1036" spans="1:9" x14ac:dyDescent="0.25">
      <c r="A1036" s="1">
        <v>37196</v>
      </c>
      <c r="B1036">
        <v>1101</v>
      </c>
      <c r="C1036">
        <v>2001</v>
      </c>
      <c r="D1036">
        <v>340</v>
      </c>
      <c r="E1036">
        <v>9</v>
      </c>
      <c r="F1036">
        <v>50</v>
      </c>
      <c r="G1036">
        <v>3</v>
      </c>
      <c r="H1036">
        <f>SUMIFS($F$2:F1036,$C$2:C1036,C1036)</f>
        <v>27564</v>
      </c>
      <c r="I1036" s="8">
        <f>STAMP_Escapement_Data[[#This Row],[DATE]]-DATE(STAMP_Escapement_Data[[#This Row],[YEAR]],8,1)</f>
        <v>92</v>
      </c>
    </row>
    <row r="1037" spans="1:9" x14ac:dyDescent="0.25">
      <c r="A1037" s="1">
        <v>37197</v>
      </c>
      <c r="B1037">
        <v>1102</v>
      </c>
      <c r="C1037">
        <v>2001</v>
      </c>
      <c r="D1037">
        <v>261</v>
      </c>
      <c r="E1037">
        <v>15</v>
      </c>
      <c r="F1037">
        <v>41</v>
      </c>
      <c r="G1037">
        <v>4</v>
      </c>
      <c r="H1037">
        <f>SUMIFS($F$2:F1037,$C$2:C1037,C1037)</f>
        <v>27605</v>
      </c>
      <c r="I1037" s="8">
        <f>STAMP_Escapement_Data[[#This Row],[DATE]]-DATE(STAMP_Escapement_Data[[#This Row],[YEAR]],8,1)</f>
        <v>93</v>
      </c>
    </row>
    <row r="1038" spans="1:9" x14ac:dyDescent="0.25">
      <c r="A1038" s="1">
        <v>37198</v>
      </c>
      <c r="B1038">
        <v>1103</v>
      </c>
      <c r="C1038">
        <v>2001</v>
      </c>
      <c r="D1038">
        <v>81</v>
      </c>
      <c r="E1038">
        <v>7</v>
      </c>
      <c r="F1038">
        <v>14</v>
      </c>
      <c r="G1038">
        <v>5</v>
      </c>
      <c r="H1038">
        <f>SUMIFS($F$2:F1038,$C$2:C1038,C1038)</f>
        <v>27619</v>
      </c>
      <c r="I1038" s="8">
        <f>STAMP_Escapement_Data[[#This Row],[DATE]]-DATE(STAMP_Escapement_Data[[#This Row],[YEAR]],8,1)</f>
        <v>94</v>
      </c>
    </row>
    <row r="1039" spans="1:9" x14ac:dyDescent="0.25">
      <c r="A1039" s="1">
        <v>37199</v>
      </c>
      <c r="B1039">
        <v>1104</v>
      </c>
      <c r="C1039">
        <v>2001</v>
      </c>
      <c r="D1039">
        <v>86</v>
      </c>
      <c r="E1039">
        <v>4</v>
      </c>
      <c r="F1039">
        <v>21</v>
      </c>
      <c r="G1039">
        <v>4</v>
      </c>
      <c r="H1039">
        <f>SUMIFS($F$2:F1039,$C$2:C1039,C1039)</f>
        <v>27640</v>
      </c>
      <c r="I1039" s="8">
        <f>STAMP_Escapement_Data[[#This Row],[DATE]]-DATE(STAMP_Escapement_Data[[#This Row],[YEAR]],8,1)</f>
        <v>95</v>
      </c>
    </row>
    <row r="1040" spans="1:9" x14ac:dyDescent="0.25">
      <c r="A1040" s="1">
        <v>37200</v>
      </c>
      <c r="B1040">
        <v>1105</v>
      </c>
      <c r="C1040">
        <v>2001</v>
      </c>
      <c r="D1040">
        <v>106</v>
      </c>
      <c r="E1040">
        <v>3</v>
      </c>
      <c r="F1040">
        <v>15</v>
      </c>
      <c r="G1040">
        <v>4</v>
      </c>
      <c r="H1040">
        <f>SUMIFS($F$2:F1040,$C$2:C1040,C1040)</f>
        <v>27655</v>
      </c>
      <c r="I1040" s="8">
        <f>STAMP_Escapement_Data[[#This Row],[DATE]]-DATE(STAMP_Escapement_Data[[#This Row],[YEAR]],8,1)</f>
        <v>96</v>
      </c>
    </row>
    <row r="1041" spans="1:9" x14ac:dyDescent="0.25">
      <c r="A1041" s="1">
        <v>37201</v>
      </c>
      <c r="B1041">
        <v>1106</v>
      </c>
      <c r="C1041">
        <v>2001</v>
      </c>
      <c r="D1041">
        <v>74</v>
      </c>
      <c r="E1041">
        <v>3</v>
      </c>
      <c r="F1041">
        <v>12</v>
      </c>
      <c r="G1041">
        <v>3</v>
      </c>
      <c r="H1041">
        <f>SUMIFS($F$2:F1041,$C$2:C1041,C1041)</f>
        <v>27667</v>
      </c>
      <c r="I1041" s="8">
        <f>STAMP_Escapement_Data[[#This Row],[DATE]]-DATE(STAMP_Escapement_Data[[#This Row],[YEAR]],8,1)</f>
        <v>97</v>
      </c>
    </row>
    <row r="1042" spans="1:9" x14ac:dyDescent="0.25">
      <c r="A1042" s="1">
        <v>37202</v>
      </c>
      <c r="B1042">
        <v>1107</v>
      </c>
      <c r="C1042">
        <v>2001</v>
      </c>
      <c r="D1042">
        <v>85</v>
      </c>
      <c r="E1042">
        <v>9</v>
      </c>
      <c r="F1042">
        <v>16</v>
      </c>
      <c r="G1042">
        <v>1</v>
      </c>
      <c r="H1042">
        <f>SUMIFS($F$2:F1042,$C$2:C1042,C1042)</f>
        <v>27683</v>
      </c>
      <c r="I1042" s="8">
        <f>STAMP_Escapement_Data[[#This Row],[DATE]]-DATE(STAMP_Escapement_Data[[#This Row],[YEAR]],8,1)</f>
        <v>98</v>
      </c>
    </row>
    <row r="1043" spans="1:9" x14ac:dyDescent="0.25">
      <c r="A1043" s="1">
        <v>37203</v>
      </c>
      <c r="B1043">
        <v>1108</v>
      </c>
      <c r="C1043">
        <v>2001</v>
      </c>
      <c r="D1043">
        <v>90</v>
      </c>
      <c r="E1043">
        <v>4</v>
      </c>
      <c r="F1043">
        <v>16</v>
      </c>
      <c r="G1043">
        <v>0</v>
      </c>
      <c r="H1043">
        <f>SUMIFS($F$2:F1043,$C$2:C1043,C1043)</f>
        <v>27699</v>
      </c>
      <c r="I1043" s="8">
        <f>STAMP_Escapement_Data[[#This Row],[DATE]]-DATE(STAMP_Escapement_Data[[#This Row],[YEAR]],8,1)</f>
        <v>99</v>
      </c>
    </row>
    <row r="1044" spans="1:9" x14ac:dyDescent="0.25">
      <c r="A1044" s="1">
        <v>37204</v>
      </c>
      <c r="B1044">
        <v>1109</v>
      </c>
      <c r="C1044">
        <v>2001</v>
      </c>
      <c r="D1044">
        <v>43</v>
      </c>
      <c r="E1044">
        <v>2</v>
      </c>
      <c r="F1044">
        <v>7</v>
      </c>
      <c r="G1044">
        <v>2</v>
      </c>
      <c r="H1044">
        <f>SUMIFS($F$2:F1044,$C$2:C1044,C1044)</f>
        <v>27706</v>
      </c>
      <c r="I1044" s="8">
        <f>STAMP_Escapement_Data[[#This Row],[DATE]]-DATE(STAMP_Escapement_Data[[#This Row],[YEAR]],8,1)</f>
        <v>100</v>
      </c>
    </row>
    <row r="1045" spans="1:9" x14ac:dyDescent="0.25">
      <c r="A1045" s="1">
        <v>37504</v>
      </c>
      <c r="B1045">
        <v>905</v>
      </c>
      <c r="C1045">
        <v>2002</v>
      </c>
      <c r="D1045">
        <v>1500</v>
      </c>
      <c r="E1045">
        <v>0</v>
      </c>
      <c r="F1045">
        <v>100</v>
      </c>
      <c r="G1045">
        <v>0</v>
      </c>
      <c r="H1045">
        <f>SUMIFS($F$2:F1045,$C$2:C1045,C1045)</f>
        <v>100</v>
      </c>
      <c r="I1045" s="8">
        <f>STAMP_Escapement_Data[[#This Row],[DATE]]-DATE(STAMP_Escapement_Data[[#This Row],[YEAR]],8,1)</f>
        <v>35</v>
      </c>
    </row>
    <row r="1046" spans="1:9" x14ac:dyDescent="0.25">
      <c r="A1046" s="1">
        <v>37504</v>
      </c>
      <c r="B1046">
        <v>905</v>
      </c>
      <c r="C1046">
        <v>2002</v>
      </c>
      <c r="D1046">
        <v>1082</v>
      </c>
      <c r="E1046">
        <v>21</v>
      </c>
      <c r="F1046">
        <v>403</v>
      </c>
      <c r="G1046">
        <v>13</v>
      </c>
      <c r="H1046">
        <f>SUMIFS($F$2:F1046,$C$2:C1046,C1046)</f>
        <v>503</v>
      </c>
      <c r="I1046" s="8">
        <f>STAMP_Escapement_Data[[#This Row],[DATE]]-DATE(STAMP_Escapement_Data[[#This Row],[YEAR]],8,1)</f>
        <v>35</v>
      </c>
    </row>
    <row r="1047" spans="1:9" x14ac:dyDescent="0.25">
      <c r="A1047" s="1">
        <v>37504</v>
      </c>
      <c r="B1047">
        <v>905</v>
      </c>
      <c r="C1047">
        <v>2002</v>
      </c>
      <c r="D1047">
        <v>765</v>
      </c>
      <c r="E1047">
        <v>48</v>
      </c>
      <c r="F1047">
        <v>112</v>
      </c>
      <c r="G1047">
        <v>12</v>
      </c>
      <c r="H1047">
        <f>SUMIFS($F$2:F1047,$C$2:C1047,C1047)</f>
        <v>615</v>
      </c>
      <c r="I1047" s="8">
        <f>STAMP_Escapement_Data[[#This Row],[DATE]]-DATE(STAMP_Escapement_Data[[#This Row],[YEAR]],8,1)</f>
        <v>35</v>
      </c>
    </row>
    <row r="1048" spans="1:9" x14ac:dyDescent="0.25">
      <c r="A1048" s="1">
        <v>37505</v>
      </c>
      <c r="B1048">
        <v>906</v>
      </c>
      <c r="C1048">
        <v>2002</v>
      </c>
      <c r="D1048">
        <v>1917</v>
      </c>
      <c r="E1048">
        <v>167</v>
      </c>
      <c r="F1048">
        <v>377</v>
      </c>
      <c r="G1048">
        <v>34</v>
      </c>
      <c r="H1048">
        <f>SUMIFS($F$2:F1048,$C$2:C1048,C1048)</f>
        <v>992</v>
      </c>
      <c r="I1048" s="8">
        <f>STAMP_Escapement_Data[[#This Row],[DATE]]-DATE(STAMP_Escapement_Data[[#This Row],[YEAR]],8,1)</f>
        <v>36</v>
      </c>
    </row>
    <row r="1049" spans="1:9" x14ac:dyDescent="0.25">
      <c r="A1049" s="1">
        <v>37506</v>
      </c>
      <c r="B1049">
        <v>907</v>
      </c>
      <c r="C1049">
        <v>2002</v>
      </c>
      <c r="D1049">
        <v>1910</v>
      </c>
      <c r="E1049">
        <v>262</v>
      </c>
      <c r="F1049">
        <v>451</v>
      </c>
      <c r="G1049">
        <v>73</v>
      </c>
      <c r="H1049">
        <f>SUMIFS($F$2:F1049,$C$2:C1049,C1049)</f>
        <v>1443</v>
      </c>
      <c r="I1049" s="8">
        <f>STAMP_Escapement_Data[[#This Row],[DATE]]-DATE(STAMP_Escapement_Data[[#This Row],[YEAR]],8,1)</f>
        <v>37</v>
      </c>
    </row>
    <row r="1050" spans="1:9" x14ac:dyDescent="0.25">
      <c r="A1050" s="1">
        <v>37507</v>
      </c>
      <c r="B1050">
        <v>908</v>
      </c>
      <c r="C1050">
        <v>2002</v>
      </c>
      <c r="D1050">
        <v>1193</v>
      </c>
      <c r="E1050">
        <v>131</v>
      </c>
      <c r="F1050">
        <v>235</v>
      </c>
      <c r="G1050">
        <v>34</v>
      </c>
      <c r="H1050">
        <f>SUMIFS($F$2:F1050,$C$2:C1050,C1050)</f>
        <v>1678</v>
      </c>
      <c r="I1050" s="8">
        <f>STAMP_Escapement_Data[[#This Row],[DATE]]-DATE(STAMP_Escapement_Data[[#This Row],[YEAR]],8,1)</f>
        <v>38</v>
      </c>
    </row>
    <row r="1051" spans="1:9" x14ac:dyDescent="0.25">
      <c r="A1051" s="1">
        <v>37508</v>
      </c>
      <c r="B1051">
        <v>909</v>
      </c>
      <c r="C1051">
        <v>2002</v>
      </c>
      <c r="D1051">
        <v>2394</v>
      </c>
      <c r="E1051">
        <v>173</v>
      </c>
      <c r="F1051">
        <v>219</v>
      </c>
      <c r="G1051">
        <v>61</v>
      </c>
      <c r="H1051">
        <f>SUMIFS($F$2:F1051,$C$2:C1051,C1051)</f>
        <v>1897</v>
      </c>
      <c r="I1051" s="8">
        <f>STAMP_Escapement_Data[[#This Row],[DATE]]-DATE(STAMP_Escapement_Data[[#This Row],[YEAR]],8,1)</f>
        <v>39</v>
      </c>
    </row>
    <row r="1052" spans="1:9" x14ac:dyDescent="0.25">
      <c r="A1052" s="1">
        <v>37509</v>
      </c>
      <c r="B1052">
        <v>910</v>
      </c>
      <c r="C1052">
        <v>2002</v>
      </c>
      <c r="D1052">
        <v>2735</v>
      </c>
      <c r="E1052">
        <v>154</v>
      </c>
      <c r="F1052">
        <v>259</v>
      </c>
      <c r="G1052">
        <v>51</v>
      </c>
      <c r="H1052">
        <f>SUMIFS($F$2:F1052,$C$2:C1052,C1052)</f>
        <v>2156</v>
      </c>
      <c r="I1052" s="8">
        <f>STAMP_Escapement_Data[[#This Row],[DATE]]-DATE(STAMP_Escapement_Data[[#This Row],[YEAR]],8,1)</f>
        <v>40</v>
      </c>
    </row>
    <row r="1053" spans="1:9" x14ac:dyDescent="0.25">
      <c r="A1053" s="1">
        <v>37510</v>
      </c>
      <c r="B1053">
        <v>911</v>
      </c>
      <c r="C1053">
        <v>2002</v>
      </c>
      <c r="D1053">
        <v>2354</v>
      </c>
      <c r="E1053">
        <v>218</v>
      </c>
      <c r="F1053">
        <v>341</v>
      </c>
      <c r="G1053">
        <v>79</v>
      </c>
      <c r="H1053">
        <f>SUMIFS($F$2:F1053,$C$2:C1053,C1053)</f>
        <v>2497</v>
      </c>
      <c r="I1053" s="8">
        <f>STAMP_Escapement_Data[[#This Row],[DATE]]-DATE(STAMP_Escapement_Data[[#This Row],[YEAR]],8,1)</f>
        <v>41</v>
      </c>
    </row>
    <row r="1054" spans="1:9" x14ac:dyDescent="0.25">
      <c r="A1054" s="1">
        <v>37511</v>
      </c>
      <c r="B1054">
        <v>912</v>
      </c>
      <c r="C1054">
        <v>2002</v>
      </c>
      <c r="D1054">
        <v>1754</v>
      </c>
      <c r="E1054">
        <v>179</v>
      </c>
      <c r="F1054">
        <v>359</v>
      </c>
      <c r="G1054">
        <v>66</v>
      </c>
      <c r="H1054">
        <f>SUMIFS($F$2:F1054,$C$2:C1054,C1054)</f>
        <v>2856</v>
      </c>
      <c r="I1054" s="8">
        <f>STAMP_Escapement_Data[[#This Row],[DATE]]-DATE(STAMP_Escapement_Data[[#This Row],[YEAR]],8,1)</f>
        <v>42</v>
      </c>
    </row>
    <row r="1055" spans="1:9" x14ac:dyDescent="0.25">
      <c r="A1055" s="1">
        <v>37512</v>
      </c>
      <c r="B1055">
        <v>913</v>
      </c>
      <c r="C1055">
        <v>2002</v>
      </c>
      <c r="D1055">
        <v>1259</v>
      </c>
      <c r="E1055">
        <v>259</v>
      </c>
      <c r="F1055">
        <v>444</v>
      </c>
      <c r="G1055">
        <v>56</v>
      </c>
      <c r="H1055">
        <f>SUMIFS($F$2:F1055,$C$2:C1055,C1055)</f>
        <v>3300</v>
      </c>
      <c r="I1055" s="8">
        <f>STAMP_Escapement_Data[[#This Row],[DATE]]-DATE(STAMP_Escapement_Data[[#This Row],[YEAR]],8,1)</f>
        <v>43</v>
      </c>
    </row>
    <row r="1056" spans="1:9" x14ac:dyDescent="0.25">
      <c r="A1056" s="1">
        <v>37513</v>
      </c>
      <c r="B1056">
        <v>914</v>
      </c>
      <c r="C1056">
        <v>2002</v>
      </c>
      <c r="D1056">
        <v>655</v>
      </c>
      <c r="E1056">
        <v>274</v>
      </c>
      <c r="F1056">
        <v>855</v>
      </c>
      <c r="G1056">
        <v>56</v>
      </c>
      <c r="H1056">
        <f>SUMIFS($F$2:F1056,$C$2:C1056,C1056)</f>
        <v>4155</v>
      </c>
      <c r="I1056" s="8">
        <f>STAMP_Escapement_Data[[#This Row],[DATE]]-DATE(STAMP_Escapement_Data[[#This Row],[YEAR]],8,1)</f>
        <v>44</v>
      </c>
    </row>
    <row r="1057" spans="1:9" x14ac:dyDescent="0.25">
      <c r="A1057" s="1">
        <v>37514</v>
      </c>
      <c r="B1057">
        <v>915</v>
      </c>
      <c r="C1057">
        <v>2002</v>
      </c>
      <c r="D1057">
        <v>1131</v>
      </c>
      <c r="E1057">
        <v>489</v>
      </c>
      <c r="F1057">
        <v>841</v>
      </c>
      <c r="G1057">
        <v>143</v>
      </c>
      <c r="H1057">
        <f>SUMIFS($F$2:F1057,$C$2:C1057,C1057)</f>
        <v>4996</v>
      </c>
      <c r="I1057" s="8">
        <f>STAMP_Escapement_Data[[#This Row],[DATE]]-DATE(STAMP_Escapement_Data[[#This Row],[YEAR]],8,1)</f>
        <v>45</v>
      </c>
    </row>
    <row r="1058" spans="1:9" x14ac:dyDescent="0.25">
      <c r="A1058" s="1">
        <v>37515</v>
      </c>
      <c r="B1058">
        <v>916</v>
      </c>
      <c r="C1058">
        <v>2002</v>
      </c>
      <c r="D1058">
        <v>1604</v>
      </c>
      <c r="E1058">
        <v>520</v>
      </c>
      <c r="F1058">
        <v>464</v>
      </c>
      <c r="G1058">
        <v>101</v>
      </c>
      <c r="H1058">
        <f>SUMIFS($F$2:F1058,$C$2:C1058,C1058)</f>
        <v>5460</v>
      </c>
      <c r="I1058" s="8">
        <f>STAMP_Escapement_Data[[#This Row],[DATE]]-DATE(STAMP_Escapement_Data[[#This Row],[YEAR]],8,1)</f>
        <v>46</v>
      </c>
    </row>
    <row r="1059" spans="1:9" x14ac:dyDescent="0.25">
      <c r="A1059" s="1">
        <v>37516</v>
      </c>
      <c r="B1059">
        <v>917</v>
      </c>
      <c r="C1059">
        <v>2002</v>
      </c>
      <c r="D1059">
        <v>2206</v>
      </c>
      <c r="E1059">
        <v>288</v>
      </c>
      <c r="F1059">
        <v>525</v>
      </c>
      <c r="G1059">
        <v>105</v>
      </c>
      <c r="H1059">
        <f>SUMIFS($F$2:F1059,$C$2:C1059,C1059)</f>
        <v>5985</v>
      </c>
      <c r="I1059" s="8">
        <f>STAMP_Escapement_Data[[#This Row],[DATE]]-DATE(STAMP_Escapement_Data[[#This Row],[YEAR]],8,1)</f>
        <v>47</v>
      </c>
    </row>
    <row r="1060" spans="1:9" x14ac:dyDescent="0.25">
      <c r="A1060" s="1">
        <v>37517</v>
      </c>
      <c r="B1060">
        <v>918</v>
      </c>
      <c r="C1060">
        <v>2002</v>
      </c>
      <c r="D1060">
        <v>2752</v>
      </c>
      <c r="E1060">
        <v>425</v>
      </c>
      <c r="F1060">
        <v>281</v>
      </c>
      <c r="G1060">
        <v>70</v>
      </c>
      <c r="H1060">
        <f>SUMIFS($F$2:F1060,$C$2:C1060,C1060)</f>
        <v>6266</v>
      </c>
      <c r="I1060" s="8">
        <f>STAMP_Escapement_Data[[#This Row],[DATE]]-DATE(STAMP_Escapement_Data[[#This Row],[YEAR]],8,1)</f>
        <v>48</v>
      </c>
    </row>
    <row r="1061" spans="1:9" x14ac:dyDescent="0.25">
      <c r="A1061" s="1">
        <v>37518</v>
      </c>
      <c r="B1061">
        <v>919</v>
      </c>
      <c r="C1061">
        <v>2002</v>
      </c>
      <c r="D1061">
        <v>3128</v>
      </c>
      <c r="E1061">
        <v>348</v>
      </c>
      <c r="F1061">
        <v>722</v>
      </c>
      <c r="G1061">
        <v>30</v>
      </c>
      <c r="H1061">
        <f>SUMIFS($F$2:F1061,$C$2:C1061,C1061)</f>
        <v>6988</v>
      </c>
      <c r="I1061" s="8">
        <f>STAMP_Escapement_Data[[#This Row],[DATE]]-DATE(STAMP_Escapement_Data[[#This Row],[YEAR]],8,1)</f>
        <v>49</v>
      </c>
    </row>
    <row r="1062" spans="1:9" x14ac:dyDescent="0.25">
      <c r="A1062" s="1">
        <v>37519</v>
      </c>
      <c r="B1062">
        <v>920</v>
      </c>
      <c r="C1062">
        <v>2002</v>
      </c>
      <c r="D1062">
        <v>3709</v>
      </c>
      <c r="E1062">
        <v>328</v>
      </c>
      <c r="F1062">
        <v>1043</v>
      </c>
      <c r="G1062">
        <v>55</v>
      </c>
      <c r="H1062">
        <f>SUMIFS($F$2:F1062,$C$2:C1062,C1062)</f>
        <v>8031</v>
      </c>
      <c r="I1062" s="8">
        <f>STAMP_Escapement_Data[[#This Row],[DATE]]-DATE(STAMP_Escapement_Data[[#This Row],[YEAR]],8,1)</f>
        <v>50</v>
      </c>
    </row>
    <row r="1063" spans="1:9" x14ac:dyDescent="0.25">
      <c r="A1063" s="1">
        <v>37520</v>
      </c>
      <c r="B1063">
        <v>921</v>
      </c>
      <c r="C1063">
        <v>2002</v>
      </c>
      <c r="D1063">
        <v>3291</v>
      </c>
      <c r="E1063">
        <v>314</v>
      </c>
      <c r="F1063">
        <v>637</v>
      </c>
      <c r="G1063">
        <v>33</v>
      </c>
      <c r="H1063">
        <f>SUMIFS($F$2:F1063,$C$2:C1063,C1063)</f>
        <v>8668</v>
      </c>
      <c r="I1063" s="8">
        <f>STAMP_Escapement_Data[[#This Row],[DATE]]-DATE(STAMP_Escapement_Data[[#This Row],[YEAR]],8,1)</f>
        <v>51</v>
      </c>
    </row>
    <row r="1064" spans="1:9" x14ac:dyDescent="0.25">
      <c r="A1064" s="1">
        <v>37521</v>
      </c>
      <c r="B1064">
        <v>922</v>
      </c>
      <c r="C1064">
        <v>2002</v>
      </c>
      <c r="D1064">
        <v>2611</v>
      </c>
      <c r="E1064">
        <v>310</v>
      </c>
      <c r="F1064">
        <v>392</v>
      </c>
      <c r="G1064">
        <v>33</v>
      </c>
      <c r="H1064">
        <f>SUMIFS($F$2:F1064,$C$2:C1064,C1064)</f>
        <v>9060</v>
      </c>
      <c r="I1064" s="8">
        <f>STAMP_Escapement_Data[[#This Row],[DATE]]-DATE(STAMP_Escapement_Data[[#This Row],[YEAR]],8,1)</f>
        <v>52</v>
      </c>
    </row>
    <row r="1065" spans="1:9" x14ac:dyDescent="0.25">
      <c r="A1065" s="1">
        <v>37522</v>
      </c>
      <c r="B1065">
        <v>923</v>
      </c>
      <c r="C1065">
        <v>2002</v>
      </c>
      <c r="D1065">
        <v>2912</v>
      </c>
      <c r="E1065">
        <v>421</v>
      </c>
      <c r="F1065">
        <v>411</v>
      </c>
      <c r="G1065">
        <v>62</v>
      </c>
      <c r="H1065">
        <f>SUMIFS($F$2:F1065,$C$2:C1065,C1065)</f>
        <v>9471</v>
      </c>
      <c r="I1065" s="8">
        <f>STAMP_Escapement_Data[[#This Row],[DATE]]-DATE(STAMP_Escapement_Data[[#This Row],[YEAR]],8,1)</f>
        <v>53</v>
      </c>
    </row>
    <row r="1066" spans="1:9" x14ac:dyDescent="0.25">
      <c r="A1066" s="1">
        <v>37523</v>
      </c>
      <c r="B1066">
        <v>924</v>
      </c>
      <c r="C1066">
        <v>2002</v>
      </c>
      <c r="D1066">
        <v>2789</v>
      </c>
      <c r="E1066">
        <v>401</v>
      </c>
      <c r="F1066">
        <v>405</v>
      </c>
      <c r="G1066">
        <v>48</v>
      </c>
      <c r="H1066">
        <f>SUMIFS($F$2:F1066,$C$2:C1066,C1066)</f>
        <v>9876</v>
      </c>
      <c r="I1066" s="8">
        <f>STAMP_Escapement_Data[[#This Row],[DATE]]-DATE(STAMP_Escapement_Data[[#This Row],[YEAR]],8,1)</f>
        <v>54</v>
      </c>
    </row>
    <row r="1067" spans="1:9" x14ac:dyDescent="0.25">
      <c r="A1067" s="1">
        <v>37524</v>
      </c>
      <c r="B1067">
        <v>925</v>
      </c>
      <c r="C1067">
        <v>2002</v>
      </c>
      <c r="D1067">
        <v>2207</v>
      </c>
      <c r="E1067">
        <v>419</v>
      </c>
      <c r="F1067">
        <v>423</v>
      </c>
      <c r="G1067">
        <v>72</v>
      </c>
      <c r="H1067">
        <f>SUMIFS($F$2:F1067,$C$2:C1067,C1067)</f>
        <v>10299</v>
      </c>
      <c r="I1067" s="8">
        <f>STAMP_Escapement_Data[[#This Row],[DATE]]-DATE(STAMP_Escapement_Data[[#This Row],[YEAR]],8,1)</f>
        <v>55</v>
      </c>
    </row>
    <row r="1068" spans="1:9" x14ac:dyDescent="0.25">
      <c r="A1068" s="1">
        <v>37525</v>
      </c>
      <c r="B1068">
        <v>926</v>
      </c>
      <c r="C1068">
        <v>2002</v>
      </c>
      <c r="D1068">
        <v>888</v>
      </c>
      <c r="E1068">
        <v>302</v>
      </c>
      <c r="F1068">
        <v>1138</v>
      </c>
      <c r="G1068">
        <v>80</v>
      </c>
      <c r="H1068">
        <f>SUMIFS($F$2:F1068,$C$2:C1068,C1068)</f>
        <v>11437</v>
      </c>
      <c r="I1068" s="8">
        <f>STAMP_Escapement_Data[[#This Row],[DATE]]-DATE(STAMP_Escapement_Data[[#This Row],[YEAR]],8,1)</f>
        <v>56</v>
      </c>
    </row>
    <row r="1069" spans="1:9" x14ac:dyDescent="0.25">
      <c r="A1069" s="1">
        <v>37526</v>
      </c>
      <c r="B1069">
        <v>927</v>
      </c>
      <c r="C1069">
        <v>2002</v>
      </c>
      <c r="D1069">
        <v>947</v>
      </c>
      <c r="E1069">
        <v>281</v>
      </c>
      <c r="F1069">
        <v>620</v>
      </c>
      <c r="G1069">
        <v>31</v>
      </c>
      <c r="H1069">
        <f>SUMIFS($F$2:F1069,$C$2:C1069,C1069)</f>
        <v>12057</v>
      </c>
      <c r="I1069" s="8">
        <f>STAMP_Escapement_Data[[#This Row],[DATE]]-DATE(STAMP_Escapement_Data[[#This Row],[YEAR]],8,1)</f>
        <v>57</v>
      </c>
    </row>
    <row r="1070" spans="1:9" x14ac:dyDescent="0.25">
      <c r="A1070" s="1">
        <v>37527</v>
      </c>
      <c r="B1070">
        <v>928</v>
      </c>
      <c r="C1070">
        <v>2002</v>
      </c>
      <c r="D1070">
        <v>888</v>
      </c>
      <c r="E1070">
        <v>306</v>
      </c>
      <c r="F1070">
        <v>608</v>
      </c>
      <c r="G1070">
        <v>34</v>
      </c>
      <c r="H1070">
        <f>SUMIFS($F$2:F1070,$C$2:C1070,C1070)</f>
        <v>12665</v>
      </c>
      <c r="I1070" s="8">
        <f>STAMP_Escapement_Data[[#This Row],[DATE]]-DATE(STAMP_Escapement_Data[[#This Row],[YEAR]],8,1)</f>
        <v>58</v>
      </c>
    </row>
    <row r="1071" spans="1:9" x14ac:dyDescent="0.25">
      <c r="A1071" s="1">
        <v>37528</v>
      </c>
      <c r="B1071">
        <v>929</v>
      </c>
      <c r="C1071">
        <v>2002</v>
      </c>
      <c r="D1071">
        <v>1142</v>
      </c>
      <c r="E1071">
        <v>300</v>
      </c>
      <c r="F1071">
        <v>745</v>
      </c>
      <c r="G1071">
        <v>31</v>
      </c>
      <c r="H1071">
        <f>SUMIFS($F$2:F1071,$C$2:C1071,C1071)</f>
        <v>13410</v>
      </c>
      <c r="I1071" s="8">
        <f>STAMP_Escapement_Data[[#This Row],[DATE]]-DATE(STAMP_Escapement_Data[[#This Row],[YEAR]],8,1)</f>
        <v>59</v>
      </c>
    </row>
    <row r="1072" spans="1:9" x14ac:dyDescent="0.25">
      <c r="A1072" s="1">
        <v>37529</v>
      </c>
      <c r="B1072">
        <v>930</v>
      </c>
      <c r="C1072">
        <v>2002</v>
      </c>
      <c r="D1072">
        <v>676</v>
      </c>
      <c r="E1072">
        <v>163</v>
      </c>
      <c r="F1072">
        <v>561</v>
      </c>
      <c r="G1072">
        <v>18</v>
      </c>
      <c r="H1072">
        <f>SUMIFS($F$2:F1072,$C$2:C1072,C1072)</f>
        <v>13971</v>
      </c>
      <c r="I1072" s="8">
        <f>STAMP_Escapement_Data[[#This Row],[DATE]]-DATE(STAMP_Escapement_Data[[#This Row],[YEAR]],8,1)</f>
        <v>60</v>
      </c>
    </row>
    <row r="1073" spans="1:9" x14ac:dyDescent="0.25">
      <c r="A1073" s="1">
        <v>37530</v>
      </c>
      <c r="B1073">
        <v>1001</v>
      </c>
      <c r="C1073">
        <v>2002</v>
      </c>
      <c r="D1073">
        <v>484</v>
      </c>
      <c r="E1073">
        <v>151</v>
      </c>
      <c r="F1073">
        <v>468</v>
      </c>
      <c r="G1073">
        <v>41</v>
      </c>
      <c r="H1073">
        <f>SUMIFS($F$2:F1073,$C$2:C1073,C1073)</f>
        <v>14439</v>
      </c>
      <c r="I1073" s="8">
        <f>STAMP_Escapement_Data[[#This Row],[DATE]]-DATE(STAMP_Escapement_Data[[#This Row],[YEAR]],8,1)</f>
        <v>61</v>
      </c>
    </row>
    <row r="1074" spans="1:9" x14ac:dyDescent="0.25">
      <c r="A1074" s="1">
        <v>37531</v>
      </c>
      <c r="B1074">
        <v>1002</v>
      </c>
      <c r="C1074">
        <v>2002</v>
      </c>
      <c r="D1074">
        <v>806</v>
      </c>
      <c r="E1074">
        <v>203</v>
      </c>
      <c r="F1074">
        <v>763</v>
      </c>
      <c r="G1074">
        <v>56</v>
      </c>
      <c r="H1074">
        <f>SUMIFS($F$2:F1074,$C$2:C1074,C1074)</f>
        <v>15202</v>
      </c>
      <c r="I1074" s="8">
        <f>STAMP_Escapement_Data[[#This Row],[DATE]]-DATE(STAMP_Escapement_Data[[#This Row],[YEAR]],8,1)</f>
        <v>62</v>
      </c>
    </row>
    <row r="1075" spans="1:9" x14ac:dyDescent="0.25">
      <c r="A1075" s="1">
        <v>37532</v>
      </c>
      <c r="B1075">
        <v>1003</v>
      </c>
      <c r="C1075">
        <v>2002</v>
      </c>
      <c r="D1075">
        <v>1194</v>
      </c>
      <c r="E1075">
        <v>199</v>
      </c>
      <c r="F1075">
        <v>538</v>
      </c>
      <c r="G1075">
        <v>38</v>
      </c>
      <c r="H1075">
        <f>SUMIFS($F$2:F1075,$C$2:C1075,C1075)</f>
        <v>15740</v>
      </c>
      <c r="I1075" s="8">
        <f>STAMP_Escapement_Data[[#This Row],[DATE]]-DATE(STAMP_Escapement_Data[[#This Row],[YEAR]],8,1)</f>
        <v>63</v>
      </c>
    </row>
    <row r="1076" spans="1:9" x14ac:dyDescent="0.25">
      <c r="A1076" s="1">
        <v>37533</v>
      </c>
      <c r="B1076">
        <v>1004</v>
      </c>
      <c r="C1076">
        <v>2002</v>
      </c>
      <c r="D1076">
        <v>629</v>
      </c>
      <c r="E1076">
        <v>103</v>
      </c>
      <c r="F1076">
        <v>584</v>
      </c>
      <c r="G1076">
        <v>29</v>
      </c>
      <c r="H1076">
        <f>SUMIFS($F$2:F1076,$C$2:C1076,C1076)</f>
        <v>16324</v>
      </c>
      <c r="I1076" s="8">
        <f>STAMP_Escapement_Data[[#This Row],[DATE]]-DATE(STAMP_Escapement_Data[[#This Row],[YEAR]],8,1)</f>
        <v>64</v>
      </c>
    </row>
    <row r="1077" spans="1:9" x14ac:dyDescent="0.25">
      <c r="A1077" s="1">
        <v>37534</v>
      </c>
      <c r="B1077">
        <v>1005</v>
      </c>
      <c r="C1077">
        <v>2002</v>
      </c>
      <c r="D1077">
        <v>628</v>
      </c>
      <c r="E1077">
        <v>95</v>
      </c>
      <c r="F1077">
        <v>891</v>
      </c>
      <c r="G1077">
        <v>12</v>
      </c>
      <c r="H1077">
        <f>SUMIFS($F$2:F1077,$C$2:C1077,C1077)</f>
        <v>17215</v>
      </c>
      <c r="I1077" s="8">
        <f>STAMP_Escapement_Data[[#This Row],[DATE]]-DATE(STAMP_Escapement_Data[[#This Row],[YEAR]],8,1)</f>
        <v>65</v>
      </c>
    </row>
    <row r="1078" spans="1:9" x14ac:dyDescent="0.25">
      <c r="A1078" s="1">
        <v>37535</v>
      </c>
      <c r="B1078">
        <v>1006</v>
      </c>
      <c r="C1078">
        <v>2002</v>
      </c>
      <c r="D1078">
        <v>914</v>
      </c>
      <c r="E1078">
        <v>101</v>
      </c>
      <c r="F1078">
        <v>873</v>
      </c>
      <c r="G1078">
        <v>12</v>
      </c>
      <c r="H1078">
        <f>SUMIFS($F$2:F1078,$C$2:C1078,C1078)</f>
        <v>18088</v>
      </c>
      <c r="I1078" s="8">
        <f>STAMP_Escapement_Data[[#This Row],[DATE]]-DATE(STAMP_Escapement_Data[[#This Row],[YEAR]],8,1)</f>
        <v>66</v>
      </c>
    </row>
    <row r="1079" spans="1:9" x14ac:dyDescent="0.25">
      <c r="A1079" s="1">
        <v>37536</v>
      </c>
      <c r="B1079">
        <v>1007</v>
      </c>
      <c r="C1079">
        <v>2002</v>
      </c>
      <c r="D1079">
        <v>633</v>
      </c>
      <c r="E1079">
        <v>83</v>
      </c>
      <c r="F1079">
        <v>791</v>
      </c>
      <c r="G1079">
        <v>21</v>
      </c>
      <c r="H1079">
        <f>SUMIFS($F$2:F1079,$C$2:C1079,C1079)</f>
        <v>18879</v>
      </c>
      <c r="I1079" s="8">
        <f>STAMP_Escapement_Data[[#This Row],[DATE]]-DATE(STAMP_Escapement_Data[[#This Row],[YEAR]],8,1)</f>
        <v>67</v>
      </c>
    </row>
    <row r="1080" spans="1:9" x14ac:dyDescent="0.25">
      <c r="A1080" s="1">
        <v>37537</v>
      </c>
      <c r="B1080">
        <v>1008</v>
      </c>
      <c r="C1080">
        <v>2002</v>
      </c>
      <c r="D1080">
        <v>418</v>
      </c>
      <c r="E1080">
        <v>70</v>
      </c>
      <c r="F1080">
        <v>453</v>
      </c>
      <c r="G1080">
        <v>14</v>
      </c>
      <c r="H1080">
        <f>SUMIFS($F$2:F1080,$C$2:C1080,C1080)</f>
        <v>19332</v>
      </c>
      <c r="I1080" s="8">
        <f>STAMP_Escapement_Data[[#This Row],[DATE]]-DATE(STAMP_Escapement_Data[[#This Row],[YEAR]],8,1)</f>
        <v>68</v>
      </c>
    </row>
    <row r="1081" spans="1:9" x14ac:dyDescent="0.25">
      <c r="A1081" s="1">
        <v>37538</v>
      </c>
      <c r="B1081">
        <v>1009</v>
      </c>
      <c r="C1081">
        <v>2002</v>
      </c>
      <c r="D1081">
        <v>512</v>
      </c>
      <c r="E1081">
        <v>57</v>
      </c>
      <c r="F1081">
        <v>737</v>
      </c>
      <c r="G1081">
        <v>39</v>
      </c>
      <c r="H1081">
        <f>SUMIFS($F$2:F1081,$C$2:C1081,C1081)</f>
        <v>20069</v>
      </c>
      <c r="I1081" s="8">
        <f>STAMP_Escapement_Data[[#This Row],[DATE]]-DATE(STAMP_Escapement_Data[[#This Row],[YEAR]],8,1)</f>
        <v>69</v>
      </c>
    </row>
    <row r="1082" spans="1:9" x14ac:dyDescent="0.25">
      <c r="A1082" s="1">
        <v>37539</v>
      </c>
      <c r="B1082">
        <v>1010</v>
      </c>
      <c r="C1082">
        <v>2002</v>
      </c>
      <c r="D1082">
        <v>746</v>
      </c>
      <c r="E1082">
        <v>30</v>
      </c>
      <c r="F1082">
        <v>937</v>
      </c>
      <c r="G1082">
        <v>55</v>
      </c>
      <c r="H1082">
        <f>SUMIFS($F$2:F1082,$C$2:C1082,C1082)</f>
        <v>21006</v>
      </c>
      <c r="I1082" s="8">
        <f>STAMP_Escapement_Data[[#This Row],[DATE]]-DATE(STAMP_Escapement_Data[[#This Row],[YEAR]],8,1)</f>
        <v>70</v>
      </c>
    </row>
    <row r="1083" spans="1:9" x14ac:dyDescent="0.25">
      <c r="A1083" s="1">
        <v>37540</v>
      </c>
      <c r="B1083">
        <v>1011</v>
      </c>
      <c r="C1083">
        <v>2002</v>
      </c>
      <c r="D1083">
        <v>815</v>
      </c>
      <c r="E1083">
        <v>20</v>
      </c>
      <c r="F1083">
        <v>755</v>
      </c>
      <c r="G1083">
        <v>47</v>
      </c>
      <c r="H1083">
        <f>SUMIFS($F$2:F1083,$C$2:C1083,C1083)</f>
        <v>21761</v>
      </c>
      <c r="I1083" s="8">
        <f>STAMP_Escapement_Data[[#This Row],[DATE]]-DATE(STAMP_Escapement_Data[[#This Row],[YEAR]],8,1)</f>
        <v>71</v>
      </c>
    </row>
    <row r="1084" spans="1:9" x14ac:dyDescent="0.25">
      <c r="A1084" s="1">
        <v>37541</v>
      </c>
      <c r="B1084">
        <v>1012</v>
      </c>
      <c r="C1084">
        <v>2002</v>
      </c>
      <c r="D1084">
        <v>540</v>
      </c>
      <c r="E1084">
        <v>13</v>
      </c>
      <c r="F1084">
        <v>839</v>
      </c>
      <c r="G1084">
        <v>65</v>
      </c>
      <c r="H1084">
        <f>SUMIFS($F$2:F1084,$C$2:C1084,C1084)</f>
        <v>22600</v>
      </c>
      <c r="I1084" s="8">
        <f>STAMP_Escapement_Data[[#This Row],[DATE]]-DATE(STAMP_Escapement_Data[[#This Row],[YEAR]],8,1)</f>
        <v>72</v>
      </c>
    </row>
    <row r="1085" spans="1:9" x14ac:dyDescent="0.25">
      <c r="A1085" s="1">
        <v>37542</v>
      </c>
      <c r="B1085">
        <v>1013</v>
      </c>
      <c r="C1085">
        <v>2002</v>
      </c>
      <c r="D1085">
        <v>512</v>
      </c>
      <c r="E1085">
        <v>11</v>
      </c>
      <c r="F1085">
        <v>1069</v>
      </c>
      <c r="G1085">
        <v>9</v>
      </c>
      <c r="H1085">
        <f>SUMIFS($F$2:F1085,$C$2:C1085,C1085)</f>
        <v>23669</v>
      </c>
      <c r="I1085" s="8">
        <f>STAMP_Escapement_Data[[#This Row],[DATE]]-DATE(STAMP_Escapement_Data[[#This Row],[YEAR]],8,1)</f>
        <v>73</v>
      </c>
    </row>
    <row r="1086" spans="1:9" x14ac:dyDescent="0.25">
      <c r="A1086" s="1">
        <v>37543</v>
      </c>
      <c r="B1086">
        <v>1014</v>
      </c>
      <c r="C1086">
        <v>2002</v>
      </c>
      <c r="D1086">
        <v>439</v>
      </c>
      <c r="E1086">
        <v>11</v>
      </c>
      <c r="F1086">
        <v>979</v>
      </c>
      <c r="G1086">
        <v>28</v>
      </c>
      <c r="H1086">
        <f>SUMIFS($F$2:F1086,$C$2:C1086,C1086)</f>
        <v>24648</v>
      </c>
      <c r="I1086" s="8">
        <f>STAMP_Escapement_Data[[#This Row],[DATE]]-DATE(STAMP_Escapement_Data[[#This Row],[YEAR]],8,1)</f>
        <v>74</v>
      </c>
    </row>
    <row r="1087" spans="1:9" x14ac:dyDescent="0.25">
      <c r="A1087" s="1">
        <v>37544</v>
      </c>
      <c r="B1087">
        <v>1015</v>
      </c>
      <c r="C1087">
        <v>2002</v>
      </c>
      <c r="D1087">
        <v>331</v>
      </c>
      <c r="E1087">
        <v>14</v>
      </c>
      <c r="F1087">
        <v>804</v>
      </c>
      <c r="G1087">
        <v>32</v>
      </c>
      <c r="H1087">
        <f>SUMIFS($F$2:F1087,$C$2:C1087,C1087)</f>
        <v>25452</v>
      </c>
      <c r="I1087" s="8">
        <f>STAMP_Escapement_Data[[#This Row],[DATE]]-DATE(STAMP_Escapement_Data[[#This Row],[YEAR]],8,1)</f>
        <v>75</v>
      </c>
    </row>
    <row r="1088" spans="1:9" x14ac:dyDescent="0.25">
      <c r="A1088" s="1">
        <v>37545</v>
      </c>
      <c r="B1088">
        <v>1016</v>
      </c>
      <c r="C1088">
        <v>2002</v>
      </c>
      <c r="D1088">
        <v>421</v>
      </c>
      <c r="E1088">
        <v>13</v>
      </c>
      <c r="F1088">
        <v>627</v>
      </c>
      <c r="G1088">
        <v>18</v>
      </c>
      <c r="H1088">
        <f>SUMIFS($F$2:F1088,$C$2:C1088,C1088)</f>
        <v>26079</v>
      </c>
      <c r="I1088" s="8">
        <f>STAMP_Escapement_Data[[#This Row],[DATE]]-DATE(STAMP_Escapement_Data[[#This Row],[YEAR]],8,1)</f>
        <v>76</v>
      </c>
    </row>
    <row r="1089" spans="1:9" x14ac:dyDescent="0.25">
      <c r="A1089" s="1">
        <v>37546</v>
      </c>
      <c r="B1089">
        <v>1017</v>
      </c>
      <c r="C1089">
        <v>2002</v>
      </c>
      <c r="D1089">
        <v>452</v>
      </c>
      <c r="E1089">
        <v>35</v>
      </c>
      <c r="F1089">
        <v>691</v>
      </c>
      <c r="G1089">
        <v>52</v>
      </c>
      <c r="H1089">
        <f>SUMIFS($F$2:F1089,$C$2:C1089,C1089)</f>
        <v>26770</v>
      </c>
      <c r="I1089" s="8">
        <f>STAMP_Escapement_Data[[#This Row],[DATE]]-DATE(STAMP_Escapement_Data[[#This Row],[YEAR]],8,1)</f>
        <v>77</v>
      </c>
    </row>
    <row r="1090" spans="1:9" x14ac:dyDescent="0.25">
      <c r="A1090" s="1">
        <v>37547</v>
      </c>
      <c r="B1090">
        <v>1018</v>
      </c>
      <c r="C1090">
        <v>2002</v>
      </c>
      <c r="D1090">
        <v>653</v>
      </c>
      <c r="E1090">
        <v>28</v>
      </c>
      <c r="F1090">
        <v>863</v>
      </c>
      <c r="G1090">
        <v>52</v>
      </c>
      <c r="H1090">
        <f>SUMIFS($F$2:F1090,$C$2:C1090,C1090)</f>
        <v>27633</v>
      </c>
      <c r="I1090" s="8">
        <f>STAMP_Escapement_Data[[#This Row],[DATE]]-DATE(STAMP_Escapement_Data[[#This Row],[YEAR]],8,1)</f>
        <v>78</v>
      </c>
    </row>
    <row r="1091" spans="1:9" x14ac:dyDescent="0.25">
      <c r="A1091" s="1">
        <v>37548</v>
      </c>
      <c r="B1091">
        <v>1019</v>
      </c>
      <c r="C1091">
        <v>2002</v>
      </c>
      <c r="D1091">
        <v>551</v>
      </c>
      <c r="E1091">
        <v>24</v>
      </c>
      <c r="F1091">
        <v>660</v>
      </c>
      <c r="G1091">
        <v>62</v>
      </c>
      <c r="H1091">
        <f>SUMIFS($F$2:F1091,$C$2:C1091,C1091)</f>
        <v>28293</v>
      </c>
      <c r="I1091" s="8">
        <f>STAMP_Escapement_Data[[#This Row],[DATE]]-DATE(STAMP_Escapement_Data[[#This Row],[YEAR]],8,1)</f>
        <v>79</v>
      </c>
    </row>
    <row r="1092" spans="1:9" x14ac:dyDescent="0.25">
      <c r="A1092" s="1">
        <v>37549</v>
      </c>
      <c r="B1092">
        <v>1020</v>
      </c>
      <c r="C1092">
        <v>2002</v>
      </c>
      <c r="D1092">
        <v>579</v>
      </c>
      <c r="E1092">
        <v>44</v>
      </c>
      <c r="F1092">
        <v>893</v>
      </c>
      <c r="G1092">
        <v>75</v>
      </c>
      <c r="H1092">
        <f>SUMIFS($F$2:F1092,$C$2:C1092,C1092)</f>
        <v>29186</v>
      </c>
      <c r="I1092" s="8">
        <f>STAMP_Escapement_Data[[#This Row],[DATE]]-DATE(STAMP_Escapement_Data[[#This Row],[YEAR]],8,1)</f>
        <v>80</v>
      </c>
    </row>
    <row r="1093" spans="1:9" x14ac:dyDescent="0.25">
      <c r="A1093" s="1">
        <v>37550</v>
      </c>
      <c r="B1093">
        <v>1021</v>
      </c>
      <c r="C1093">
        <v>2002</v>
      </c>
      <c r="D1093">
        <v>453</v>
      </c>
      <c r="E1093">
        <v>51</v>
      </c>
      <c r="F1093">
        <v>653</v>
      </c>
      <c r="G1093">
        <v>41</v>
      </c>
      <c r="H1093">
        <f>SUMIFS($F$2:F1093,$C$2:C1093,C1093)</f>
        <v>29839</v>
      </c>
      <c r="I1093" s="8">
        <f>STAMP_Escapement_Data[[#This Row],[DATE]]-DATE(STAMP_Escapement_Data[[#This Row],[YEAR]],8,1)</f>
        <v>81</v>
      </c>
    </row>
    <row r="1094" spans="1:9" x14ac:dyDescent="0.25">
      <c r="A1094" s="1">
        <v>37551</v>
      </c>
      <c r="B1094">
        <v>1022</v>
      </c>
      <c r="C1094">
        <v>2002</v>
      </c>
      <c r="D1094">
        <v>213</v>
      </c>
      <c r="E1094">
        <v>33</v>
      </c>
      <c r="F1094">
        <v>438</v>
      </c>
      <c r="G1094">
        <v>30</v>
      </c>
      <c r="H1094">
        <f>SUMIFS($F$2:F1094,$C$2:C1094,C1094)</f>
        <v>30277</v>
      </c>
      <c r="I1094" s="8">
        <f>STAMP_Escapement_Data[[#This Row],[DATE]]-DATE(STAMP_Escapement_Data[[#This Row],[YEAR]],8,1)</f>
        <v>82</v>
      </c>
    </row>
    <row r="1095" spans="1:9" x14ac:dyDescent="0.25">
      <c r="A1095" s="1">
        <v>37552</v>
      </c>
      <c r="B1095">
        <v>1023</v>
      </c>
      <c r="C1095">
        <v>2002</v>
      </c>
      <c r="D1095">
        <v>161</v>
      </c>
      <c r="E1095">
        <v>19</v>
      </c>
      <c r="F1095">
        <v>347</v>
      </c>
      <c r="G1095">
        <v>19</v>
      </c>
      <c r="H1095">
        <f>SUMIFS($F$2:F1095,$C$2:C1095,C1095)</f>
        <v>30624</v>
      </c>
      <c r="I1095" s="8">
        <f>STAMP_Escapement_Data[[#This Row],[DATE]]-DATE(STAMP_Escapement_Data[[#This Row],[YEAR]],8,1)</f>
        <v>83</v>
      </c>
    </row>
    <row r="1096" spans="1:9" x14ac:dyDescent="0.25">
      <c r="A1096" s="1">
        <v>37553</v>
      </c>
      <c r="B1096">
        <v>1024</v>
      </c>
      <c r="C1096">
        <v>2002</v>
      </c>
      <c r="D1096">
        <v>74</v>
      </c>
      <c r="E1096">
        <v>13</v>
      </c>
      <c r="F1096">
        <v>224</v>
      </c>
      <c r="G1096">
        <v>11</v>
      </c>
      <c r="H1096">
        <f>SUMIFS($F$2:F1096,$C$2:C1096,C1096)</f>
        <v>30848</v>
      </c>
      <c r="I1096" s="8">
        <f>STAMP_Escapement_Data[[#This Row],[DATE]]-DATE(STAMP_Escapement_Data[[#This Row],[YEAR]],8,1)</f>
        <v>84</v>
      </c>
    </row>
    <row r="1097" spans="1:9" x14ac:dyDescent="0.25">
      <c r="A1097" s="1">
        <v>37554</v>
      </c>
      <c r="B1097">
        <v>1025</v>
      </c>
      <c r="C1097">
        <v>2002</v>
      </c>
      <c r="D1097">
        <v>85</v>
      </c>
      <c r="E1097">
        <v>16</v>
      </c>
      <c r="F1097">
        <v>258</v>
      </c>
      <c r="G1097">
        <v>15</v>
      </c>
      <c r="H1097">
        <f>SUMIFS($F$2:F1097,$C$2:C1097,C1097)</f>
        <v>31106</v>
      </c>
      <c r="I1097" s="8">
        <f>STAMP_Escapement_Data[[#This Row],[DATE]]-DATE(STAMP_Escapement_Data[[#This Row],[YEAR]],8,1)</f>
        <v>85</v>
      </c>
    </row>
    <row r="1098" spans="1:9" x14ac:dyDescent="0.25">
      <c r="A1098" s="1">
        <v>37555</v>
      </c>
      <c r="B1098">
        <v>1026</v>
      </c>
      <c r="C1098">
        <v>2002</v>
      </c>
      <c r="D1098">
        <v>62</v>
      </c>
      <c r="E1098">
        <v>31</v>
      </c>
      <c r="F1098">
        <v>222</v>
      </c>
      <c r="G1098">
        <v>14</v>
      </c>
      <c r="H1098">
        <f>SUMIFS($F$2:F1098,$C$2:C1098,C1098)</f>
        <v>31328</v>
      </c>
      <c r="I1098" s="8">
        <f>STAMP_Escapement_Data[[#This Row],[DATE]]-DATE(STAMP_Escapement_Data[[#This Row],[YEAR]],8,1)</f>
        <v>86</v>
      </c>
    </row>
    <row r="1099" spans="1:9" x14ac:dyDescent="0.25">
      <c r="A1099" s="1">
        <v>37556</v>
      </c>
      <c r="B1099">
        <v>1027</v>
      </c>
      <c r="C1099">
        <v>2002</v>
      </c>
      <c r="D1099">
        <v>54</v>
      </c>
      <c r="E1099">
        <v>21</v>
      </c>
      <c r="F1099">
        <v>179</v>
      </c>
      <c r="G1099">
        <v>12</v>
      </c>
      <c r="H1099">
        <f>SUMIFS($F$2:F1099,$C$2:C1099,C1099)</f>
        <v>31507</v>
      </c>
      <c r="I1099" s="8">
        <f>STAMP_Escapement_Data[[#This Row],[DATE]]-DATE(STAMP_Escapement_Data[[#This Row],[YEAR]],8,1)</f>
        <v>87</v>
      </c>
    </row>
    <row r="1100" spans="1:9" x14ac:dyDescent="0.25">
      <c r="A1100" s="1">
        <v>37557</v>
      </c>
      <c r="B1100">
        <v>1028</v>
      </c>
      <c r="C1100">
        <v>2002</v>
      </c>
      <c r="D1100">
        <v>111</v>
      </c>
      <c r="E1100">
        <v>37</v>
      </c>
      <c r="F1100">
        <v>285</v>
      </c>
      <c r="G1100">
        <v>11</v>
      </c>
      <c r="H1100">
        <f>SUMIFS($F$2:F1100,$C$2:C1100,C1100)</f>
        <v>31792</v>
      </c>
      <c r="I1100" s="8">
        <f>STAMP_Escapement_Data[[#This Row],[DATE]]-DATE(STAMP_Escapement_Data[[#This Row],[YEAR]],8,1)</f>
        <v>88</v>
      </c>
    </row>
    <row r="1101" spans="1:9" x14ac:dyDescent="0.25">
      <c r="A1101" s="1">
        <v>37558</v>
      </c>
      <c r="B1101">
        <v>1029</v>
      </c>
      <c r="C1101">
        <v>2002</v>
      </c>
      <c r="D1101">
        <v>65</v>
      </c>
      <c r="E1101">
        <v>9</v>
      </c>
      <c r="F1101">
        <v>160</v>
      </c>
      <c r="G1101">
        <v>6</v>
      </c>
      <c r="H1101">
        <f>SUMIFS($F$2:F1101,$C$2:C1101,C1101)</f>
        <v>31952</v>
      </c>
      <c r="I1101" s="8">
        <f>STAMP_Escapement_Data[[#This Row],[DATE]]-DATE(STAMP_Escapement_Data[[#This Row],[YEAR]],8,1)</f>
        <v>89</v>
      </c>
    </row>
    <row r="1102" spans="1:9" x14ac:dyDescent="0.25">
      <c r="A1102" s="1">
        <v>37559</v>
      </c>
      <c r="B1102">
        <v>1030</v>
      </c>
      <c r="C1102">
        <v>2002</v>
      </c>
      <c r="D1102">
        <v>40</v>
      </c>
      <c r="E1102">
        <v>3</v>
      </c>
      <c r="F1102">
        <v>103</v>
      </c>
      <c r="G1102">
        <v>2</v>
      </c>
      <c r="H1102">
        <f>SUMIFS($F$2:F1102,$C$2:C1102,C1102)</f>
        <v>32055</v>
      </c>
      <c r="I1102" s="8">
        <f>STAMP_Escapement_Data[[#This Row],[DATE]]-DATE(STAMP_Escapement_Data[[#This Row],[YEAR]],8,1)</f>
        <v>90</v>
      </c>
    </row>
    <row r="1103" spans="1:9" x14ac:dyDescent="0.25">
      <c r="A1103" s="1">
        <v>37560</v>
      </c>
      <c r="B1103">
        <v>1031</v>
      </c>
      <c r="C1103">
        <v>2002</v>
      </c>
      <c r="D1103">
        <v>10</v>
      </c>
      <c r="E1103">
        <v>2</v>
      </c>
      <c r="F1103">
        <v>63</v>
      </c>
      <c r="G1103">
        <v>0</v>
      </c>
      <c r="H1103">
        <f>SUMIFS($F$2:F1103,$C$2:C1103,C1103)</f>
        <v>32118</v>
      </c>
      <c r="I1103" s="8">
        <f>STAMP_Escapement_Data[[#This Row],[DATE]]-DATE(STAMP_Escapement_Data[[#This Row],[YEAR]],8,1)</f>
        <v>91</v>
      </c>
    </row>
    <row r="1104" spans="1:9" x14ac:dyDescent="0.25">
      <c r="A1104" s="1">
        <v>37561</v>
      </c>
      <c r="B1104">
        <v>1101</v>
      </c>
      <c r="C1104">
        <v>2002</v>
      </c>
      <c r="D1104">
        <v>11</v>
      </c>
      <c r="E1104">
        <v>1</v>
      </c>
      <c r="F1104">
        <v>52</v>
      </c>
      <c r="G1104">
        <v>1</v>
      </c>
      <c r="H1104">
        <f>SUMIFS($F$2:F1104,$C$2:C1104,C1104)</f>
        <v>32170</v>
      </c>
      <c r="I1104" s="8">
        <f>STAMP_Escapement_Data[[#This Row],[DATE]]-DATE(STAMP_Escapement_Data[[#This Row],[YEAR]],8,1)</f>
        <v>92</v>
      </c>
    </row>
    <row r="1105" spans="1:9" x14ac:dyDescent="0.25">
      <c r="A1105" s="1">
        <v>37562</v>
      </c>
      <c r="B1105">
        <v>1102</v>
      </c>
      <c r="C1105">
        <v>2002</v>
      </c>
      <c r="D1105">
        <v>5</v>
      </c>
      <c r="E1105">
        <v>3</v>
      </c>
      <c r="F1105">
        <v>26</v>
      </c>
      <c r="G1105">
        <v>1</v>
      </c>
      <c r="H1105">
        <f>SUMIFS($F$2:F1105,$C$2:C1105,C1105)</f>
        <v>32196</v>
      </c>
      <c r="I1105" s="8">
        <f>STAMP_Escapement_Data[[#This Row],[DATE]]-DATE(STAMP_Escapement_Data[[#This Row],[YEAR]],8,1)</f>
        <v>93</v>
      </c>
    </row>
    <row r="1106" spans="1:9" x14ac:dyDescent="0.25">
      <c r="A1106" s="1">
        <v>37563</v>
      </c>
      <c r="B1106">
        <v>1103</v>
      </c>
      <c r="C1106">
        <v>2002</v>
      </c>
      <c r="D1106">
        <v>24</v>
      </c>
      <c r="E1106">
        <v>3</v>
      </c>
      <c r="F1106">
        <v>16</v>
      </c>
      <c r="G1106">
        <v>0</v>
      </c>
      <c r="H1106">
        <f>SUMIFS($F$2:F1106,$C$2:C1106,C1106)</f>
        <v>32212</v>
      </c>
      <c r="I1106" s="8">
        <f>STAMP_Escapement_Data[[#This Row],[DATE]]-DATE(STAMP_Escapement_Data[[#This Row],[YEAR]],8,1)</f>
        <v>94</v>
      </c>
    </row>
    <row r="1107" spans="1:9" x14ac:dyDescent="0.25">
      <c r="A1107" s="1">
        <v>37564</v>
      </c>
      <c r="B1107">
        <v>1104</v>
      </c>
      <c r="C1107">
        <v>2002</v>
      </c>
      <c r="D1107">
        <v>30</v>
      </c>
      <c r="E1107">
        <v>0</v>
      </c>
      <c r="F1107">
        <v>15</v>
      </c>
      <c r="G1107">
        <v>1</v>
      </c>
      <c r="H1107">
        <f>SUMIFS($F$2:F1107,$C$2:C1107,C1107)</f>
        <v>32227</v>
      </c>
      <c r="I1107" s="8">
        <f>STAMP_Escapement_Data[[#This Row],[DATE]]-DATE(STAMP_Escapement_Data[[#This Row],[YEAR]],8,1)</f>
        <v>95</v>
      </c>
    </row>
    <row r="1108" spans="1:9" x14ac:dyDescent="0.25">
      <c r="A1108" s="1">
        <v>37565</v>
      </c>
      <c r="B1108">
        <v>1105</v>
      </c>
      <c r="C1108">
        <v>2002</v>
      </c>
      <c r="D1108">
        <v>59</v>
      </c>
      <c r="E1108">
        <v>5</v>
      </c>
      <c r="F1108">
        <v>26</v>
      </c>
      <c r="G1108">
        <v>0</v>
      </c>
      <c r="H1108">
        <f>SUMIFS($F$2:F1108,$C$2:C1108,C1108)</f>
        <v>32253</v>
      </c>
      <c r="I1108" s="8">
        <f>STAMP_Escapement_Data[[#This Row],[DATE]]-DATE(STAMP_Escapement_Data[[#This Row],[YEAR]],8,1)</f>
        <v>96</v>
      </c>
    </row>
    <row r="1109" spans="1:9" x14ac:dyDescent="0.25">
      <c r="A1109" s="1">
        <v>37566</v>
      </c>
      <c r="B1109">
        <v>1106</v>
      </c>
      <c r="C1109">
        <v>2002</v>
      </c>
      <c r="D1109">
        <v>362</v>
      </c>
      <c r="E1109">
        <v>4</v>
      </c>
      <c r="F1109">
        <v>79</v>
      </c>
      <c r="G1109">
        <v>1</v>
      </c>
      <c r="H1109">
        <f>SUMIFS($F$2:F1109,$C$2:C1109,C1109)</f>
        <v>32332</v>
      </c>
      <c r="I1109" s="8">
        <f>STAMP_Escapement_Data[[#This Row],[DATE]]-DATE(STAMP_Escapement_Data[[#This Row],[YEAR]],8,1)</f>
        <v>97</v>
      </c>
    </row>
    <row r="1110" spans="1:9" x14ac:dyDescent="0.25">
      <c r="A1110" s="1">
        <v>37567</v>
      </c>
      <c r="B1110">
        <v>1107</v>
      </c>
      <c r="C1110">
        <v>2002</v>
      </c>
      <c r="D1110">
        <v>1177</v>
      </c>
      <c r="E1110">
        <v>21</v>
      </c>
      <c r="F1110">
        <v>88</v>
      </c>
      <c r="G1110">
        <v>9</v>
      </c>
      <c r="H1110">
        <f>SUMIFS($F$2:F1110,$C$2:C1110,C1110)</f>
        <v>32420</v>
      </c>
      <c r="I1110" s="8">
        <f>STAMP_Escapement_Data[[#This Row],[DATE]]-DATE(STAMP_Escapement_Data[[#This Row],[YEAR]],8,1)</f>
        <v>98</v>
      </c>
    </row>
    <row r="1111" spans="1:9" x14ac:dyDescent="0.25">
      <c r="A1111" s="1">
        <v>37568</v>
      </c>
      <c r="B1111">
        <v>1108</v>
      </c>
      <c r="C1111">
        <v>2002</v>
      </c>
      <c r="D1111">
        <v>554</v>
      </c>
      <c r="E1111">
        <v>50</v>
      </c>
      <c r="F1111">
        <v>85</v>
      </c>
      <c r="G1111">
        <v>8</v>
      </c>
      <c r="H1111">
        <f>SUMIFS($F$2:F1111,$C$2:C1111,C1111)</f>
        <v>32505</v>
      </c>
      <c r="I1111" s="8">
        <f>STAMP_Escapement_Data[[#This Row],[DATE]]-DATE(STAMP_Escapement_Data[[#This Row],[YEAR]],8,1)</f>
        <v>99</v>
      </c>
    </row>
    <row r="1112" spans="1:9" x14ac:dyDescent="0.25">
      <c r="A1112" s="1">
        <v>37569</v>
      </c>
      <c r="B1112">
        <v>1109</v>
      </c>
      <c r="C1112">
        <v>2002</v>
      </c>
      <c r="D1112">
        <v>601</v>
      </c>
      <c r="E1112">
        <v>105</v>
      </c>
      <c r="F1112">
        <v>155</v>
      </c>
      <c r="G1112">
        <v>9</v>
      </c>
      <c r="H1112">
        <f>SUMIFS($F$2:F1112,$C$2:C1112,C1112)</f>
        <v>32660</v>
      </c>
      <c r="I1112" s="8">
        <f>STAMP_Escapement_Data[[#This Row],[DATE]]-DATE(STAMP_Escapement_Data[[#This Row],[YEAR]],8,1)</f>
        <v>100</v>
      </c>
    </row>
    <row r="1113" spans="1:9" x14ac:dyDescent="0.25">
      <c r="A1113" s="1">
        <v>37570</v>
      </c>
      <c r="B1113">
        <v>1110</v>
      </c>
      <c r="C1113">
        <v>2002</v>
      </c>
      <c r="D1113">
        <v>231</v>
      </c>
      <c r="E1113">
        <v>43</v>
      </c>
      <c r="F1113">
        <v>15</v>
      </c>
      <c r="G1113">
        <v>5</v>
      </c>
      <c r="H1113">
        <f>SUMIFS($F$2:F1113,$C$2:C1113,C1113)</f>
        <v>32675</v>
      </c>
      <c r="I1113" s="8">
        <f>STAMP_Escapement_Data[[#This Row],[DATE]]-DATE(STAMP_Escapement_Data[[#This Row],[YEAR]],8,1)</f>
        <v>101</v>
      </c>
    </row>
    <row r="1114" spans="1:9" x14ac:dyDescent="0.25">
      <c r="A1114" s="1">
        <v>37571</v>
      </c>
      <c r="B1114">
        <v>1111</v>
      </c>
      <c r="C1114">
        <v>2002</v>
      </c>
      <c r="D1114">
        <v>73</v>
      </c>
      <c r="E1114">
        <v>24</v>
      </c>
      <c r="F1114">
        <v>15</v>
      </c>
      <c r="G1114">
        <v>4</v>
      </c>
      <c r="H1114">
        <f>SUMIFS($F$2:F1114,$C$2:C1114,C1114)</f>
        <v>32690</v>
      </c>
      <c r="I1114" s="8">
        <f>STAMP_Escapement_Data[[#This Row],[DATE]]-DATE(STAMP_Escapement_Data[[#This Row],[YEAR]],8,1)</f>
        <v>102</v>
      </c>
    </row>
    <row r="1115" spans="1:9" x14ac:dyDescent="0.25">
      <c r="A1115" s="1">
        <v>37868</v>
      </c>
      <c r="B1115">
        <v>904</v>
      </c>
      <c r="C1115">
        <v>2003</v>
      </c>
      <c r="D1115">
        <v>0</v>
      </c>
      <c r="E1115">
        <v>0</v>
      </c>
      <c r="F1115">
        <v>9</v>
      </c>
      <c r="G1115">
        <v>2</v>
      </c>
      <c r="H1115">
        <f>SUMIFS($F$2:F1115,$C$2:C1115,C1115)</f>
        <v>9</v>
      </c>
      <c r="I1115" s="8">
        <f>STAMP_Escapement_Data[[#This Row],[DATE]]-DATE(STAMP_Escapement_Data[[#This Row],[YEAR]],8,1)</f>
        <v>34</v>
      </c>
    </row>
    <row r="1116" spans="1:9" x14ac:dyDescent="0.25">
      <c r="A1116" s="1">
        <v>37868</v>
      </c>
      <c r="B1116">
        <v>904</v>
      </c>
      <c r="C1116">
        <v>2003</v>
      </c>
      <c r="D1116">
        <v>473</v>
      </c>
      <c r="E1116">
        <v>1</v>
      </c>
      <c r="F1116">
        <v>46</v>
      </c>
      <c r="G1116">
        <v>12</v>
      </c>
      <c r="H1116">
        <f>SUMIFS($F$2:F1116,$C$2:C1116,C1116)</f>
        <v>55</v>
      </c>
      <c r="I1116" s="8">
        <f>STAMP_Escapement_Data[[#This Row],[DATE]]-DATE(STAMP_Escapement_Data[[#This Row],[YEAR]],8,1)</f>
        <v>34</v>
      </c>
    </row>
    <row r="1117" spans="1:9" x14ac:dyDescent="0.25">
      <c r="A1117" s="1">
        <v>37868</v>
      </c>
      <c r="B1117">
        <v>904</v>
      </c>
      <c r="C1117">
        <v>2003</v>
      </c>
      <c r="D1117">
        <v>30</v>
      </c>
      <c r="E1117">
        <v>12</v>
      </c>
      <c r="F1117">
        <v>12</v>
      </c>
      <c r="G1117">
        <v>21</v>
      </c>
      <c r="H1117">
        <f>SUMIFS($F$2:F1117,$C$2:C1117,C1117)</f>
        <v>67</v>
      </c>
      <c r="I1117" s="8">
        <f>STAMP_Escapement_Data[[#This Row],[DATE]]-DATE(STAMP_Escapement_Data[[#This Row],[YEAR]],8,1)</f>
        <v>34</v>
      </c>
    </row>
    <row r="1118" spans="1:9" x14ac:dyDescent="0.25">
      <c r="A1118" s="1">
        <v>37869</v>
      </c>
      <c r="B1118">
        <v>905</v>
      </c>
      <c r="C1118">
        <v>2003</v>
      </c>
      <c r="D1118">
        <v>110</v>
      </c>
      <c r="E1118">
        <v>45</v>
      </c>
      <c r="F1118">
        <v>40</v>
      </c>
      <c r="G1118">
        <v>85</v>
      </c>
      <c r="H1118">
        <f>SUMIFS($F$2:F1118,$C$2:C1118,C1118)</f>
        <v>107</v>
      </c>
      <c r="I1118" s="8">
        <f>STAMP_Escapement_Data[[#This Row],[DATE]]-DATE(STAMP_Escapement_Data[[#This Row],[YEAR]],8,1)</f>
        <v>35</v>
      </c>
    </row>
    <row r="1119" spans="1:9" x14ac:dyDescent="0.25">
      <c r="A1119" s="1">
        <v>37870</v>
      </c>
      <c r="B1119">
        <v>906</v>
      </c>
      <c r="C1119">
        <v>2003</v>
      </c>
      <c r="D1119">
        <v>106</v>
      </c>
      <c r="E1119">
        <v>50</v>
      </c>
      <c r="F1119">
        <v>14</v>
      </c>
      <c r="G1119">
        <v>42</v>
      </c>
      <c r="H1119">
        <f>SUMIFS($F$2:F1119,$C$2:C1119,C1119)</f>
        <v>121</v>
      </c>
      <c r="I1119" s="8">
        <f>STAMP_Escapement_Data[[#This Row],[DATE]]-DATE(STAMP_Escapement_Data[[#This Row],[YEAR]],8,1)</f>
        <v>36</v>
      </c>
    </row>
    <row r="1120" spans="1:9" x14ac:dyDescent="0.25">
      <c r="A1120" s="1">
        <v>37871</v>
      </c>
      <c r="B1120">
        <v>907</v>
      </c>
      <c r="C1120">
        <v>2003</v>
      </c>
      <c r="D1120">
        <v>1299</v>
      </c>
      <c r="E1120">
        <v>81</v>
      </c>
      <c r="F1120">
        <v>76</v>
      </c>
      <c r="G1120">
        <v>89</v>
      </c>
      <c r="H1120">
        <f>SUMIFS($F$2:F1120,$C$2:C1120,C1120)</f>
        <v>197</v>
      </c>
      <c r="I1120" s="8">
        <f>STAMP_Escapement_Data[[#This Row],[DATE]]-DATE(STAMP_Escapement_Data[[#This Row],[YEAR]],8,1)</f>
        <v>37</v>
      </c>
    </row>
    <row r="1121" spans="1:9" x14ac:dyDescent="0.25">
      <c r="A1121" s="1">
        <v>37872</v>
      </c>
      <c r="B1121">
        <v>908</v>
      </c>
      <c r="C1121">
        <v>2003</v>
      </c>
      <c r="D1121">
        <v>1578</v>
      </c>
      <c r="E1121">
        <v>82</v>
      </c>
      <c r="F1121">
        <v>115</v>
      </c>
      <c r="G1121">
        <v>99</v>
      </c>
      <c r="H1121">
        <f>SUMIFS($F$2:F1121,$C$2:C1121,C1121)</f>
        <v>312</v>
      </c>
      <c r="I1121" s="8">
        <f>STAMP_Escapement_Data[[#This Row],[DATE]]-DATE(STAMP_Escapement_Data[[#This Row],[YEAR]],8,1)</f>
        <v>38</v>
      </c>
    </row>
    <row r="1122" spans="1:9" x14ac:dyDescent="0.25">
      <c r="A1122" s="1">
        <v>37873</v>
      </c>
      <c r="B1122">
        <v>909</v>
      </c>
      <c r="C1122">
        <v>2003</v>
      </c>
      <c r="D1122">
        <v>1471</v>
      </c>
      <c r="E1122">
        <v>95</v>
      </c>
      <c r="F1122">
        <v>252</v>
      </c>
      <c r="G1122">
        <v>188</v>
      </c>
      <c r="H1122">
        <f>SUMIFS($F$2:F1122,$C$2:C1122,C1122)</f>
        <v>564</v>
      </c>
      <c r="I1122" s="8">
        <f>STAMP_Escapement_Data[[#This Row],[DATE]]-DATE(STAMP_Escapement_Data[[#This Row],[YEAR]],8,1)</f>
        <v>39</v>
      </c>
    </row>
    <row r="1123" spans="1:9" x14ac:dyDescent="0.25">
      <c r="A1123" s="1">
        <v>37874</v>
      </c>
      <c r="B1123">
        <v>910</v>
      </c>
      <c r="C1123">
        <v>2003</v>
      </c>
      <c r="D1123">
        <v>800</v>
      </c>
      <c r="E1123">
        <v>45</v>
      </c>
      <c r="F1123">
        <v>1101</v>
      </c>
      <c r="G1123">
        <v>52</v>
      </c>
      <c r="H1123">
        <f>SUMIFS($F$2:F1123,$C$2:C1123,C1123)</f>
        <v>1665</v>
      </c>
      <c r="I1123" s="8">
        <f>STAMP_Escapement_Data[[#This Row],[DATE]]-DATE(STAMP_Escapement_Data[[#This Row],[YEAR]],8,1)</f>
        <v>40</v>
      </c>
    </row>
    <row r="1124" spans="1:9" x14ac:dyDescent="0.25">
      <c r="A1124" s="1">
        <v>37875</v>
      </c>
      <c r="B1124">
        <v>911</v>
      </c>
      <c r="C1124">
        <v>2003</v>
      </c>
      <c r="D1124">
        <v>1792</v>
      </c>
      <c r="E1124">
        <v>87</v>
      </c>
      <c r="F1124">
        <v>531</v>
      </c>
      <c r="G1124">
        <v>119</v>
      </c>
      <c r="H1124">
        <f>SUMIFS($F$2:F1124,$C$2:C1124,C1124)</f>
        <v>2196</v>
      </c>
      <c r="I1124" s="8">
        <f>STAMP_Escapement_Data[[#This Row],[DATE]]-DATE(STAMP_Escapement_Data[[#This Row],[YEAR]],8,1)</f>
        <v>41</v>
      </c>
    </row>
    <row r="1125" spans="1:9" x14ac:dyDescent="0.25">
      <c r="A1125" s="1">
        <v>37876</v>
      </c>
      <c r="B1125">
        <v>912</v>
      </c>
      <c r="C1125">
        <v>2003</v>
      </c>
      <c r="D1125">
        <v>1459</v>
      </c>
      <c r="E1125">
        <v>45</v>
      </c>
      <c r="F1125">
        <v>782</v>
      </c>
      <c r="G1125">
        <v>42</v>
      </c>
      <c r="H1125">
        <f>SUMIFS($F$2:F1125,$C$2:C1125,C1125)</f>
        <v>2978</v>
      </c>
      <c r="I1125" s="8">
        <f>STAMP_Escapement_Data[[#This Row],[DATE]]-DATE(STAMP_Escapement_Data[[#This Row],[YEAR]],8,1)</f>
        <v>42</v>
      </c>
    </row>
    <row r="1126" spans="1:9" x14ac:dyDescent="0.25">
      <c r="A1126" s="1">
        <v>37877</v>
      </c>
      <c r="B1126">
        <v>913</v>
      </c>
      <c r="C1126">
        <v>2003</v>
      </c>
      <c r="D1126">
        <v>1706</v>
      </c>
      <c r="E1126">
        <v>68</v>
      </c>
      <c r="F1126">
        <v>644</v>
      </c>
      <c r="G1126">
        <v>58</v>
      </c>
      <c r="H1126">
        <f>SUMIFS($F$2:F1126,$C$2:C1126,C1126)</f>
        <v>3622</v>
      </c>
      <c r="I1126" s="8">
        <f>STAMP_Escapement_Data[[#This Row],[DATE]]-DATE(STAMP_Escapement_Data[[#This Row],[YEAR]],8,1)</f>
        <v>43</v>
      </c>
    </row>
    <row r="1127" spans="1:9" x14ac:dyDescent="0.25">
      <c r="A1127" s="1">
        <v>37878</v>
      </c>
      <c r="B1127">
        <v>914</v>
      </c>
      <c r="C1127">
        <v>2003</v>
      </c>
      <c r="D1127">
        <v>1728</v>
      </c>
      <c r="E1127">
        <v>65</v>
      </c>
      <c r="F1127">
        <v>336</v>
      </c>
      <c r="G1127">
        <v>54</v>
      </c>
      <c r="H1127">
        <f>SUMIFS($F$2:F1127,$C$2:C1127,C1127)</f>
        <v>3958</v>
      </c>
      <c r="I1127" s="8">
        <f>STAMP_Escapement_Data[[#This Row],[DATE]]-DATE(STAMP_Escapement_Data[[#This Row],[YEAR]],8,1)</f>
        <v>44</v>
      </c>
    </row>
    <row r="1128" spans="1:9" x14ac:dyDescent="0.25">
      <c r="A1128" s="1">
        <v>37879</v>
      </c>
      <c r="B1128">
        <v>915</v>
      </c>
      <c r="C1128">
        <v>2003</v>
      </c>
      <c r="D1128">
        <v>2008</v>
      </c>
      <c r="E1128">
        <v>92</v>
      </c>
      <c r="F1128">
        <v>381</v>
      </c>
      <c r="G1128">
        <v>71</v>
      </c>
      <c r="H1128">
        <f>SUMIFS($F$2:F1128,$C$2:C1128,C1128)</f>
        <v>4339</v>
      </c>
      <c r="I1128" s="8">
        <f>STAMP_Escapement_Data[[#This Row],[DATE]]-DATE(STAMP_Escapement_Data[[#This Row],[YEAR]],8,1)</f>
        <v>45</v>
      </c>
    </row>
    <row r="1129" spans="1:9" x14ac:dyDescent="0.25">
      <c r="A1129" s="1">
        <v>37880</v>
      </c>
      <c r="B1129">
        <v>916</v>
      </c>
      <c r="C1129">
        <v>2003</v>
      </c>
      <c r="D1129">
        <v>2320</v>
      </c>
      <c r="E1129">
        <v>92</v>
      </c>
      <c r="F1129">
        <v>287</v>
      </c>
      <c r="G1129">
        <v>57</v>
      </c>
      <c r="H1129">
        <f>SUMIFS($F$2:F1129,$C$2:C1129,C1129)</f>
        <v>4626</v>
      </c>
      <c r="I1129" s="8">
        <f>STAMP_Escapement_Data[[#This Row],[DATE]]-DATE(STAMP_Escapement_Data[[#This Row],[YEAR]],8,1)</f>
        <v>46</v>
      </c>
    </row>
    <row r="1130" spans="1:9" x14ac:dyDescent="0.25">
      <c r="A1130" s="1">
        <v>37881</v>
      </c>
      <c r="B1130">
        <v>917</v>
      </c>
      <c r="C1130">
        <v>2003</v>
      </c>
      <c r="D1130">
        <v>2853</v>
      </c>
      <c r="E1130">
        <v>100</v>
      </c>
      <c r="F1130">
        <v>213</v>
      </c>
      <c r="G1130">
        <v>56</v>
      </c>
      <c r="H1130">
        <f>SUMIFS($F$2:F1130,$C$2:C1130,C1130)</f>
        <v>4839</v>
      </c>
      <c r="I1130" s="8">
        <f>STAMP_Escapement_Data[[#This Row],[DATE]]-DATE(STAMP_Escapement_Data[[#This Row],[YEAR]],8,1)</f>
        <v>47</v>
      </c>
    </row>
    <row r="1131" spans="1:9" x14ac:dyDescent="0.25">
      <c r="A1131" s="1">
        <v>37882</v>
      </c>
      <c r="B1131">
        <v>918</v>
      </c>
      <c r="C1131">
        <v>2003</v>
      </c>
      <c r="D1131">
        <v>2106</v>
      </c>
      <c r="E1131">
        <v>90</v>
      </c>
      <c r="F1131">
        <v>240</v>
      </c>
      <c r="G1131">
        <v>75</v>
      </c>
      <c r="H1131">
        <f>SUMIFS($F$2:F1131,$C$2:C1131,C1131)</f>
        <v>5079</v>
      </c>
      <c r="I1131" s="8">
        <f>STAMP_Escapement_Data[[#This Row],[DATE]]-DATE(STAMP_Escapement_Data[[#This Row],[YEAR]],8,1)</f>
        <v>48</v>
      </c>
    </row>
    <row r="1132" spans="1:9" x14ac:dyDescent="0.25">
      <c r="A1132" s="1">
        <v>37883</v>
      </c>
      <c r="B1132">
        <v>919</v>
      </c>
      <c r="C1132">
        <v>2003</v>
      </c>
      <c r="D1132">
        <v>3616</v>
      </c>
      <c r="E1132">
        <v>141</v>
      </c>
      <c r="F1132">
        <v>275</v>
      </c>
      <c r="G1132">
        <v>112</v>
      </c>
      <c r="H1132">
        <f>SUMIFS($F$2:F1132,$C$2:C1132,C1132)</f>
        <v>5354</v>
      </c>
      <c r="I1132" s="8">
        <f>STAMP_Escapement_Data[[#This Row],[DATE]]-DATE(STAMP_Escapement_Data[[#This Row],[YEAR]],8,1)</f>
        <v>49</v>
      </c>
    </row>
    <row r="1133" spans="1:9" x14ac:dyDescent="0.25">
      <c r="A1133" s="1">
        <v>37884</v>
      </c>
      <c r="B1133">
        <v>920</v>
      </c>
      <c r="C1133">
        <v>2003</v>
      </c>
      <c r="D1133">
        <v>2685</v>
      </c>
      <c r="E1133">
        <v>112</v>
      </c>
      <c r="F1133">
        <v>367</v>
      </c>
      <c r="G1133">
        <v>75</v>
      </c>
      <c r="H1133">
        <f>SUMIFS($F$2:F1133,$C$2:C1133,C1133)</f>
        <v>5721</v>
      </c>
      <c r="I1133" s="8">
        <f>STAMP_Escapement_Data[[#This Row],[DATE]]-DATE(STAMP_Escapement_Data[[#This Row],[YEAR]],8,1)</f>
        <v>50</v>
      </c>
    </row>
    <row r="1134" spans="1:9" x14ac:dyDescent="0.25">
      <c r="A1134" s="1">
        <v>37885</v>
      </c>
      <c r="B1134">
        <v>921</v>
      </c>
      <c r="C1134">
        <v>2003</v>
      </c>
      <c r="D1134">
        <v>3003</v>
      </c>
      <c r="E1134">
        <v>104</v>
      </c>
      <c r="F1134">
        <v>339</v>
      </c>
      <c r="G1134">
        <v>95</v>
      </c>
      <c r="H1134">
        <f>SUMIFS($F$2:F1134,$C$2:C1134,C1134)</f>
        <v>6060</v>
      </c>
      <c r="I1134" s="8">
        <f>STAMP_Escapement_Data[[#This Row],[DATE]]-DATE(STAMP_Escapement_Data[[#This Row],[YEAR]],8,1)</f>
        <v>51</v>
      </c>
    </row>
    <row r="1135" spans="1:9" x14ac:dyDescent="0.25">
      <c r="A1135" s="1">
        <v>37886</v>
      </c>
      <c r="B1135">
        <v>922</v>
      </c>
      <c r="C1135">
        <v>2003</v>
      </c>
      <c r="D1135">
        <v>2656</v>
      </c>
      <c r="E1135">
        <v>81</v>
      </c>
      <c r="F1135">
        <v>246</v>
      </c>
      <c r="G1135">
        <v>60</v>
      </c>
      <c r="H1135">
        <f>SUMIFS($F$2:F1135,$C$2:C1135,C1135)</f>
        <v>6306</v>
      </c>
      <c r="I1135" s="8">
        <f>STAMP_Escapement_Data[[#This Row],[DATE]]-DATE(STAMP_Escapement_Data[[#This Row],[YEAR]],8,1)</f>
        <v>52</v>
      </c>
    </row>
    <row r="1136" spans="1:9" x14ac:dyDescent="0.25">
      <c r="A1136" s="1">
        <v>37887</v>
      </c>
      <c r="B1136">
        <v>923</v>
      </c>
      <c r="C1136">
        <v>2003</v>
      </c>
      <c r="D1136">
        <v>2860</v>
      </c>
      <c r="E1136">
        <v>100</v>
      </c>
      <c r="F1136">
        <v>248</v>
      </c>
      <c r="G1136">
        <v>67</v>
      </c>
      <c r="H1136">
        <f>SUMIFS($F$2:F1136,$C$2:C1136,C1136)</f>
        <v>6554</v>
      </c>
      <c r="I1136" s="8">
        <f>STAMP_Escapement_Data[[#This Row],[DATE]]-DATE(STAMP_Escapement_Data[[#This Row],[YEAR]],8,1)</f>
        <v>53</v>
      </c>
    </row>
    <row r="1137" spans="1:9" x14ac:dyDescent="0.25">
      <c r="A1137" s="1">
        <v>37888</v>
      </c>
      <c r="B1137">
        <v>924</v>
      </c>
      <c r="C1137">
        <v>2003</v>
      </c>
      <c r="D1137">
        <v>3553</v>
      </c>
      <c r="E1137">
        <v>186</v>
      </c>
      <c r="F1137">
        <v>501</v>
      </c>
      <c r="G1137">
        <v>121</v>
      </c>
      <c r="H1137">
        <f>SUMIFS($F$2:F1137,$C$2:C1137,C1137)</f>
        <v>7055</v>
      </c>
      <c r="I1137" s="8">
        <f>STAMP_Escapement_Data[[#This Row],[DATE]]-DATE(STAMP_Escapement_Data[[#This Row],[YEAR]],8,1)</f>
        <v>54</v>
      </c>
    </row>
    <row r="1138" spans="1:9" x14ac:dyDescent="0.25">
      <c r="A1138" s="1">
        <v>37889</v>
      </c>
      <c r="B1138">
        <v>925</v>
      </c>
      <c r="C1138">
        <v>2003</v>
      </c>
      <c r="D1138">
        <v>1926</v>
      </c>
      <c r="E1138">
        <v>188</v>
      </c>
      <c r="F1138">
        <v>1524</v>
      </c>
      <c r="G1138">
        <v>156</v>
      </c>
      <c r="H1138">
        <f>SUMIFS($F$2:F1138,$C$2:C1138,C1138)</f>
        <v>8579</v>
      </c>
      <c r="I1138" s="8">
        <f>STAMP_Escapement_Data[[#This Row],[DATE]]-DATE(STAMP_Escapement_Data[[#This Row],[YEAR]],8,1)</f>
        <v>55</v>
      </c>
    </row>
    <row r="1139" spans="1:9" x14ac:dyDescent="0.25">
      <c r="A1139" s="1">
        <v>37890</v>
      </c>
      <c r="B1139">
        <v>926</v>
      </c>
      <c r="C1139">
        <v>2003</v>
      </c>
      <c r="D1139">
        <v>2367</v>
      </c>
      <c r="E1139">
        <v>174</v>
      </c>
      <c r="F1139">
        <v>1240</v>
      </c>
      <c r="G1139">
        <v>176</v>
      </c>
      <c r="H1139">
        <f>SUMIFS($F$2:F1139,$C$2:C1139,C1139)</f>
        <v>9819</v>
      </c>
      <c r="I1139" s="8">
        <f>STAMP_Escapement_Data[[#This Row],[DATE]]-DATE(STAMP_Escapement_Data[[#This Row],[YEAR]],8,1)</f>
        <v>56</v>
      </c>
    </row>
    <row r="1140" spans="1:9" x14ac:dyDescent="0.25">
      <c r="A1140" s="1">
        <v>37891</v>
      </c>
      <c r="B1140">
        <v>927</v>
      </c>
      <c r="C1140">
        <v>2003</v>
      </c>
      <c r="D1140">
        <v>1756</v>
      </c>
      <c r="E1140">
        <v>174</v>
      </c>
      <c r="F1140">
        <v>761</v>
      </c>
      <c r="G1140">
        <v>141</v>
      </c>
      <c r="H1140">
        <f>SUMIFS($F$2:F1140,$C$2:C1140,C1140)</f>
        <v>10580</v>
      </c>
      <c r="I1140" s="8">
        <f>STAMP_Escapement_Data[[#This Row],[DATE]]-DATE(STAMP_Escapement_Data[[#This Row],[YEAR]],8,1)</f>
        <v>57</v>
      </c>
    </row>
    <row r="1141" spans="1:9" x14ac:dyDescent="0.25">
      <c r="A1141" s="1">
        <v>37892</v>
      </c>
      <c r="B1141">
        <v>928</v>
      </c>
      <c r="C1141">
        <v>2003</v>
      </c>
      <c r="D1141">
        <v>2128</v>
      </c>
      <c r="E1141">
        <v>224</v>
      </c>
      <c r="F1141">
        <v>1007</v>
      </c>
      <c r="G1141">
        <v>228</v>
      </c>
      <c r="H1141">
        <f>SUMIFS($F$2:F1141,$C$2:C1141,C1141)</f>
        <v>11587</v>
      </c>
      <c r="I1141" s="8">
        <f>STAMP_Escapement_Data[[#This Row],[DATE]]-DATE(STAMP_Escapement_Data[[#This Row],[YEAR]],8,1)</f>
        <v>58</v>
      </c>
    </row>
    <row r="1142" spans="1:9" x14ac:dyDescent="0.25">
      <c r="A1142" s="1">
        <v>37893</v>
      </c>
      <c r="B1142">
        <v>929</v>
      </c>
      <c r="C1142">
        <v>2003</v>
      </c>
      <c r="D1142">
        <v>2430</v>
      </c>
      <c r="E1142">
        <v>208</v>
      </c>
      <c r="F1142">
        <v>2690</v>
      </c>
      <c r="G1142">
        <v>282</v>
      </c>
      <c r="H1142">
        <f>SUMIFS($F$2:F1142,$C$2:C1142,C1142)</f>
        <v>14277</v>
      </c>
      <c r="I1142" s="8">
        <f>STAMP_Escapement_Data[[#This Row],[DATE]]-DATE(STAMP_Escapement_Data[[#This Row],[YEAR]],8,1)</f>
        <v>59</v>
      </c>
    </row>
    <row r="1143" spans="1:9" x14ac:dyDescent="0.25">
      <c r="A1143" s="1">
        <v>37894</v>
      </c>
      <c r="B1143">
        <v>930</v>
      </c>
      <c r="C1143">
        <v>2003</v>
      </c>
      <c r="D1143">
        <v>1494</v>
      </c>
      <c r="E1143">
        <v>187</v>
      </c>
      <c r="F1143">
        <v>2827</v>
      </c>
      <c r="G1143">
        <v>291</v>
      </c>
      <c r="H1143">
        <f>SUMIFS($F$2:F1143,$C$2:C1143,C1143)</f>
        <v>17104</v>
      </c>
      <c r="I1143" s="8">
        <f>STAMP_Escapement_Data[[#This Row],[DATE]]-DATE(STAMP_Escapement_Data[[#This Row],[YEAR]],8,1)</f>
        <v>60</v>
      </c>
    </row>
    <row r="1144" spans="1:9" x14ac:dyDescent="0.25">
      <c r="A1144" s="1">
        <v>37895</v>
      </c>
      <c r="B1144">
        <v>1001</v>
      </c>
      <c r="C1144">
        <v>2003</v>
      </c>
      <c r="D1144">
        <v>2149</v>
      </c>
      <c r="E1144">
        <v>217</v>
      </c>
      <c r="F1144">
        <v>1833</v>
      </c>
      <c r="G1144">
        <v>198</v>
      </c>
      <c r="H1144">
        <f>SUMIFS($F$2:F1144,$C$2:C1144,C1144)</f>
        <v>18937</v>
      </c>
      <c r="I1144" s="8">
        <f>STAMP_Escapement_Data[[#This Row],[DATE]]-DATE(STAMP_Escapement_Data[[#This Row],[YEAR]],8,1)</f>
        <v>61</v>
      </c>
    </row>
    <row r="1145" spans="1:9" x14ac:dyDescent="0.25">
      <c r="A1145" s="1">
        <v>37896</v>
      </c>
      <c r="B1145">
        <v>1002</v>
      </c>
      <c r="C1145">
        <v>2003</v>
      </c>
      <c r="D1145">
        <v>1988</v>
      </c>
      <c r="E1145">
        <v>151</v>
      </c>
      <c r="F1145">
        <v>1761</v>
      </c>
      <c r="G1145">
        <v>200</v>
      </c>
      <c r="H1145">
        <f>SUMIFS($F$2:F1145,$C$2:C1145,C1145)</f>
        <v>20698</v>
      </c>
      <c r="I1145" s="8">
        <f>STAMP_Escapement_Data[[#This Row],[DATE]]-DATE(STAMP_Escapement_Data[[#This Row],[YEAR]],8,1)</f>
        <v>62</v>
      </c>
    </row>
    <row r="1146" spans="1:9" x14ac:dyDescent="0.25">
      <c r="A1146" s="1">
        <v>37897</v>
      </c>
      <c r="B1146">
        <v>1003</v>
      </c>
      <c r="C1146">
        <v>2003</v>
      </c>
      <c r="D1146">
        <v>2474</v>
      </c>
      <c r="E1146">
        <v>223</v>
      </c>
      <c r="F1146">
        <v>2483</v>
      </c>
      <c r="G1146">
        <v>339</v>
      </c>
      <c r="H1146">
        <f>SUMIFS($F$2:F1146,$C$2:C1146,C1146)</f>
        <v>23181</v>
      </c>
      <c r="I1146" s="8">
        <f>STAMP_Escapement_Data[[#This Row],[DATE]]-DATE(STAMP_Escapement_Data[[#This Row],[YEAR]],8,1)</f>
        <v>63</v>
      </c>
    </row>
    <row r="1147" spans="1:9" x14ac:dyDescent="0.25">
      <c r="A1147" s="1">
        <v>37898</v>
      </c>
      <c r="B1147">
        <v>1004</v>
      </c>
      <c r="C1147">
        <v>2003</v>
      </c>
      <c r="D1147">
        <v>2747</v>
      </c>
      <c r="E1147">
        <v>163</v>
      </c>
      <c r="F1147">
        <v>2517</v>
      </c>
      <c r="G1147">
        <v>286</v>
      </c>
      <c r="H1147">
        <f>SUMIFS($F$2:F1147,$C$2:C1147,C1147)</f>
        <v>25698</v>
      </c>
      <c r="I1147" s="8">
        <f>STAMP_Escapement_Data[[#This Row],[DATE]]-DATE(STAMP_Escapement_Data[[#This Row],[YEAR]],8,1)</f>
        <v>64</v>
      </c>
    </row>
    <row r="1148" spans="1:9" x14ac:dyDescent="0.25">
      <c r="A1148" s="1">
        <v>37899</v>
      </c>
      <c r="B1148">
        <v>1005</v>
      </c>
      <c r="C1148">
        <v>2003</v>
      </c>
      <c r="D1148">
        <v>2302</v>
      </c>
      <c r="E1148">
        <v>119</v>
      </c>
      <c r="F1148">
        <v>2290</v>
      </c>
      <c r="G1148">
        <v>284</v>
      </c>
      <c r="H1148">
        <f>SUMIFS($F$2:F1148,$C$2:C1148,C1148)</f>
        <v>27988</v>
      </c>
      <c r="I1148" s="8">
        <f>STAMP_Escapement_Data[[#This Row],[DATE]]-DATE(STAMP_Escapement_Data[[#This Row],[YEAR]],8,1)</f>
        <v>65</v>
      </c>
    </row>
    <row r="1149" spans="1:9" x14ac:dyDescent="0.25">
      <c r="A1149" s="1">
        <v>37900</v>
      </c>
      <c r="B1149">
        <v>1006</v>
      </c>
      <c r="C1149">
        <v>2003</v>
      </c>
      <c r="D1149">
        <v>2610</v>
      </c>
      <c r="E1149">
        <v>69</v>
      </c>
      <c r="F1149">
        <v>707</v>
      </c>
      <c r="G1149">
        <v>91</v>
      </c>
      <c r="H1149">
        <f>SUMIFS($F$2:F1149,$C$2:C1149,C1149)</f>
        <v>28695</v>
      </c>
      <c r="I1149" s="8">
        <f>STAMP_Escapement_Data[[#This Row],[DATE]]-DATE(STAMP_Escapement_Data[[#This Row],[YEAR]],8,1)</f>
        <v>66</v>
      </c>
    </row>
    <row r="1150" spans="1:9" x14ac:dyDescent="0.25">
      <c r="A1150" s="1">
        <v>37901</v>
      </c>
      <c r="B1150">
        <v>1007</v>
      </c>
      <c r="C1150">
        <v>2003</v>
      </c>
      <c r="D1150">
        <v>1084</v>
      </c>
      <c r="E1150">
        <v>34</v>
      </c>
      <c r="F1150">
        <v>449</v>
      </c>
      <c r="G1150">
        <v>20</v>
      </c>
      <c r="H1150">
        <f>SUMIFS($F$2:F1150,$C$2:C1150,C1150)</f>
        <v>29144</v>
      </c>
      <c r="I1150" s="8">
        <f>STAMP_Escapement_Data[[#This Row],[DATE]]-DATE(STAMP_Escapement_Data[[#This Row],[YEAR]],8,1)</f>
        <v>67</v>
      </c>
    </row>
    <row r="1151" spans="1:9" x14ac:dyDescent="0.25">
      <c r="A1151" s="1">
        <v>37902</v>
      </c>
      <c r="B1151">
        <v>1008</v>
      </c>
      <c r="C1151">
        <v>2003</v>
      </c>
      <c r="D1151">
        <v>1382</v>
      </c>
      <c r="E1151">
        <v>68</v>
      </c>
      <c r="F1151">
        <v>2270</v>
      </c>
      <c r="G1151">
        <v>189</v>
      </c>
      <c r="H1151">
        <f>SUMIFS($F$2:F1151,$C$2:C1151,C1151)</f>
        <v>31414</v>
      </c>
      <c r="I1151" s="8">
        <f>STAMP_Escapement_Data[[#This Row],[DATE]]-DATE(STAMP_Escapement_Data[[#This Row],[YEAR]],8,1)</f>
        <v>68</v>
      </c>
    </row>
    <row r="1152" spans="1:9" x14ac:dyDescent="0.25">
      <c r="A1152" s="1">
        <v>37903</v>
      </c>
      <c r="B1152">
        <v>1009</v>
      </c>
      <c r="C1152">
        <v>2003</v>
      </c>
      <c r="D1152">
        <v>2862</v>
      </c>
      <c r="E1152">
        <v>133</v>
      </c>
      <c r="F1152">
        <v>1922</v>
      </c>
      <c r="G1152">
        <v>201</v>
      </c>
      <c r="H1152">
        <f>SUMIFS($F$2:F1152,$C$2:C1152,C1152)</f>
        <v>33336</v>
      </c>
      <c r="I1152" s="8">
        <f>STAMP_Escapement_Data[[#This Row],[DATE]]-DATE(STAMP_Escapement_Data[[#This Row],[YEAR]],8,1)</f>
        <v>69</v>
      </c>
    </row>
    <row r="1153" spans="1:9" x14ac:dyDescent="0.25">
      <c r="A1153" s="1">
        <v>37904</v>
      </c>
      <c r="B1153">
        <v>1010</v>
      </c>
      <c r="C1153">
        <v>2003</v>
      </c>
      <c r="D1153">
        <v>2110</v>
      </c>
      <c r="E1153">
        <v>125</v>
      </c>
      <c r="F1153">
        <v>1189</v>
      </c>
      <c r="G1153">
        <v>156</v>
      </c>
      <c r="H1153">
        <f>SUMIFS($F$2:F1153,$C$2:C1153,C1153)</f>
        <v>34525</v>
      </c>
      <c r="I1153" s="8">
        <f>STAMP_Escapement_Data[[#This Row],[DATE]]-DATE(STAMP_Escapement_Data[[#This Row],[YEAR]],8,1)</f>
        <v>70</v>
      </c>
    </row>
    <row r="1154" spans="1:9" x14ac:dyDescent="0.25">
      <c r="A1154" s="1">
        <v>37905</v>
      </c>
      <c r="B1154">
        <v>1011</v>
      </c>
      <c r="C1154">
        <v>2003</v>
      </c>
      <c r="D1154">
        <v>662</v>
      </c>
      <c r="E1154">
        <v>52</v>
      </c>
      <c r="F1154">
        <v>497</v>
      </c>
      <c r="G1154">
        <v>70</v>
      </c>
      <c r="H1154">
        <f>SUMIFS($F$2:F1154,$C$2:C1154,C1154)</f>
        <v>35022</v>
      </c>
      <c r="I1154" s="8">
        <f>STAMP_Escapement_Data[[#This Row],[DATE]]-DATE(STAMP_Escapement_Data[[#This Row],[YEAR]],8,1)</f>
        <v>71</v>
      </c>
    </row>
    <row r="1155" spans="1:9" x14ac:dyDescent="0.25">
      <c r="A1155" s="1">
        <v>37906</v>
      </c>
      <c r="B1155">
        <v>1012</v>
      </c>
      <c r="C1155">
        <v>2003</v>
      </c>
      <c r="D1155">
        <v>1019</v>
      </c>
      <c r="E1155">
        <v>12</v>
      </c>
      <c r="F1155">
        <v>589</v>
      </c>
      <c r="G1155">
        <v>112</v>
      </c>
      <c r="H1155">
        <f>SUMIFS($F$2:F1155,$C$2:C1155,C1155)</f>
        <v>35611</v>
      </c>
      <c r="I1155" s="8">
        <f>STAMP_Escapement_Data[[#This Row],[DATE]]-DATE(STAMP_Escapement_Data[[#This Row],[YEAR]],8,1)</f>
        <v>72</v>
      </c>
    </row>
    <row r="1156" spans="1:9" x14ac:dyDescent="0.25">
      <c r="A1156" s="1">
        <v>37907</v>
      </c>
      <c r="B1156">
        <v>1013</v>
      </c>
      <c r="C1156">
        <v>2003</v>
      </c>
      <c r="D1156">
        <v>887</v>
      </c>
      <c r="E1156">
        <v>29</v>
      </c>
      <c r="F1156">
        <v>131</v>
      </c>
      <c r="G1156">
        <v>22</v>
      </c>
      <c r="H1156">
        <f>SUMIFS($F$2:F1156,$C$2:C1156,C1156)</f>
        <v>35742</v>
      </c>
      <c r="I1156" s="8">
        <f>STAMP_Escapement_Data[[#This Row],[DATE]]-DATE(STAMP_Escapement_Data[[#This Row],[YEAR]],8,1)</f>
        <v>73</v>
      </c>
    </row>
    <row r="1157" spans="1:9" x14ac:dyDescent="0.25">
      <c r="A1157" s="1">
        <v>37908</v>
      </c>
      <c r="B1157">
        <v>1014</v>
      </c>
      <c r="C1157">
        <v>2003</v>
      </c>
      <c r="D1157">
        <v>374</v>
      </c>
      <c r="E1157">
        <v>7</v>
      </c>
      <c r="F1157">
        <v>92</v>
      </c>
      <c r="G1157">
        <v>12</v>
      </c>
      <c r="H1157">
        <f>SUMIFS($F$2:F1157,$C$2:C1157,C1157)</f>
        <v>35834</v>
      </c>
      <c r="I1157" s="8">
        <f>STAMP_Escapement_Data[[#This Row],[DATE]]-DATE(STAMP_Escapement_Data[[#This Row],[YEAR]],8,1)</f>
        <v>74</v>
      </c>
    </row>
    <row r="1158" spans="1:9" x14ac:dyDescent="0.25">
      <c r="A1158" s="1">
        <v>37909</v>
      </c>
      <c r="B1158">
        <v>1015</v>
      </c>
      <c r="C1158">
        <v>2003</v>
      </c>
      <c r="D1158">
        <v>402</v>
      </c>
      <c r="E1158">
        <v>26</v>
      </c>
      <c r="F1158">
        <v>143</v>
      </c>
      <c r="G1158">
        <v>38</v>
      </c>
      <c r="H1158">
        <f>SUMIFS($F$2:F1158,$C$2:C1158,C1158)</f>
        <v>35977</v>
      </c>
      <c r="I1158" s="8">
        <f>STAMP_Escapement_Data[[#This Row],[DATE]]-DATE(STAMP_Escapement_Data[[#This Row],[YEAR]],8,1)</f>
        <v>75</v>
      </c>
    </row>
    <row r="1159" spans="1:9" x14ac:dyDescent="0.25">
      <c r="A1159" s="1">
        <v>37910</v>
      </c>
      <c r="B1159">
        <v>1016</v>
      </c>
      <c r="C1159">
        <v>2003</v>
      </c>
      <c r="D1159">
        <v>104</v>
      </c>
      <c r="E1159">
        <v>14</v>
      </c>
      <c r="F1159">
        <v>152</v>
      </c>
      <c r="G1159">
        <v>18</v>
      </c>
      <c r="H1159">
        <f>SUMIFS($F$2:F1159,$C$2:C1159,C1159)</f>
        <v>36129</v>
      </c>
      <c r="I1159" s="8">
        <f>STAMP_Escapement_Data[[#This Row],[DATE]]-DATE(STAMP_Escapement_Data[[#This Row],[YEAR]],8,1)</f>
        <v>76</v>
      </c>
    </row>
    <row r="1160" spans="1:9" x14ac:dyDescent="0.25">
      <c r="A1160" s="1">
        <v>37911</v>
      </c>
      <c r="B1160">
        <v>1017</v>
      </c>
      <c r="C1160">
        <v>2003</v>
      </c>
      <c r="D1160">
        <v>52</v>
      </c>
      <c r="E1160">
        <v>7</v>
      </c>
      <c r="F1160">
        <v>76</v>
      </c>
      <c r="G1160">
        <v>9</v>
      </c>
      <c r="H1160">
        <f>SUMIFS($F$2:F1160,$C$2:C1160,C1160)</f>
        <v>36205</v>
      </c>
      <c r="I1160" s="8">
        <f>STAMP_Escapement_Data[[#This Row],[DATE]]-DATE(STAMP_Escapement_Data[[#This Row],[YEAR]],8,1)</f>
        <v>77</v>
      </c>
    </row>
    <row r="1161" spans="1:9" x14ac:dyDescent="0.25">
      <c r="A1161" s="1">
        <v>37919</v>
      </c>
      <c r="B1161">
        <v>1025</v>
      </c>
      <c r="C1161">
        <v>2003</v>
      </c>
      <c r="D1161">
        <v>114</v>
      </c>
      <c r="E1161">
        <v>4</v>
      </c>
      <c r="F1161">
        <v>118</v>
      </c>
      <c r="G1161">
        <v>8</v>
      </c>
      <c r="H1161">
        <f>SUMIFS($F$2:F1161,$C$2:C1161,C1161)</f>
        <v>36323</v>
      </c>
      <c r="I1161" s="8">
        <f>STAMP_Escapement_Data[[#This Row],[DATE]]-DATE(STAMP_Escapement_Data[[#This Row],[YEAR]],8,1)</f>
        <v>85</v>
      </c>
    </row>
    <row r="1162" spans="1:9" x14ac:dyDescent="0.25">
      <c r="A1162" s="1">
        <v>37920</v>
      </c>
      <c r="B1162">
        <v>1026</v>
      </c>
      <c r="C1162">
        <v>2003</v>
      </c>
      <c r="D1162">
        <v>228</v>
      </c>
      <c r="E1162">
        <v>8</v>
      </c>
      <c r="F1162">
        <v>236</v>
      </c>
      <c r="G1162">
        <v>15</v>
      </c>
      <c r="H1162">
        <f>SUMIFS($F$2:F1162,$C$2:C1162,C1162)</f>
        <v>36559</v>
      </c>
      <c r="I1162" s="8">
        <f>STAMP_Escapement_Data[[#This Row],[DATE]]-DATE(STAMP_Escapement_Data[[#This Row],[YEAR]],8,1)</f>
        <v>86</v>
      </c>
    </row>
    <row r="1163" spans="1:9" x14ac:dyDescent="0.25">
      <c r="A1163" s="1">
        <v>37921</v>
      </c>
      <c r="B1163">
        <v>1027</v>
      </c>
      <c r="C1163">
        <v>2003</v>
      </c>
      <c r="D1163">
        <v>342</v>
      </c>
      <c r="E1163">
        <v>13</v>
      </c>
      <c r="F1163">
        <v>355</v>
      </c>
      <c r="G1163">
        <v>22</v>
      </c>
      <c r="H1163">
        <f>SUMIFS($F$2:F1163,$C$2:C1163,C1163)</f>
        <v>36914</v>
      </c>
      <c r="I1163" s="8">
        <f>STAMP_Escapement_Data[[#This Row],[DATE]]-DATE(STAMP_Escapement_Data[[#This Row],[YEAR]],8,1)</f>
        <v>87</v>
      </c>
    </row>
    <row r="1164" spans="1:9" x14ac:dyDescent="0.25">
      <c r="A1164" s="1">
        <v>37922</v>
      </c>
      <c r="B1164">
        <v>1028</v>
      </c>
      <c r="C1164">
        <v>2003</v>
      </c>
      <c r="D1164">
        <v>456</v>
      </c>
      <c r="E1164">
        <v>17</v>
      </c>
      <c r="F1164">
        <v>473</v>
      </c>
      <c r="G1164">
        <v>30</v>
      </c>
      <c r="H1164">
        <f>SUMIFS($F$2:F1164,$C$2:C1164,C1164)</f>
        <v>37387</v>
      </c>
      <c r="I1164" s="8">
        <f>STAMP_Escapement_Data[[#This Row],[DATE]]-DATE(STAMP_Escapement_Data[[#This Row],[YEAR]],8,1)</f>
        <v>88</v>
      </c>
    </row>
    <row r="1165" spans="1:9" x14ac:dyDescent="0.25">
      <c r="A1165" s="1">
        <v>37923</v>
      </c>
      <c r="B1165">
        <v>1029</v>
      </c>
      <c r="C1165">
        <v>2003</v>
      </c>
      <c r="D1165">
        <v>462</v>
      </c>
      <c r="E1165">
        <v>29</v>
      </c>
      <c r="F1165">
        <v>614</v>
      </c>
      <c r="G1165">
        <v>34</v>
      </c>
      <c r="H1165">
        <f>SUMIFS($F$2:F1165,$C$2:C1165,C1165)</f>
        <v>38001</v>
      </c>
      <c r="I1165" s="8">
        <f>STAMP_Escapement_Data[[#This Row],[DATE]]-DATE(STAMP_Escapement_Data[[#This Row],[YEAR]],8,1)</f>
        <v>89</v>
      </c>
    </row>
    <row r="1166" spans="1:9" x14ac:dyDescent="0.25">
      <c r="A1166" s="1">
        <v>37924</v>
      </c>
      <c r="B1166">
        <v>1030</v>
      </c>
      <c r="C1166">
        <v>2003</v>
      </c>
      <c r="D1166">
        <v>318</v>
      </c>
      <c r="E1166">
        <v>27</v>
      </c>
      <c r="F1166">
        <v>452</v>
      </c>
      <c r="G1166">
        <v>44</v>
      </c>
      <c r="H1166">
        <f>SUMIFS($F$2:F1166,$C$2:C1166,C1166)</f>
        <v>38453</v>
      </c>
      <c r="I1166" s="8">
        <f>STAMP_Escapement_Data[[#This Row],[DATE]]-DATE(STAMP_Escapement_Data[[#This Row],[YEAR]],8,1)</f>
        <v>90</v>
      </c>
    </row>
    <row r="1167" spans="1:9" x14ac:dyDescent="0.25">
      <c r="A1167" s="1">
        <v>37925</v>
      </c>
      <c r="B1167">
        <v>1031</v>
      </c>
      <c r="C1167">
        <v>2003</v>
      </c>
      <c r="D1167">
        <v>235</v>
      </c>
      <c r="E1167">
        <v>29</v>
      </c>
      <c r="F1167">
        <v>597</v>
      </c>
      <c r="G1167">
        <v>58</v>
      </c>
      <c r="H1167">
        <f>SUMIFS($F$2:F1167,$C$2:C1167,C1167)</f>
        <v>39050</v>
      </c>
      <c r="I1167" s="8">
        <f>STAMP_Escapement_Data[[#This Row],[DATE]]-DATE(STAMP_Escapement_Data[[#This Row],[YEAR]],8,1)</f>
        <v>91</v>
      </c>
    </row>
    <row r="1168" spans="1:9" x14ac:dyDescent="0.25">
      <c r="A1168" s="1">
        <v>37926</v>
      </c>
      <c r="B1168">
        <v>1101</v>
      </c>
      <c r="C1168">
        <v>2003</v>
      </c>
      <c r="D1168">
        <v>54</v>
      </c>
      <c r="E1168">
        <v>4</v>
      </c>
      <c r="F1168">
        <v>501</v>
      </c>
      <c r="G1168">
        <v>52</v>
      </c>
      <c r="H1168">
        <f>SUMIFS($F$2:F1168,$C$2:C1168,C1168)</f>
        <v>39551</v>
      </c>
      <c r="I1168" s="8">
        <f>STAMP_Escapement_Data[[#This Row],[DATE]]-DATE(STAMP_Escapement_Data[[#This Row],[YEAR]],8,1)</f>
        <v>92</v>
      </c>
    </row>
    <row r="1169" spans="1:9" x14ac:dyDescent="0.25">
      <c r="A1169" s="1">
        <v>37927</v>
      </c>
      <c r="B1169">
        <v>1102</v>
      </c>
      <c r="C1169">
        <v>2003</v>
      </c>
      <c r="D1169">
        <v>42</v>
      </c>
      <c r="E1169">
        <v>7</v>
      </c>
      <c r="F1169">
        <v>275</v>
      </c>
      <c r="G1169">
        <v>2</v>
      </c>
      <c r="H1169">
        <f>SUMIFS($F$2:F1169,$C$2:C1169,C1169)</f>
        <v>39826</v>
      </c>
      <c r="I1169" s="8">
        <f>STAMP_Escapement_Data[[#This Row],[DATE]]-DATE(STAMP_Escapement_Data[[#This Row],[YEAR]],8,1)</f>
        <v>93</v>
      </c>
    </row>
    <row r="1170" spans="1:9" x14ac:dyDescent="0.25">
      <c r="A1170" s="1">
        <v>37928</v>
      </c>
      <c r="B1170">
        <v>1103</v>
      </c>
      <c r="C1170">
        <v>2003</v>
      </c>
      <c r="D1170">
        <v>33</v>
      </c>
      <c r="E1170">
        <v>14</v>
      </c>
      <c r="F1170">
        <v>216</v>
      </c>
      <c r="G1170">
        <v>35</v>
      </c>
      <c r="H1170">
        <f>SUMIFS($F$2:F1170,$C$2:C1170,C1170)</f>
        <v>40042</v>
      </c>
      <c r="I1170" s="8">
        <f>STAMP_Escapement_Data[[#This Row],[DATE]]-DATE(STAMP_Escapement_Data[[#This Row],[YEAR]],8,1)</f>
        <v>94</v>
      </c>
    </row>
    <row r="1171" spans="1:9" x14ac:dyDescent="0.25">
      <c r="A1171" s="1">
        <v>37929</v>
      </c>
      <c r="B1171">
        <v>1104</v>
      </c>
      <c r="C1171">
        <v>2003</v>
      </c>
      <c r="D1171">
        <v>9</v>
      </c>
      <c r="E1171">
        <v>6</v>
      </c>
      <c r="F1171">
        <v>89</v>
      </c>
      <c r="G1171">
        <v>24</v>
      </c>
      <c r="H1171">
        <f>SUMIFS($F$2:F1171,$C$2:C1171,C1171)</f>
        <v>40131</v>
      </c>
      <c r="I1171" s="8">
        <f>STAMP_Escapement_Data[[#This Row],[DATE]]-DATE(STAMP_Escapement_Data[[#This Row],[YEAR]],8,1)</f>
        <v>95</v>
      </c>
    </row>
    <row r="1172" spans="1:9" x14ac:dyDescent="0.25">
      <c r="A1172" s="1">
        <v>37930</v>
      </c>
      <c r="B1172">
        <v>1105</v>
      </c>
      <c r="C1172">
        <v>2003</v>
      </c>
      <c r="D1172">
        <v>12</v>
      </c>
      <c r="E1172">
        <v>16</v>
      </c>
      <c r="F1172">
        <v>71</v>
      </c>
      <c r="G1172">
        <v>1</v>
      </c>
      <c r="H1172">
        <f>SUMIFS($F$2:F1172,$C$2:C1172,C1172)</f>
        <v>40202</v>
      </c>
      <c r="I1172" s="8">
        <f>STAMP_Escapement_Data[[#This Row],[DATE]]-DATE(STAMP_Escapement_Data[[#This Row],[YEAR]],8,1)</f>
        <v>96</v>
      </c>
    </row>
    <row r="1173" spans="1:9" x14ac:dyDescent="0.25">
      <c r="A1173" s="1">
        <v>37931</v>
      </c>
      <c r="B1173">
        <v>1106</v>
      </c>
      <c r="C1173">
        <v>2003</v>
      </c>
      <c r="D1173">
        <v>4</v>
      </c>
      <c r="E1173">
        <v>5</v>
      </c>
      <c r="F1173">
        <v>26</v>
      </c>
      <c r="G1173">
        <v>0</v>
      </c>
      <c r="H1173">
        <f>SUMIFS($F$2:F1173,$C$2:C1173,C1173)</f>
        <v>40228</v>
      </c>
      <c r="I1173" s="8">
        <f>STAMP_Escapement_Data[[#This Row],[DATE]]-DATE(STAMP_Escapement_Data[[#This Row],[YEAR]],8,1)</f>
        <v>97</v>
      </c>
    </row>
    <row r="1174" spans="1:9" x14ac:dyDescent="0.25">
      <c r="A1174" s="1">
        <v>38239</v>
      </c>
      <c r="B1174">
        <v>909</v>
      </c>
      <c r="C1174">
        <v>2004</v>
      </c>
      <c r="D1174">
        <v>3512</v>
      </c>
      <c r="E1174">
        <v>6</v>
      </c>
      <c r="F1174">
        <v>2947</v>
      </c>
      <c r="G1174">
        <v>112</v>
      </c>
      <c r="H1174">
        <f>SUMIFS($F$2:F1174,$C$2:C1174,C1174)</f>
        <v>2947</v>
      </c>
      <c r="I1174" s="8">
        <f>STAMP_Escapement_Data[[#This Row],[DATE]]-DATE(STAMP_Escapement_Data[[#This Row],[YEAR]],8,1)</f>
        <v>39</v>
      </c>
    </row>
    <row r="1175" spans="1:9" x14ac:dyDescent="0.25">
      <c r="A1175" s="1">
        <v>38239</v>
      </c>
      <c r="B1175">
        <v>909</v>
      </c>
      <c r="C1175">
        <v>2004</v>
      </c>
      <c r="D1175">
        <v>573</v>
      </c>
      <c r="E1175">
        <v>72</v>
      </c>
      <c r="F1175">
        <v>241</v>
      </c>
      <c r="G1175">
        <v>40</v>
      </c>
      <c r="H1175">
        <f>SUMIFS($F$2:F1175,$C$2:C1175,C1175)</f>
        <v>3188</v>
      </c>
      <c r="I1175" s="8">
        <f>STAMP_Escapement_Data[[#This Row],[DATE]]-DATE(STAMP_Escapement_Data[[#This Row],[YEAR]],8,1)</f>
        <v>39</v>
      </c>
    </row>
    <row r="1176" spans="1:9" x14ac:dyDescent="0.25">
      <c r="A1176" s="1">
        <v>38240</v>
      </c>
      <c r="B1176">
        <v>910</v>
      </c>
      <c r="C1176">
        <v>2004</v>
      </c>
      <c r="D1176">
        <v>574</v>
      </c>
      <c r="E1176">
        <v>80</v>
      </c>
      <c r="F1176">
        <v>378</v>
      </c>
      <c r="G1176">
        <v>25</v>
      </c>
      <c r="H1176">
        <f>SUMIFS($F$2:F1176,$C$2:C1176,C1176)</f>
        <v>3566</v>
      </c>
      <c r="I1176" s="8">
        <f>STAMP_Escapement_Data[[#This Row],[DATE]]-DATE(STAMP_Escapement_Data[[#This Row],[YEAR]],8,1)</f>
        <v>40</v>
      </c>
    </row>
    <row r="1177" spans="1:9" x14ac:dyDescent="0.25">
      <c r="A1177" s="1">
        <v>38241</v>
      </c>
      <c r="B1177">
        <v>911</v>
      </c>
      <c r="C1177">
        <v>2004</v>
      </c>
      <c r="D1177">
        <v>4713</v>
      </c>
      <c r="E1177">
        <v>313</v>
      </c>
      <c r="F1177">
        <v>5361</v>
      </c>
      <c r="G1177">
        <v>160</v>
      </c>
      <c r="H1177">
        <f>SUMIFS($F$2:F1177,$C$2:C1177,C1177)</f>
        <v>8927</v>
      </c>
      <c r="I1177" s="8">
        <f>STAMP_Escapement_Data[[#This Row],[DATE]]-DATE(STAMP_Escapement_Data[[#This Row],[YEAR]],8,1)</f>
        <v>41</v>
      </c>
    </row>
    <row r="1178" spans="1:9" x14ac:dyDescent="0.25">
      <c r="A1178" s="1">
        <v>38242</v>
      </c>
      <c r="B1178">
        <v>912</v>
      </c>
      <c r="C1178">
        <v>2004</v>
      </c>
      <c r="D1178">
        <v>3748</v>
      </c>
      <c r="E1178">
        <v>300</v>
      </c>
      <c r="F1178">
        <v>3466</v>
      </c>
      <c r="G1178">
        <v>206</v>
      </c>
      <c r="H1178">
        <f>SUMIFS($F$2:F1178,$C$2:C1178,C1178)</f>
        <v>12393</v>
      </c>
      <c r="I1178" s="8">
        <f>STAMP_Escapement_Data[[#This Row],[DATE]]-DATE(STAMP_Escapement_Data[[#This Row],[YEAR]],8,1)</f>
        <v>42</v>
      </c>
    </row>
    <row r="1179" spans="1:9" x14ac:dyDescent="0.25">
      <c r="A1179" s="1">
        <v>38243</v>
      </c>
      <c r="B1179">
        <v>913</v>
      </c>
      <c r="C1179">
        <v>2004</v>
      </c>
      <c r="D1179">
        <v>753</v>
      </c>
      <c r="E1179">
        <v>46</v>
      </c>
      <c r="F1179">
        <v>360</v>
      </c>
      <c r="G1179">
        <v>17</v>
      </c>
      <c r="H1179">
        <f>SUMIFS($F$2:F1179,$C$2:C1179,C1179)</f>
        <v>12753</v>
      </c>
      <c r="I1179" s="8">
        <f>STAMP_Escapement_Data[[#This Row],[DATE]]-DATE(STAMP_Escapement_Data[[#This Row],[YEAR]],8,1)</f>
        <v>43</v>
      </c>
    </row>
    <row r="1180" spans="1:9" x14ac:dyDescent="0.25">
      <c r="A1180" s="1">
        <v>38244</v>
      </c>
      <c r="B1180">
        <v>914</v>
      </c>
      <c r="C1180">
        <v>2004</v>
      </c>
      <c r="D1180">
        <v>244</v>
      </c>
      <c r="E1180">
        <v>51</v>
      </c>
      <c r="F1180">
        <v>161</v>
      </c>
      <c r="G1180">
        <v>12</v>
      </c>
      <c r="H1180">
        <f>SUMIFS($F$2:F1180,$C$2:C1180,C1180)</f>
        <v>12914</v>
      </c>
      <c r="I1180" s="8">
        <f>STAMP_Escapement_Data[[#This Row],[DATE]]-DATE(STAMP_Escapement_Data[[#This Row],[YEAR]],8,1)</f>
        <v>44</v>
      </c>
    </row>
    <row r="1181" spans="1:9" x14ac:dyDescent="0.25">
      <c r="A1181" s="1">
        <v>38245</v>
      </c>
      <c r="B1181">
        <v>915</v>
      </c>
      <c r="C1181">
        <v>2004</v>
      </c>
      <c r="D1181">
        <v>468</v>
      </c>
      <c r="E1181">
        <v>47</v>
      </c>
      <c r="F1181">
        <v>243</v>
      </c>
      <c r="G1181">
        <v>11</v>
      </c>
      <c r="H1181">
        <f>SUMIFS($F$2:F1181,$C$2:C1181,C1181)</f>
        <v>13157</v>
      </c>
      <c r="I1181" s="8">
        <f>STAMP_Escapement_Data[[#This Row],[DATE]]-DATE(STAMP_Escapement_Data[[#This Row],[YEAR]],8,1)</f>
        <v>45</v>
      </c>
    </row>
    <row r="1182" spans="1:9" x14ac:dyDescent="0.25">
      <c r="A1182" s="1">
        <v>38246</v>
      </c>
      <c r="B1182">
        <v>916</v>
      </c>
      <c r="C1182">
        <v>2004</v>
      </c>
      <c r="D1182">
        <v>149</v>
      </c>
      <c r="E1182">
        <v>26</v>
      </c>
      <c r="F1182">
        <v>93</v>
      </c>
      <c r="G1182">
        <v>4</v>
      </c>
      <c r="H1182">
        <f>SUMIFS($F$2:F1182,$C$2:C1182,C1182)</f>
        <v>13250</v>
      </c>
      <c r="I1182" s="8">
        <f>STAMP_Escapement_Data[[#This Row],[DATE]]-DATE(STAMP_Escapement_Data[[#This Row],[YEAR]],8,1)</f>
        <v>46</v>
      </c>
    </row>
    <row r="1183" spans="1:9" x14ac:dyDescent="0.25">
      <c r="A1183" s="1">
        <v>38247</v>
      </c>
      <c r="B1183">
        <v>917</v>
      </c>
      <c r="C1183">
        <v>2004</v>
      </c>
      <c r="D1183">
        <v>230</v>
      </c>
      <c r="E1183">
        <v>50</v>
      </c>
      <c r="F1183">
        <v>109</v>
      </c>
      <c r="G1183">
        <v>0</v>
      </c>
      <c r="H1183">
        <f>SUMIFS($F$2:F1183,$C$2:C1183,C1183)</f>
        <v>13359</v>
      </c>
      <c r="I1183" s="8">
        <f>STAMP_Escapement_Data[[#This Row],[DATE]]-DATE(STAMP_Escapement_Data[[#This Row],[YEAR]],8,1)</f>
        <v>47</v>
      </c>
    </row>
    <row r="1184" spans="1:9" x14ac:dyDescent="0.25">
      <c r="A1184" s="1">
        <v>38248</v>
      </c>
      <c r="B1184">
        <v>918</v>
      </c>
      <c r="C1184">
        <v>2004</v>
      </c>
      <c r="D1184">
        <v>212</v>
      </c>
      <c r="E1184">
        <v>70</v>
      </c>
      <c r="F1184">
        <v>192</v>
      </c>
      <c r="G1184">
        <v>7</v>
      </c>
      <c r="H1184">
        <f>SUMIFS($F$2:F1184,$C$2:C1184,C1184)</f>
        <v>13551</v>
      </c>
      <c r="I1184" s="8">
        <f>STAMP_Escapement_Data[[#This Row],[DATE]]-DATE(STAMP_Escapement_Data[[#This Row],[YEAR]],8,1)</f>
        <v>48</v>
      </c>
    </row>
    <row r="1185" spans="1:9" x14ac:dyDescent="0.25">
      <c r="A1185" s="1">
        <v>38249</v>
      </c>
      <c r="B1185">
        <v>919</v>
      </c>
      <c r="C1185">
        <v>2004</v>
      </c>
      <c r="D1185">
        <v>230</v>
      </c>
      <c r="E1185">
        <v>39</v>
      </c>
      <c r="F1185">
        <v>123</v>
      </c>
      <c r="G1185">
        <v>5</v>
      </c>
      <c r="H1185">
        <f>SUMIFS($F$2:F1185,$C$2:C1185,C1185)</f>
        <v>13674</v>
      </c>
      <c r="I1185" s="8">
        <f>STAMP_Escapement_Data[[#This Row],[DATE]]-DATE(STAMP_Escapement_Data[[#This Row],[YEAR]],8,1)</f>
        <v>49</v>
      </c>
    </row>
    <row r="1186" spans="1:9" x14ac:dyDescent="0.25">
      <c r="A1186" s="1">
        <v>38250</v>
      </c>
      <c r="B1186">
        <v>920</v>
      </c>
      <c r="C1186">
        <v>2004</v>
      </c>
      <c r="D1186">
        <v>381</v>
      </c>
      <c r="E1186">
        <v>86</v>
      </c>
      <c r="F1186">
        <v>153</v>
      </c>
      <c r="G1186">
        <v>11</v>
      </c>
      <c r="H1186">
        <f>SUMIFS($F$2:F1186,$C$2:C1186,C1186)</f>
        <v>13827</v>
      </c>
      <c r="I1186" s="8">
        <f>STAMP_Escapement_Data[[#This Row],[DATE]]-DATE(STAMP_Escapement_Data[[#This Row],[YEAR]],8,1)</f>
        <v>50</v>
      </c>
    </row>
    <row r="1187" spans="1:9" x14ac:dyDescent="0.25">
      <c r="A1187" s="1">
        <v>38251</v>
      </c>
      <c r="B1187">
        <v>921</v>
      </c>
      <c r="C1187">
        <v>2004</v>
      </c>
      <c r="D1187">
        <v>551</v>
      </c>
      <c r="E1187">
        <v>126</v>
      </c>
      <c r="F1187">
        <v>221</v>
      </c>
      <c r="G1187">
        <v>17</v>
      </c>
      <c r="H1187">
        <f>SUMIFS($F$2:F1187,$C$2:C1187,C1187)</f>
        <v>14048</v>
      </c>
      <c r="I1187" s="8">
        <f>STAMP_Escapement_Data[[#This Row],[DATE]]-DATE(STAMP_Escapement_Data[[#This Row],[YEAR]],8,1)</f>
        <v>51</v>
      </c>
    </row>
    <row r="1188" spans="1:9" x14ac:dyDescent="0.25">
      <c r="A1188" s="1">
        <v>38252</v>
      </c>
      <c r="B1188">
        <v>922</v>
      </c>
      <c r="C1188">
        <v>2004</v>
      </c>
      <c r="D1188">
        <v>478</v>
      </c>
      <c r="E1188">
        <v>127</v>
      </c>
      <c r="F1188">
        <v>173</v>
      </c>
      <c r="G1188">
        <v>9</v>
      </c>
      <c r="H1188">
        <f>SUMIFS($F$2:F1188,$C$2:C1188,C1188)</f>
        <v>14221</v>
      </c>
      <c r="I1188" s="8">
        <f>STAMP_Escapement_Data[[#This Row],[DATE]]-DATE(STAMP_Escapement_Data[[#This Row],[YEAR]],8,1)</f>
        <v>52</v>
      </c>
    </row>
    <row r="1189" spans="1:9" x14ac:dyDescent="0.25">
      <c r="A1189" s="1">
        <v>38253</v>
      </c>
      <c r="B1189">
        <v>923</v>
      </c>
      <c r="C1189">
        <v>2004</v>
      </c>
      <c r="D1189">
        <v>459</v>
      </c>
      <c r="E1189">
        <v>139</v>
      </c>
      <c r="F1189">
        <v>186</v>
      </c>
      <c r="G1189">
        <v>14</v>
      </c>
      <c r="H1189">
        <f>SUMIFS($F$2:F1189,$C$2:C1189,C1189)</f>
        <v>14407</v>
      </c>
      <c r="I1189" s="8">
        <f>STAMP_Escapement_Data[[#This Row],[DATE]]-DATE(STAMP_Escapement_Data[[#This Row],[YEAR]],8,1)</f>
        <v>53</v>
      </c>
    </row>
    <row r="1190" spans="1:9" x14ac:dyDescent="0.25">
      <c r="A1190" s="1">
        <v>38254</v>
      </c>
      <c r="B1190">
        <v>924</v>
      </c>
      <c r="C1190">
        <v>2004</v>
      </c>
      <c r="D1190">
        <v>390</v>
      </c>
      <c r="E1190">
        <v>127</v>
      </c>
      <c r="F1190">
        <v>143</v>
      </c>
      <c r="G1190">
        <v>1</v>
      </c>
      <c r="H1190">
        <f>SUMIFS($F$2:F1190,$C$2:C1190,C1190)</f>
        <v>14550</v>
      </c>
      <c r="I1190" s="8">
        <f>STAMP_Escapement_Data[[#This Row],[DATE]]-DATE(STAMP_Escapement_Data[[#This Row],[YEAR]],8,1)</f>
        <v>54</v>
      </c>
    </row>
    <row r="1191" spans="1:9" x14ac:dyDescent="0.25">
      <c r="A1191" s="1">
        <v>38255</v>
      </c>
      <c r="B1191">
        <v>925</v>
      </c>
      <c r="C1191">
        <v>2004</v>
      </c>
      <c r="D1191">
        <v>616</v>
      </c>
      <c r="E1191">
        <v>251</v>
      </c>
      <c r="F1191">
        <v>220</v>
      </c>
      <c r="G1191">
        <v>17</v>
      </c>
      <c r="H1191">
        <f>SUMIFS($F$2:F1191,$C$2:C1191,C1191)</f>
        <v>14770</v>
      </c>
      <c r="I1191" s="8">
        <f>STAMP_Escapement_Data[[#This Row],[DATE]]-DATE(STAMP_Escapement_Data[[#This Row],[YEAR]],8,1)</f>
        <v>55</v>
      </c>
    </row>
    <row r="1192" spans="1:9" x14ac:dyDescent="0.25">
      <c r="A1192" s="1">
        <v>38256</v>
      </c>
      <c r="B1192">
        <v>926</v>
      </c>
      <c r="C1192">
        <v>2004</v>
      </c>
      <c r="D1192">
        <v>629</v>
      </c>
      <c r="E1192">
        <v>289</v>
      </c>
      <c r="F1192">
        <v>178</v>
      </c>
      <c r="G1192">
        <v>14</v>
      </c>
      <c r="H1192">
        <f>SUMIFS($F$2:F1192,$C$2:C1192,C1192)</f>
        <v>14948</v>
      </c>
      <c r="I1192" s="8">
        <f>STAMP_Escapement_Data[[#This Row],[DATE]]-DATE(STAMP_Escapement_Data[[#This Row],[YEAR]],8,1)</f>
        <v>56</v>
      </c>
    </row>
    <row r="1193" spans="1:9" x14ac:dyDescent="0.25">
      <c r="A1193" s="1">
        <v>38257</v>
      </c>
      <c r="B1193">
        <v>927</v>
      </c>
      <c r="C1193">
        <v>2004</v>
      </c>
      <c r="D1193">
        <v>879</v>
      </c>
      <c r="E1193">
        <v>291</v>
      </c>
      <c r="F1193">
        <v>292</v>
      </c>
      <c r="G1193">
        <v>26</v>
      </c>
      <c r="H1193">
        <f>SUMIFS($F$2:F1193,$C$2:C1193,C1193)</f>
        <v>15240</v>
      </c>
      <c r="I1193" s="8">
        <f>STAMP_Escapement_Data[[#This Row],[DATE]]-DATE(STAMP_Escapement_Data[[#This Row],[YEAR]],8,1)</f>
        <v>57</v>
      </c>
    </row>
    <row r="1194" spans="1:9" x14ac:dyDescent="0.25">
      <c r="A1194" s="1">
        <v>38258</v>
      </c>
      <c r="B1194">
        <v>928</v>
      </c>
      <c r="C1194">
        <v>2004</v>
      </c>
      <c r="D1194">
        <v>1000</v>
      </c>
      <c r="E1194">
        <v>363</v>
      </c>
      <c r="F1194">
        <v>371</v>
      </c>
      <c r="G1194">
        <v>23</v>
      </c>
      <c r="H1194">
        <f>SUMIFS($F$2:F1194,$C$2:C1194,C1194)</f>
        <v>15611</v>
      </c>
      <c r="I1194" s="8">
        <f>STAMP_Escapement_Data[[#This Row],[DATE]]-DATE(STAMP_Escapement_Data[[#This Row],[YEAR]],8,1)</f>
        <v>58</v>
      </c>
    </row>
    <row r="1195" spans="1:9" x14ac:dyDescent="0.25">
      <c r="A1195" s="1">
        <v>38259</v>
      </c>
      <c r="B1195">
        <v>929</v>
      </c>
      <c r="C1195">
        <v>2004</v>
      </c>
      <c r="D1195">
        <v>1113</v>
      </c>
      <c r="E1195">
        <v>420</v>
      </c>
      <c r="F1195">
        <v>656</v>
      </c>
      <c r="G1195">
        <v>44</v>
      </c>
      <c r="H1195">
        <f>SUMIFS($F$2:F1195,$C$2:C1195,C1195)</f>
        <v>16267</v>
      </c>
      <c r="I1195" s="8">
        <f>STAMP_Escapement_Data[[#This Row],[DATE]]-DATE(STAMP_Escapement_Data[[#This Row],[YEAR]],8,1)</f>
        <v>59</v>
      </c>
    </row>
    <row r="1196" spans="1:9" x14ac:dyDescent="0.25">
      <c r="A1196" s="1">
        <v>38260</v>
      </c>
      <c r="B1196">
        <v>930</v>
      </c>
      <c r="C1196">
        <v>2004</v>
      </c>
      <c r="D1196">
        <v>949</v>
      </c>
      <c r="E1196">
        <v>359</v>
      </c>
      <c r="F1196">
        <v>1083</v>
      </c>
      <c r="G1196">
        <v>79</v>
      </c>
      <c r="H1196">
        <f>SUMIFS($F$2:F1196,$C$2:C1196,C1196)</f>
        <v>17350</v>
      </c>
      <c r="I1196" s="8">
        <f>STAMP_Escapement_Data[[#This Row],[DATE]]-DATE(STAMP_Escapement_Data[[#This Row],[YEAR]],8,1)</f>
        <v>60</v>
      </c>
    </row>
    <row r="1197" spans="1:9" x14ac:dyDescent="0.25">
      <c r="A1197" s="1">
        <v>38261</v>
      </c>
      <c r="B1197">
        <v>1001</v>
      </c>
      <c r="C1197">
        <v>2004</v>
      </c>
      <c r="D1197">
        <v>808</v>
      </c>
      <c r="E1197">
        <v>238</v>
      </c>
      <c r="F1197">
        <v>916</v>
      </c>
      <c r="G1197">
        <v>42</v>
      </c>
      <c r="H1197">
        <f>SUMIFS($F$2:F1197,$C$2:C1197,C1197)</f>
        <v>18266</v>
      </c>
      <c r="I1197" s="8">
        <f>STAMP_Escapement_Data[[#This Row],[DATE]]-DATE(STAMP_Escapement_Data[[#This Row],[YEAR]],8,1)</f>
        <v>61</v>
      </c>
    </row>
    <row r="1198" spans="1:9" x14ac:dyDescent="0.25">
      <c r="A1198" s="1">
        <v>38262</v>
      </c>
      <c r="B1198">
        <v>1002</v>
      </c>
      <c r="C1198">
        <v>2004</v>
      </c>
      <c r="D1198">
        <v>600</v>
      </c>
      <c r="E1198">
        <v>219</v>
      </c>
      <c r="F1198">
        <v>483</v>
      </c>
      <c r="G1198">
        <v>11</v>
      </c>
      <c r="H1198">
        <f>SUMIFS($F$2:F1198,$C$2:C1198,C1198)</f>
        <v>18749</v>
      </c>
      <c r="I1198" s="8">
        <f>STAMP_Escapement_Data[[#This Row],[DATE]]-DATE(STAMP_Escapement_Data[[#This Row],[YEAR]],8,1)</f>
        <v>62</v>
      </c>
    </row>
    <row r="1199" spans="1:9" x14ac:dyDescent="0.25">
      <c r="A1199" s="1">
        <v>38263</v>
      </c>
      <c r="B1199">
        <v>1003</v>
      </c>
      <c r="C1199">
        <v>2004</v>
      </c>
      <c r="D1199">
        <v>650</v>
      </c>
      <c r="E1199">
        <v>246</v>
      </c>
      <c r="F1199">
        <v>548</v>
      </c>
      <c r="G1199">
        <v>14</v>
      </c>
      <c r="H1199">
        <f>SUMIFS($F$2:F1199,$C$2:C1199,C1199)</f>
        <v>19297</v>
      </c>
      <c r="I1199" s="8">
        <f>STAMP_Escapement_Data[[#This Row],[DATE]]-DATE(STAMP_Escapement_Data[[#This Row],[YEAR]],8,1)</f>
        <v>63</v>
      </c>
    </row>
    <row r="1200" spans="1:9" x14ac:dyDescent="0.25">
      <c r="A1200" s="1">
        <v>38264</v>
      </c>
      <c r="B1200">
        <v>1004</v>
      </c>
      <c r="C1200">
        <v>2004</v>
      </c>
      <c r="D1200">
        <v>798</v>
      </c>
      <c r="E1200">
        <v>266</v>
      </c>
      <c r="F1200">
        <v>668</v>
      </c>
      <c r="G1200">
        <v>31</v>
      </c>
      <c r="H1200">
        <f>SUMIFS($F$2:F1200,$C$2:C1200,C1200)</f>
        <v>19965</v>
      </c>
      <c r="I1200" s="8">
        <f>STAMP_Escapement_Data[[#This Row],[DATE]]-DATE(STAMP_Escapement_Data[[#This Row],[YEAR]],8,1)</f>
        <v>64</v>
      </c>
    </row>
    <row r="1201" spans="1:9" x14ac:dyDescent="0.25">
      <c r="A1201" s="1">
        <v>38265</v>
      </c>
      <c r="B1201">
        <v>1005</v>
      </c>
      <c r="C1201">
        <v>2004</v>
      </c>
      <c r="D1201">
        <v>432</v>
      </c>
      <c r="E1201">
        <v>137</v>
      </c>
      <c r="F1201">
        <v>1094</v>
      </c>
      <c r="G1201">
        <v>43</v>
      </c>
      <c r="H1201">
        <f>SUMIFS($F$2:F1201,$C$2:C1201,C1201)</f>
        <v>21059</v>
      </c>
      <c r="I1201" s="8">
        <f>STAMP_Escapement_Data[[#This Row],[DATE]]-DATE(STAMP_Escapement_Data[[#This Row],[YEAR]],8,1)</f>
        <v>65</v>
      </c>
    </row>
    <row r="1202" spans="1:9" x14ac:dyDescent="0.25">
      <c r="A1202" s="1">
        <v>38266</v>
      </c>
      <c r="B1202">
        <v>1006</v>
      </c>
      <c r="C1202">
        <v>2004</v>
      </c>
      <c r="D1202">
        <v>1109</v>
      </c>
      <c r="E1202">
        <v>373</v>
      </c>
      <c r="F1202">
        <v>2267</v>
      </c>
      <c r="G1202">
        <v>107</v>
      </c>
      <c r="H1202">
        <f>SUMIFS($F$2:F1202,$C$2:C1202,C1202)</f>
        <v>23326</v>
      </c>
      <c r="I1202" s="8">
        <f>STAMP_Escapement_Data[[#This Row],[DATE]]-DATE(STAMP_Escapement_Data[[#This Row],[YEAR]],8,1)</f>
        <v>66</v>
      </c>
    </row>
    <row r="1203" spans="1:9" x14ac:dyDescent="0.25">
      <c r="A1203" s="1">
        <v>38267</v>
      </c>
      <c r="B1203">
        <v>1007</v>
      </c>
      <c r="C1203">
        <v>2004</v>
      </c>
      <c r="D1203">
        <v>886</v>
      </c>
      <c r="E1203">
        <v>197</v>
      </c>
      <c r="F1203">
        <v>2874</v>
      </c>
      <c r="G1203">
        <v>123</v>
      </c>
      <c r="H1203">
        <f>SUMIFS($F$2:F1203,$C$2:C1203,C1203)</f>
        <v>26200</v>
      </c>
      <c r="I1203" s="8">
        <f>STAMP_Escapement_Data[[#This Row],[DATE]]-DATE(STAMP_Escapement_Data[[#This Row],[YEAR]],8,1)</f>
        <v>67</v>
      </c>
    </row>
    <row r="1204" spans="1:9" x14ac:dyDescent="0.25">
      <c r="A1204" s="1">
        <v>38268</v>
      </c>
      <c r="B1204">
        <v>1008</v>
      </c>
      <c r="C1204">
        <v>2004</v>
      </c>
      <c r="D1204">
        <v>789</v>
      </c>
      <c r="E1204">
        <v>103</v>
      </c>
      <c r="F1204">
        <v>4478</v>
      </c>
      <c r="G1204">
        <v>169</v>
      </c>
      <c r="H1204">
        <f>SUMIFS($F$2:F1204,$C$2:C1204,C1204)</f>
        <v>30678</v>
      </c>
      <c r="I1204" s="8">
        <f>STAMP_Escapement_Data[[#This Row],[DATE]]-DATE(STAMP_Escapement_Data[[#This Row],[YEAR]],8,1)</f>
        <v>68</v>
      </c>
    </row>
    <row r="1205" spans="1:9" x14ac:dyDescent="0.25">
      <c r="A1205" s="1">
        <v>38269</v>
      </c>
      <c r="B1205">
        <v>1009</v>
      </c>
      <c r="C1205">
        <v>2004</v>
      </c>
      <c r="D1205">
        <v>780</v>
      </c>
      <c r="E1205">
        <v>106</v>
      </c>
      <c r="F1205">
        <v>1253</v>
      </c>
      <c r="G1205">
        <v>40</v>
      </c>
      <c r="H1205">
        <f>SUMIFS($F$2:F1205,$C$2:C1205,C1205)</f>
        <v>31931</v>
      </c>
      <c r="I1205" s="8">
        <f>STAMP_Escapement_Data[[#This Row],[DATE]]-DATE(STAMP_Escapement_Data[[#This Row],[YEAR]],8,1)</f>
        <v>69</v>
      </c>
    </row>
    <row r="1206" spans="1:9" x14ac:dyDescent="0.25">
      <c r="A1206" s="1">
        <v>38270</v>
      </c>
      <c r="B1206">
        <v>1010</v>
      </c>
      <c r="C1206">
        <v>2004</v>
      </c>
      <c r="D1206">
        <v>437</v>
      </c>
      <c r="E1206">
        <v>84</v>
      </c>
      <c r="F1206">
        <v>1027</v>
      </c>
      <c r="G1206">
        <v>29</v>
      </c>
      <c r="H1206">
        <f>SUMIFS($F$2:F1206,$C$2:C1206,C1206)</f>
        <v>32958</v>
      </c>
      <c r="I1206" s="8">
        <f>STAMP_Escapement_Data[[#This Row],[DATE]]-DATE(STAMP_Escapement_Data[[#This Row],[YEAR]],8,1)</f>
        <v>70</v>
      </c>
    </row>
    <row r="1207" spans="1:9" x14ac:dyDescent="0.25">
      <c r="A1207" s="1">
        <v>38271</v>
      </c>
      <c r="B1207">
        <v>1011</v>
      </c>
      <c r="C1207">
        <v>2004</v>
      </c>
      <c r="D1207">
        <v>340</v>
      </c>
      <c r="E1207">
        <v>56</v>
      </c>
      <c r="F1207">
        <v>1038</v>
      </c>
      <c r="G1207">
        <v>42</v>
      </c>
      <c r="H1207">
        <f>SUMIFS($F$2:F1207,$C$2:C1207,C1207)</f>
        <v>33996</v>
      </c>
      <c r="I1207" s="8">
        <f>STAMP_Escapement_Data[[#This Row],[DATE]]-DATE(STAMP_Escapement_Data[[#This Row],[YEAR]],8,1)</f>
        <v>71</v>
      </c>
    </row>
    <row r="1208" spans="1:9" x14ac:dyDescent="0.25">
      <c r="A1208" s="1">
        <v>38272</v>
      </c>
      <c r="B1208">
        <v>1012</v>
      </c>
      <c r="C1208">
        <v>2004</v>
      </c>
      <c r="D1208">
        <v>478</v>
      </c>
      <c r="E1208">
        <v>94</v>
      </c>
      <c r="F1208">
        <v>1786</v>
      </c>
      <c r="G1208">
        <v>68</v>
      </c>
      <c r="H1208">
        <f>SUMIFS($F$2:F1208,$C$2:C1208,C1208)</f>
        <v>35782</v>
      </c>
      <c r="I1208" s="8">
        <f>STAMP_Escapement_Data[[#This Row],[DATE]]-DATE(STAMP_Escapement_Data[[#This Row],[YEAR]],8,1)</f>
        <v>72</v>
      </c>
    </row>
    <row r="1209" spans="1:9" x14ac:dyDescent="0.25">
      <c r="A1209" s="1">
        <v>38273</v>
      </c>
      <c r="B1209">
        <v>1013</v>
      </c>
      <c r="C1209">
        <v>2004</v>
      </c>
      <c r="D1209">
        <v>660</v>
      </c>
      <c r="E1209">
        <v>79</v>
      </c>
      <c r="F1209">
        <v>2080</v>
      </c>
      <c r="G1209">
        <v>87</v>
      </c>
      <c r="H1209">
        <f>SUMIFS($F$2:F1209,$C$2:C1209,C1209)</f>
        <v>37862</v>
      </c>
      <c r="I1209" s="8">
        <f>STAMP_Escapement_Data[[#This Row],[DATE]]-DATE(STAMP_Escapement_Data[[#This Row],[YEAR]],8,1)</f>
        <v>73</v>
      </c>
    </row>
    <row r="1210" spans="1:9" x14ac:dyDescent="0.25">
      <c r="A1210" s="1">
        <v>38274</v>
      </c>
      <c r="B1210">
        <v>1014</v>
      </c>
      <c r="C1210">
        <v>2004</v>
      </c>
      <c r="D1210">
        <v>893</v>
      </c>
      <c r="E1210">
        <v>68</v>
      </c>
      <c r="F1210">
        <v>3309</v>
      </c>
      <c r="G1210">
        <v>126</v>
      </c>
      <c r="H1210">
        <f>SUMIFS($F$2:F1210,$C$2:C1210,C1210)</f>
        <v>41171</v>
      </c>
      <c r="I1210" s="8">
        <f>STAMP_Escapement_Data[[#This Row],[DATE]]-DATE(STAMP_Escapement_Data[[#This Row],[YEAR]],8,1)</f>
        <v>74</v>
      </c>
    </row>
    <row r="1211" spans="1:9" x14ac:dyDescent="0.25">
      <c r="A1211" s="1">
        <v>38275</v>
      </c>
      <c r="B1211">
        <v>1015</v>
      </c>
      <c r="C1211">
        <v>2004</v>
      </c>
      <c r="D1211">
        <v>390</v>
      </c>
      <c r="E1211">
        <v>37</v>
      </c>
      <c r="F1211">
        <v>2393</v>
      </c>
      <c r="G1211">
        <v>81</v>
      </c>
      <c r="H1211">
        <f>SUMIFS($F$2:F1211,$C$2:C1211,C1211)</f>
        <v>43564</v>
      </c>
      <c r="I1211" s="8">
        <f>STAMP_Escapement_Data[[#This Row],[DATE]]-DATE(STAMP_Escapement_Data[[#This Row],[YEAR]],8,1)</f>
        <v>75</v>
      </c>
    </row>
    <row r="1212" spans="1:9" x14ac:dyDescent="0.25">
      <c r="A1212" s="1">
        <v>38276</v>
      </c>
      <c r="B1212">
        <v>1016</v>
      </c>
      <c r="C1212">
        <v>2004</v>
      </c>
      <c r="D1212">
        <v>666</v>
      </c>
      <c r="E1212">
        <v>72</v>
      </c>
      <c r="F1212">
        <v>3546</v>
      </c>
      <c r="G1212">
        <v>181</v>
      </c>
      <c r="H1212">
        <f>SUMIFS($F$2:F1212,$C$2:C1212,C1212)</f>
        <v>47110</v>
      </c>
      <c r="I1212" s="8">
        <f>STAMP_Escapement_Data[[#This Row],[DATE]]-DATE(STAMP_Escapement_Data[[#This Row],[YEAR]],8,1)</f>
        <v>76</v>
      </c>
    </row>
    <row r="1213" spans="1:9" x14ac:dyDescent="0.25">
      <c r="A1213" s="1">
        <v>38277</v>
      </c>
      <c r="B1213">
        <v>1017</v>
      </c>
      <c r="C1213">
        <v>2004</v>
      </c>
      <c r="D1213">
        <v>209</v>
      </c>
      <c r="E1213">
        <v>29</v>
      </c>
      <c r="F1213">
        <v>977</v>
      </c>
      <c r="G1213">
        <v>26</v>
      </c>
      <c r="H1213">
        <f>SUMIFS($F$2:F1213,$C$2:C1213,C1213)</f>
        <v>48087</v>
      </c>
      <c r="I1213" s="8">
        <f>STAMP_Escapement_Data[[#This Row],[DATE]]-DATE(STAMP_Escapement_Data[[#This Row],[YEAR]],8,1)</f>
        <v>77</v>
      </c>
    </row>
    <row r="1214" spans="1:9" x14ac:dyDescent="0.25">
      <c r="A1214" s="1">
        <v>38278</v>
      </c>
      <c r="B1214">
        <v>1018</v>
      </c>
      <c r="C1214">
        <v>2004</v>
      </c>
      <c r="D1214">
        <v>141</v>
      </c>
      <c r="E1214">
        <v>24</v>
      </c>
      <c r="F1214">
        <v>1019</v>
      </c>
      <c r="G1214">
        <v>12</v>
      </c>
      <c r="H1214">
        <f>SUMIFS($F$2:F1214,$C$2:C1214,C1214)</f>
        <v>49106</v>
      </c>
      <c r="I1214" s="8">
        <f>STAMP_Escapement_Data[[#This Row],[DATE]]-DATE(STAMP_Escapement_Data[[#This Row],[YEAR]],8,1)</f>
        <v>78</v>
      </c>
    </row>
    <row r="1215" spans="1:9" x14ac:dyDescent="0.25">
      <c r="A1215" s="1">
        <v>38279</v>
      </c>
      <c r="B1215">
        <v>1019</v>
      </c>
      <c r="C1215">
        <v>2004</v>
      </c>
      <c r="D1215">
        <v>160</v>
      </c>
      <c r="E1215">
        <v>24</v>
      </c>
      <c r="F1215">
        <v>1713</v>
      </c>
      <c r="G1215">
        <v>28</v>
      </c>
      <c r="H1215">
        <f>SUMIFS($F$2:F1215,$C$2:C1215,C1215)</f>
        <v>50819</v>
      </c>
      <c r="I1215" s="8">
        <f>STAMP_Escapement_Data[[#This Row],[DATE]]-DATE(STAMP_Escapement_Data[[#This Row],[YEAR]],8,1)</f>
        <v>79</v>
      </c>
    </row>
    <row r="1216" spans="1:9" x14ac:dyDescent="0.25">
      <c r="A1216" s="1">
        <v>38280</v>
      </c>
      <c r="B1216">
        <v>1020</v>
      </c>
      <c r="C1216">
        <v>2004</v>
      </c>
      <c r="D1216">
        <v>424</v>
      </c>
      <c r="E1216">
        <v>30</v>
      </c>
      <c r="F1216">
        <v>968</v>
      </c>
      <c r="G1216">
        <v>20</v>
      </c>
      <c r="H1216">
        <f>SUMIFS($F$2:F1216,$C$2:C1216,C1216)</f>
        <v>51787</v>
      </c>
      <c r="I1216" s="8">
        <f>STAMP_Escapement_Data[[#This Row],[DATE]]-DATE(STAMP_Escapement_Data[[#This Row],[YEAR]],8,1)</f>
        <v>80</v>
      </c>
    </row>
    <row r="1217" spans="1:9" x14ac:dyDescent="0.25">
      <c r="A1217" s="1">
        <v>38281</v>
      </c>
      <c r="B1217">
        <v>1021</v>
      </c>
      <c r="C1217">
        <v>2004</v>
      </c>
      <c r="D1217">
        <v>159</v>
      </c>
      <c r="E1217">
        <v>16</v>
      </c>
      <c r="F1217">
        <v>1299</v>
      </c>
      <c r="G1217">
        <v>41</v>
      </c>
      <c r="H1217">
        <f>SUMIFS($F$2:F1217,$C$2:C1217,C1217)</f>
        <v>53086</v>
      </c>
      <c r="I1217" s="8">
        <f>STAMP_Escapement_Data[[#This Row],[DATE]]-DATE(STAMP_Escapement_Data[[#This Row],[YEAR]],8,1)</f>
        <v>81</v>
      </c>
    </row>
    <row r="1218" spans="1:9" x14ac:dyDescent="0.25">
      <c r="A1218" s="1">
        <v>38282</v>
      </c>
      <c r="B1218">
        <v>1022</v>
      </c>
      <c r="C1218">
        <v>2004</v>
      </c>
      <c r="D1218">
        <v>31</v>
      </c>
      <c r="E1218">
        <v>3</v>
      </c>
      <c r="F1218">
        <v>1180</v>
      </c>
      <c r="G1218">
        <v>13</v>
      </c>
      <c r="H1218">
        <f>SUMIFS($F$2:F1218,$C$2:C1218,C1218)</f>
        <v>54266</v>
      </c>
      <c r="I1218" s="8">
        <f>STAMP_Escapement_Data[[#This Row],[DATE]]-DATE(STAMP_Escapement_Data[[#This Row],[YEAR]],8,1)</f>
        <v>82</v>
      </c>
    </row>
    <row r="1219" spans="1:9" x14ac:dyDescent="0.25">
      <c r="A1219" s="1">
        <v>38283</v>
      </c>
      <c r="B1219">
        <v>1023</v>
      </c>
      <c r="C1219">
        <v>2004</v>
      </c>
      <c r="D1219">
        <v>46</v>
      </c>
      <c r="E1219">
        <v>6</v>
      </c>
      <c r="F1219">
        <v>1085</v>
      </c>
      <c r="G1219">
        <v>25</v>
      </c>
      <c r="H1219">
        <f>SUMIFS($F$2:F1219,$C$2:C1219,C1219)</f>
        <v>55351</v>
      </c>
      <c r="I1219" s="8">
        <f>STAMP_Escapement_Data[[#This Row],[DATE]]-DATE(STAMP_Escapement_Data[[#This Row],[YEAR]],8,1)</f>
        <v>83</v>
      </c>
    </row>
    <row r="1220" spans="1:9" x14ac:dyDescent="0.25">
      <c r="A1220" s="1">
        <v>38284</v>
      </c>
      <c r="B1220">
        <v>1024</v>
      </c>
      <c r="C1220">
        <v>2004</v>
      </c>
      <c r="D1220">
        <v>56</v>
      </c>
      <c r="E1220">
        <v>9</v>
      </c>
      <c r="F1220">
        <v>1321</v>
      </c>
      <c r="G1220">
        <v>47</v>
      </c>
      <c r="H1220">
        <f>SUMIFS($F$2:F1220,$C$2:C1220,C1220)</f>
        <v>56672</v>
      </c>
      <c r="I1220" s="8">
        <f>STAMP_Escapement_Data[[#This Row],[DATE]]-DATE(STAMP_Escapement_Data[[#This Row],[YEAR]],8,1)</f>
        <v>84</v>
      </c>
    </row>
    <row r="1221" spans="1:9" x14ac:dyDescent="0.25">
      <c r="A1221" s="1">
        <v>38285</v>
      </c>
      <c r="B1221">
        <v>1025</v>
      </c>
      <c r="C1221">
        <v>2004</v>
      </c>
      <c r="D1221">
        <v>9</v>
      </c>
      <c r="E1221">
        <v>0</v>
      </c>
      <c r="F1221">
        <v>173</v>
      </c>
      <c r="G1221">
        <v>1</v>
      </c>
      <c r="H1221">
        <f>SUMIFS($F$2:F1221,$C$2:C1221,C1221)</f>
        <v>56845</v>
      </c>
      <c r="I1221" s="8">
        <f>STAMP_Escapement_Data[[#This Row],[DATE]]-DATE(STAMP_Escapement_Data[[#This Row],[YEAR]],8,1)</f>
        <v>85</v>
      </c>
    </row>
    <row r="1222" spans="1:9" x14ac:dyDescent="0.25">
      <c r="A1222" s="1">
        <v>38286</v>
      </c>
      <c r="B1222">
        <v>1026</v>
      </c>
      <c r="C1222">
        <v>2004</v>
      </c>
      <c r="D1222">
        <v>315</v>
      </c>
      <c r="E1222">
        <v>14</v>
      </c>
      <c r="F1222">
        <v>827</v>
      </c>
      <c r="G1222">
        <v>24</v>
      </c>
      <c r="H1222">
        <f>SUMIFS($F$2:F1222,$C$2:C1222,C1222)</f>
        <v>57672</v>
      </c>
      <c r="I1222" s="8">
        <f>STAMP_Escapement_Data[[#This Row],[DATE]]-DATE(STAMP_Escapement_Data[[#This Row],[YEAR]],8,1)</f>
        <v>86</v>
      </c>
    </row>
    <row r="1223" spans="1:9" x14ac:dyDescent="0.25">
      <c r="A1223" s="1">
        <v>38287</v>
      </c>
      <c r="B1223">
        <v>1027</v>
      </c>
      <c r="C1223">
        <v>2004</v>
      </c>
      <c r="D1223">
        <v>260</v>
      </c>
      <c r="E1223">
        <v>12</v>
      </c>
      <c r="F1223">
        <v>658</v>
      </c>
      <c r="G1223">
        <v>17</v>
      </c>
      <c r="H1223">
        <f>SUMIFS($F$2:F1223,$C$2:C1223,C1223)</f>
        <v>58330</v>
      </c>
      <c r="I1223" s="8">
        <f>STAMP_Escapement_Data[[#This Row],[DATE]]-DATE(STAMP_Escapement_Data[[#This Row],[YEAR]],8,1)</f>
        <v>87</v>
      </c>
    </row>
    <row r="1224" spans="1:9" x14ac:dyDescent="0.25">
      <c r="A1224" s="1">
        <v>38288</v>
      </c>
      <c r="B1224">
        <v>1028</v>
      </c>
      <c r="C1224">
        <v>2004</v>
      </c>
      <c r="D1224">
        <v>150</v>
      </c>
      <c r="E1224">
        <v>15</v>
      </c>
      <c r="F1224">
        <v>1305</v>
      </c>
      <c r="G1224">
        <v>11</v>
      </c>
      <c r="H1224">
        <f>SUMIFS($F$2:F1224,$C$2:C1224,C1224)</f>
        <v>59635</v>
      </c>
      <c r="I1224" s="8">
        <f>STAMP_Escapement_Data[[#This Row],[DATE]]-DATE(STAMP_Escapement_Data[[#This Row],[YEAR]],8,1)</f>
        <v>88</v>
      </c>
    </row>
    <row r="1225" spans="1:9" x14ac:dyDescent="0.25">
      <c r="A1225" s="1">
        <v>38289</v>
      </c>
      <c r="B1225">
        <v>1029</v>
      </c>
      <c r="C1225">
        <v>2004</v>
      </c>
      <c r="D1225">
        <v>65</v>
      </c>
      <c r="E1225">
        <v>6</v>
      </c>
      <c r="F1225">
        <v>1171</v>
      </c>
      <c r="G1225">
        <v>33</v>
      </c>
      <c r="H1225">
        <f>SUMIFS($F$2:F1225,$C$2:C1225,C1225)</f>
        <v>60806</v>
      </c>
      <c r="I1225" s="8">
        <f>STAMP_Escapement_Data[[#This Row],[DATE]]-DATE(STAMP_Escapement_Data[[#This Row],[YEAR]],8,1)</f>
        <v>89</v>
      </c>
    </row>
    <row r="1226" spans="1:9" x14ac:dyDescent="0.25">
      <c r="A1226" s="1">
        <v>38290</v>
      </c>
      <c r="B1226">
        <v>1030</v>
      </c>
      <c r="C1226">
        <v>2004</v>
      </c>
      <c r="D1226">
        <v>45</v>
      </c>
      <c r="E1226">
        <v>5</v>
      </c>
      <c r="F1226">
        <v>516</v>
      </c>
      <c r="G1226">
        <v>15</v>
      </c>
      <c r="H1226">
        <f>SUMIFS($F$2:F1226,$C$2:C1226,C1226)</f>
        <v>61322</v>
      </c>
      <c r="I1226" s="8">
        <f>STAMP_Escapement_Data[[#This Row],[DATE]]-DATE(STAMP_Escapement_Data[[#This Row],[YEAR]],8,1)</f>
        <v>90</v>
      </c>
    </row>
    <row r="1227" spans="1:9" x14ac:dyDescent="0.25">
      <c r="A1227" s="1">
        <v>38291</v>
      </c>
      <c r="B1227">
        <v>1031</v>
      </c>
      <c r="C1227">
        <v>2004</v>
      </c>
      <c r="D1227">
        <v>62</v>
      </c>
      <c r="E1227">
        <v>8</v>
      </c>
      <c r="F1227">
        <v>675</v>
      </c>
      <c r="G1227">
        <v>20</v>
      </c>
      <c r="H1227">
        <f>SUMIFS($F$2:F1227,$C$2:C1227,C1227)</f>
        <v>61997</v>
      </c>
      <c r="I1227" s="8">
        <f>STAMP_Escapement_Data[[#This Row],[DATE]]-DATE(STAMP_Escapement_Data[[#This Row],[YEAR]],8,1)</f>
        <v>91</v>
      </c>
    </row>
    <row r="1228" spans="1:9" x14ac:dyDescent="0.25">
      <c r="A1228" s="1">
        <v>38292</v>
      </c>
      <c r="B1228">
        <v>1101</v>
      </c>
      <c r="C1228">
        <v>2004</v>
      </c>
      <c r="D1228">
        <v>20</v>
      </c>
      <c r="E1228">
        <v>4</v>
      </c>
      <c r="F1228">
        <v>627</v>
      </c>
      <c r="G1228">
        <v>35</v>
      </c>
      <c r="H1228">
        <f>SUMIFS($F$2:F1228,$C$2:C1228,C1228)</f>
        <v>62624</v>
      </c>
      <c r="I1228" s="8">
        <f>STAMP_Escapement_Data[[#This Row],[DATE]]-DATE(STAMP_Escapement_Data[[#This Row],[YEAR]],8,1)</f>
        <v>92</v>
      </c>
    </row>
    <row r="1229" spans="1:9" x14ac:dyDescent="0.25">
      <c r="A1229" s="1">
        <v>38293</v>
      </c>
      <c r="B1229">
        <v>1102</v>
      </c>
      <c r="C1229">
        <v>2004</v>
      </c>
      <c r="D1229">
        <v>3</v>
      </c>
      <c r="E1229">
        <v>2</v>
      </c>
      <c r="F1229">
        <v>384</v>
      </c>
      <c r="G1229">
        <v>9</v>
      </c>
      <c r="H1229">
        <f>SUMIFS($F$2:F1229,$C$2:C1229,C1229)</f>
        <v>63008</v>
      </c>
      <c r="I1229" s="8">
        <f>STAMP_Escapement_Data[[#This Row],[DATE]]-DATE(STAMP_Escapement_Data[[#This Row],[YEAR]],8,1)</f>
        <v>93</v>
      </c>
    </row>
    <row r="1230" spans="1:9" x14ac:dyDescent="0.25">
      <c r="A1230" s="1">
        <v>38294</v>
      </c>
      <c r="B1230">
        <v>1103</v>
      </c>
      <c r="C1230">
        <v>2004</v>
      </c>
      <c r="D1230">
        <v>36</v>
      </c>
      <c r="E1230">
        <v>3</v>
      </c>
      <c r="F1230">
        <v>308</v>
      </c>
      <c r="G1230">
        <v>3</v>
      </c>
      <c r="H1230">
        <f>SUMIFS($F$2:F1230,$C$2:C1230,C1230)</f>
        <v>63316</v>
      </c>
      <c r="I1230" s="8">
        <f>STAMP_Escapement_Data[[#This Row],[DATE]]-DATE(STAMP_Escapement_Data[[#This Row],[YEAR]],8,1)</f>
        <v>94</v>
      </c>
    </row>
    <row r="1231" spans="1:9" x14ac:dyDescent="0.25">
      <c r="A1231" s="1">
        <v>38295</v>
      </c>
      <c r="B1231">
        <v>1104</v>
      </c>
      <c r="C1231">
        <v>2004</v>
      </c>
      <c r="D1231">
        <v>58</v>
      </c>
      <c r="E1231">
        <v>18</v>
      </c>
      <c r="F1231">
        <v>367</v>
      </c>
      <c r="G1231">
        <v>8</v>
      </c>
      <c r="H1231">
        <f>SUMIFS($F$2:F1231,$C$2:C1231,C1231)</f>
        <v>63683</v>
      </c>
      <c r="I1231" s="8">
        <f>STAMP_Escapement_Data[[#This Row],[DATE]]-DATE(STAMP_Escapement_Data[[#This Row],[YEAR]],8,1)</f>
        <v>95</v>
      </c>
    </row>
    <row r="1232" spans="1:9" x14ac:dyDescent="0.25">
      <c r="A1232" s="1">
        <v>38296</v>
      </c>
      <c r="B1232">
        <v>1105</v>
      </c>
      <c r="C1232">
        <v>2004</v>
      </c>
      <c r="D1232">
        <v>94</v>
      </c>
      <c r="E1232">
        <v>17</v>
      </c>
      <c r="F1232">
        <v>466</v>
      </c>
      <c r="G1232">
        <v>10</v>
      </c>
      <c r="H1232">
        <f>SUMIFS($F$2:F1232,$C$2:C1232,C1232)</f>
        <v>64149</v>
      </c>
      <c r="I1232" s="8">
        <f>STAMP_Escapement_Data[[#This Row],[DATE]]-DATE(STAMP_Escapement_Data[[#This Row],[YEAR]],8,1)</f>
        <v>96</v>
      </c>
    </row>
    <row r="1233" spans="1:9" x14ac:dyDescent="0.25">
      <c r="A1233" s="1">
        <v>38297</v>
      </c>
      <c r="B1233">
        <v>1106</v>
      </c>
      <c r="C1233">
        <v>2004</v>
      </c>
      <c r="D1233">
        <v>39</v>
      </c>
      <c r="E1233">
        <v>9</v>
      </c>
      <c r="F1233">
        <v>341</v>
      </c>
      <c r="G1233">
        <v>28</v>
      </c>
      <c r="H1233">
        <f>SUMIFS($F$2:F1233,$C$2:C1233,C1233)</f>
        <v>64490</v>
      </c>
      <c r="I1233" s="8">
        <f>STAMP_Escapement_Data[[#This Row],[DATE]]-DATE(STAMP_Escapement_Data[[#This Row],[YEAR]],8,1)</f>
        <v>97</v>
      </c>
    </row>
    <row r="1234" spans="1:9" x14ac:dyDescent="0.25">
      <c r="A1234" s="1">
        <v>38298</v>
      </c>
      <c r="B1234">
        <v>1107</v>
      </c>
      <c r="C1234">
        <v>2004</v>
      </c>
      <c r="D1234">
        <v>140</v>
      </c>
      <c r="E1234">
        <v>9</v>
      </c>
      <c r="F1234">
        <v>98</v>
      </c>
      <c r="G1234">
        <v>5</v>
      </c>
      <c r="H1234">
        <f>SUMIFS($F$2:F1234,$C$2:C1234,C1234)</f>
        <v>64588</v>
      </c>
      <c r="I1234" s="8">
        <f>STAMP_Escapement_Data[[#This Row],[DATE]]-DATE(STAMP_Escapement_Data[[#This Row],[YEAR]],8,1)</f>
        <v>98</v>
      </c>
    </row>
    <row r="1235" spans="1:9" x14ac:dyDescent="0.25">
      <c r="A1235" s="1">
        <v>38299</v>
      </c>
      <c r="B1235">
        <v>1108</v>
      </c>
      <c r="C1235">
        <v>2004</v>
      </c>
      <c r="D1235">
        <v>420</v>
      </c>
      <c r="E1235">
        <v>19</v>
      </c>
      <c r="F1235">
        <v>40</v>
      </c>
      <c r="G1235">
        <v>1</v>
      </c>
      <c r="H1235">
        <f>SUMIFS($F$2:F1235,$C$2:C1235,C1235)</f>
        <v>64628</v>
      </c>
      <c r="I1235" s="8">
        <f>STAMP_Escapement_Data[[#This Row],[DATE]]-DATE(STAMP_Escapement_Data[[#This Row],[YEAR]],8,1)</f>
        <v>99</v>
      </c>
    </row>
    <row r="1236" spans="1:9" x14ac:dyDescent="0.25">
      <c r="A1236" s="1">
        <v>38300</v>
      </c>
      <c r="B1236">
        <v>1109</v>
      </c>
      <c r="C1236">
        <v>2004</v>
      </c>
      <c r="D1236">
        <v>243</v>
      </c>
      <c r="E1236">
        <v>18</v>
      </c>
      <c r="F1236">
        <v>33</v>
      </c>
      <c r="G1236">
        <v>0</v>
      </c>
      <c r="H1236">
        <f>SUMIFS($F$2:F1236,$C$2:C1236,C1236)</f>
        <v>64661</v>
      </c>
      <c r="I1236" s="8">
        <f>STAMP_Escapement_Data[[#This Row],[DATE]]-DATE(STAMP_Escapement_Data[[#This Row],[YEAR]],8,1)</f>
        <v>100</v>
      </c>
    </row>
    <row r="1237" spans="1:9" x14ac:dyDescent="0.25">
      <c r="A1237" s="1">
        <v>38301</v>
      </c>
      <c r="B1237">
        <v>1110</v>
      </c>
      <c r="C1237">
        <v>2004</v>
      </c>
      <c r="D1237">
        <v>145</v>
      </c>
      <c r="E1237">
        <v>9</v>
      </c>
      <c r="F1237">
        <v>51</v>
      </c>
      <c r="G1237">
        <v>2</v>
      </c>
      <c r="H1237">
        <f>SUMIFS($F$2:F1237,$C$2:C1237,C1237)</f>
        <v>64712</v>
      </c>
      <c r="I1237" s="8">
        <f>STAMP_Escapement_Data[[#This Row],[DATE]]-DATE(STAMP_Escapement_Data[[#This Row],[YEAR]],8,1)</f>
        <v>101</v>
      </c>
    </row>
    <row r="1238" spans="1:9" x14ac:dyDescent="0.25">
      <c r="A1238" s="1">
        <v>38302</v>
      </c>
      <c r="B1238">
        <v>1111</v>
      </c>
      <c r="C1238">
        <v>2004</v>
      </c>
      <c r="D1238">
        <v>108</v>
      </c>
      <c r="E1238">
        <v>23</v>
      </c>
      <c r="F1238">
        <v>29</v>
      </c>
      <c r="G1238">
        <v>2</v>
      </c>
      <c r="H1238">
        <f>SUMIFS($F$2:F1238,$C$2:C1238,C1238)</f>
        <v>64741</v>
      </c>
      <c r="I1238" s="8">
        <f>STAMP_Escapement_Data[[#This Row],[DATE]]-DATE(STAMP_Escapement_Data[[#This Row],[YEAR]],8,1)</f>
        <v>102</v>
      </c>
    </row>
    <row r="1239" spans="1:9" x14ac:dyDescent="0.25">
      <c r="A1239" s="1">
        <v>38303</v>
      </c>
      <c r="B1239">
        <v>1112</v>
      </c>
      <c r="C1239">
        <v>2004</v>
      </c>
      <c r="D1239">
        <v>50</v>
      </c>
      <c r="E1239">
        <v>16</v>
      </c>
      <c r="F1239">
        <v>28</v>
      </c>
      <c r="G1239">
        <v>1</v>
      </c>
      <c r="H1239">
        <f>SUMIFS($F$2:F1239,$C$2:C1239,C1239)</f>
        <v>64769</v>
      </c>
      <c r="I1239" s="8">
        <f>STAMP_Escapement_Data[[#This Row],[DATE]]-DATE(STAMP_Escapement_Data[[#This Row],[YEAR]],8,1)</f>
        <v>103</v>
      </c>
    </row>
    <row r="1240" spans="1:9" x14ac:dyDescent="0.25">
      <c r="A1240" s="1">
        <v>38304</v>
      </c>
      <c r="B1240">
        <v>1113</v>
      </c>
      <c r="C1240">
        <v>2004</v>
      </c>
      <c r="D1240">
        <v>29</v>
      </c>
      <c r="E1240">
        <v>11</v>
      </c>
      <c r="F1240">
        <v>23</v>
      </c>
      <c r="G1240">
        <v>0</v>
      </c>
      <c r="H1240">
        <f>SUMIFS($F$2:F1240,$C$2:C1240,C1240)</f>
        <v>64792</v>
      </c>
      <c r="I1240" s="8">
        <f>STAMP_Escapement_Data[[#This Row],[DATE]]-DATE(STAMP_Escapement_Data[[#This Row],[YEAR]],8,1)</f>
        <v>104</v>
      </c>
    </row>
    <row r="1241" spans="1:9" x14ac:dyDescent="0.25">
      <c r="A1241" s="1">
        <v>38305</v>
      </c>
      <c r="B1241">
        <v>1114</v>
      </c>
      <c r="C1241">
        <v>2004</v>
      </c>
      <c r="D1241">
        <v>6</v>
      </c>
      <c r="E1241">
        <v>5</v>
      </c>
      <c r="F1241">
        <v>16</v>
      </c>
      <c r="G1241">
        <v>2</v>
      </c>
      <c r="H1241">
        <f>SUMIFS($F$2:F1241,$C$2:C1241,C1241)</f>
        <v>64808</v>
      </c>
      <c r="I1241" s="8">
        <f>STAMP_Escapement_Data[[#This Row],[DATE]]-DATE(STAMP_Escapement_Data[[#This Row],[YEAR]],8,1)</f>
        <v>105</v>
      </c>
    </row>
    <row r="1242" spans="1:9" x14ac:dyDescent="0.25">
      <c r="A1242" s="1">
        <v>38602</v>
      </c>
      <c r="B1242">
        <v>907</v>
      </c>
      <c r="C1242">
        <v>2005</v>
      </c>
      <c r="D1242">
        <v>191</v>
      </c>
      <c r="E1242">
        <v>0</v>
      </c>
      <c r="F1242">
        <v>0</v>
      </c>
      <c r="G1242">
        <v>0</v>
      </c>
      <c r="H1242">
        <f>SUMIFS($F$2:F1242,$C$2:C1242,C1242)</f>
        <v>0</v>
      </c>
      <c r="I1242" s="8">
        <f>STAMP_Escapement_Data[[#This Row],[DATE]]-DATE(STAMP_Escapement_Data[[#This Row],[YEAR]],8,1)</f>
        <v>37</v>
      </c>
    </row>
    <row r="1243" spans="1:9" x14ac:dyDescent="0.25">
      <c r="A1243" s="1">
        <v>38603</v>
      </c>
      <c r="B1243">
        <v>908</v>
      </c>
      <c r="C1243">
        <v>2005</v>
      </c>
      <c r="D1243">
        <v>727</v>
      </c>
      <c r="F1243">
        <v>1747</v>
      </c>
      <c r="G1243">
        <v>74</v>
      </c>
      <c r="H1243">
        <f>SUMIFS($F$2:F1243,$C$2:C1243,C1243)</f>
        <v>1747</v>
      </c>
      <c r="I1243" s="8">
        <f>STAMP_Escapement_Data[[#This Row],[DATE]]-DATE(STAMP_Escapement_Data[[#This Row],[YEAR]],8,1)</f>
        <v>38</v>
      </c>
    </row>
    <row r="1244" spans="1:9" x14ac:dyDescent="0.25">
      <c r="A1244" s="1">
        <v>38603</v>
      </c>
      <c r="B1244">
        <v>908</v>
      </c>
      <c r="C1244">
        <v>2005</v>
      </c>
      <c r="D1244">
        <v>190</v>
      </c>
      <c r="E1244">
        <v>10</v>
      </c>
      <c r="F1244">
        <v>185</v>
      </c>
      <c r="G1244">
        <v>54</v>
      </c>
      <c r="H1244">
        <f>SUMIFS($F$2:F1244,$C$2:C1244,C1244)</f>
        <v>1932</v>
      </c>
      <c r="I1244" s="8">
        <f>STAMP_Escapement_Data[[#This Row],[DATE]]-DATE(STAMP_Escapement_Data[[#This Row],[YEAR]],8,1)</f>
        <v>38</v>
      </c>
    </row>
    <row r="1245" spans="1:9" x14ac:dyDescent="0.25">
      <c r="A1245" s="1">
        <v>38604</v>
      </c>
      <c r="B1245">
        <v>909</v>
      </c>
      <c r="C1245">
        <v>2005</v>
      </c>
      <c r="D1245">
        <v>451</v>
      </c>
      <c r="E1245">
        <v>21</v>
      </c>
      <c r="F1245">
        <v>437</v>
      </c>
      <c r="G1245">
        <v>175</v>
      </c>
      <c r="H1245">
        <f>SUMIFS($F$2:F1245,$C$2:C1245,C1245)</f>
        <v>2369</v>
      </c>
      <c r="I1245" s="8">
        <f>STAMP_Escapement_Data[[#This Row],[DATE]]-DATE(STAMP_Escapement_Data[[#This Row],[YEAR]],8,1)</f>
        <v>39</v>
      </c>
    </row>
    <row r="1246" spans="1:9" x14ac:dyDescent="0.25">
      <c r="A1246" s="1">
        <v>38605</v>
      </c>
      <c r="B1246">
        <v>910</v>
      </c>
      <c r="C1246">
        <v>2005</v>
      </c>
      <c r="D1246">
        <v>646</v>
      </c>
      <c r="E1246">
        <v>26</v>
      </c>
      <c r="F1246">
        <v>289</v>
      </c>
      <c r="G1246">
        <v>116</v>
      </c>
      <c r="H1246">
        <f>SUMIFS($F$2:F1246,$C$2:C1246,C1246)</f>
        <v>2658</v>
      </c>
      <c r="I1246" s="8">
        <f>STAMP_Escapement_Data[[#This Row],[DATE]]-DATE(STAMP_Escapement_Data[[#This Row],[YEAR]],8,1)</f>
        <v>40</v>
      </c>
    </row>
    <row r="1247" spans="1:9" x14ac:dyDescent="0.25">
      <c r="A1247" s="1">
        <v>38606</v>
      </c>
      <c r="B1247">
        <v>911</v>
      </c>
      <c r="C1247">
        <v>2005</v>
      </c>
      <c r="D1247">
        <v>471</v>
      </c>
      <c r="E1247">
        <v>75</v>
      </c>
      <c r="F1247">
        <v>362</v>
      </c>
      <c r="G1247">
        <v>103</v>
      </c>
      <c r="H1247">
        <f>SUMIFS($F$2:F1247,$C$2:C1247,C1247)</f>
        <v>3020</v>
      </c>
      <c r="I1247" s="8">
        <f>STAMP_Escapement_Data[[#This Row],[DATE]]-DATE(STAMP_Escapement_Data[[#This Row],[YEAR]],8,1)</f>
        <v>41</v>
      </c>
    </row>
    <row r="1248" spans="1:9" x14ac:dyDescent="0.25">
      <c r="A1248" s="1">
        <v>38607</v>
      </c>
      <c r="B1248">
        <v>912</v>
      </c>
      <c r="C1248">
        <v>2005</v>
      </c>
      <c r="D1248">
        <v>725</v>
      </c>
      <c r="E1248">
        <v>84</v>
      </c>
      <c r="F1248">
        <v>291</v>
      </c>
      <c r="G1248">
        <v>120</v>
      </c>
      <c r="H1248">
        <f>SUMIFS($F$2:F1248,$C$2:C1248,C1248)</f>
        <v>3311</v>
      </c>
      <c r="I1248" s="8">
        <f>STAMP_Escapement_Data[[#This Row],[DATE]]-DATE(STAMP_Escapement_Data[[#This Row],[YEAR]],8,1)</f>
        <v>42</v>
      </c>
    </row>
    <row r="1249" spans="1:9" x14ac:dyDescent="0.25">
      <c r="A1249" s="1">
        <v>38608</v>
      </c>
      <c r="B1249">
        <v>913</v>
      </c>
      <c r="C1249">
        <v>2005</v>
      </c>
      <c r="D1249">
        <v>2150</v>
      </c>
      <c r="E1249">
        <v>93</v>
      </c>
      <c r="F1249">
        <v>415</v>
      </c>
      <c r="G1249">
        <v>135</v>
      </c>
      <c r="H1249">
        <f>SUMIFS($F$2:F1249,$C$2:C1249,C1249)</f>
        <v>3726</v>
      </c>
      <c r="I1249" s="8">
        <f>STAMP_Escapement_Data[[#This Row],[DATE]]-DATE(STAMP_Escapement_Data[[#This Row],[YEAR]],8,1)</f>
        <v>43</v>
      </c>
    </row>
    <row r="1250" spans="1:9" x14ac:dyDescent="0.25">
      <c r="A1250" s="1">
        <v>38609</v>
      </c>
      <c r="B1250">
        <v>914</v>
      </c>
      <c r="C1250">
        <v>2005</v>
      </c>
      <c r="D1250">
        <v>1744</v>
      </c>
      <c r="E1250">
        <v>38</v>
      </c>
      <c r="F1250">
        <v>400</v>
      </c>
      <c r="G1250">
        <v>193</v>
      </c>
      <c r="H1250">
        <f>SUMIFS($F$2:F1250,$C$2:C1250,C1250)</f>
        <v>4126</v>
      </c>
      <c r="I1250" s="8">
        <f>STAMP_Escapement_Data[[#This Row],[DATE]]-DATE(STAMP_Escapement_Data[[#This Row],[YEAR]],8,1)</f>
        <v>44</v>
      </c>
    </row>
    <row r="1251" spans="1:9" x14ac:dyDescent="0.25">
      <c r="A1251" s="1">
        <v>38610</v>
      </c>
      <c r="B1251">
        <v>915</v>
      </c>
      <c r="C1251">
        <v>2005</v>
      </c>
      <c r="D1251">
        <v>2161</v>
      </c>
      <c r="E1251">
        <v>48</v>
      </c>
      <c r="F1251">
        <v>300</v>
      </c>
      <c r="G1251">
        <v>121</v>
      </c>
      <c r="H1251">
        <f>SUMIFS($F$2:F1251,$C$2:C1251,C1251)</f>
        <v>4426</v>
      </c>
      <c r="I1251" s="8">
        <f>STAMP_Escapement_Data[[#This Row],[DATE]]-DATE(STAMP_Escapement_Data[[#This Row],[YEAR]],8,1)</f>
        <v>45</v>
      </c>
    </row>
    <row r="1252" spans="1:9" x14ac:dyDescent="0.25">
      <c r="A1252" s="1">
        <v>38611</v>
      </c>
      <c r="B1252">
        <v>916</v>
      </c>
      <c r="C1252">
        <v>2005</v>
      </c>
      <c r="D1252">
        <v>1510</v>
      </c>
      <c r="E1252">
        <v>33</v>
      </c>
      <c r="F1252">
        <v>287</v>
      </c>
      <c r="G1252">
        <v>111</v>
      </c>
      <c r="H1252">
        <f>SUMIFS($F$2:F1252,$C$2:C1252,C1252)</f>
        <v>4713</v>
      </c>
      <c r="I1252" s="8">
        <f>STAMP_Escapement_Data[[#This Row],[DATE]]-DATE(STAMP_Escapement_Data[[#This Row],[YEAR]],8,1)</f>
        <v>46</v>
      </c>
    </row>
    <row r="1253" spans="1:9" x14ac:dyDescent="0.25">
      <c r="A1253" s="1">
        <v>38612</v>
      </c>
      <c r="B1253">
        <v>917</v>
      </c>
      <c r="C1253">
        <v>2005</v>
      </c>
      <c r="D1253">
        <v>1768</v>
      </c>
      <c r="E1253">
        <v>47</v>
      </c>
      <c r="F1253">
        <v>407</v>
      </c>
      <c r="G1253">
        <v>167</v>
      </c>
      <c r="H1253">
        <f>SUMIFS($F$2:F1253,$C$2:C1253,C1253)</f>
        <v>5120</v>
      </c>
      <c r="I1253" s="8">
        <f>STAMP_Escapement_Data[[#This Row],[DATE]]-DATE(STAMP_Escapement_Data[[#This Row],[YEAR]],8,1)</f>
        <v>47</v>
      </c>
    </row>
    <row r="1254" spans="1:9" x14ac:dyDescent="0.25">
      <c r="A1254" s="1">
        <v>38613</v>
      </c>
      <c r="B1254">
        <v>918</v>
      </c>
      <c r="C1254">
        <v>2005</v>
      </c>
      <c r="D1254">
        <v>1856</v>
      </c>
      <c r="E1254">
        <v>65</v>
      </c>
      <c r="F1254">
        <v>404</v>
      </c>
      <c r="G1254">
        <v>222</v>
      </c>
      <c r="H1254">
        <f>SUMIFS($F$2:F1254,$C$2:C1254,C1254)</f>
        <v>5524</v>
      </c>
      <c r="I1254" s="8">
        <f>STAMP_Escapement_Data[[#This Row],[DATE]]-DATE(STAMP_Escapement_Data[[#This Row],[YEAR]],8,1)</f>
        <v>48</v>
      </c>
    </row>
    <row r="1255" spans="1:9" x14ac:dyDescent="0.25">
      <c r="A1255" s="1">
        <v>38614</v>
      </c>
      <c r="B1255">
        <v>919</v>
      </c>
      <c r="C1255">
        <v>2005</v>
      </c>
      <c r="D1255">
        <v>2017</v>
      </c>
      <c r="E1255">
        <v>93</v>
      </c>
      <c r="F1255">
        <v>468</v>
      </c>
      <c r="G1255">
        <v>202</v>
      </c>
      <c r="H1255">
        <f>SUMIFS($F$2:F1255,$C$2:C1255,C1255)</f>
        <v>5992</v>
      </c>
      <c r="I1255" s="8">
        <f>STAMP_Escapement_Data[[#This Row],[DATE]]-DATE(STAMP_Escapement_Data[[#This Row],[YEAR]],8,1)</f>
        <v>49</v>
      </c>
    </row>
    <row r="1256" spans="1:9" x14ac:dyDescent="0.25">
      <c r="A1256" s="1">
        <v>38615</v>
      </c>
      <c r="B1256">
        <v>920</v>
      </c>
      <c r="C1256">
        <v>2005</v>
      </c>
      <c r="D1256">
        <v>2012</v>
      </c>
      <c r="E1256">
        <v>105</v>
      </c>
      <c r="F1256">
        <v>723</v>
      </c>
      <c r="G1256">
        <v>217</v>
      </c>
      <c r="H1256">
        <f>SUMIFS($F$2:F1256,$C$2:C1256,C1256)</f>
        <v>6715</v>
      </c>
      <c r="I1256" s="8">
        <f>STAMP_Escapement_Data[[#This Row],[DATE]]-DATE(STAMP_Escapement_Data[[#This Row],[YEAR]],8,1)</f>
        <v>50</v>
      </c>
    </row>
    <row r="1257" spans="1:9" x14ac:dyDescent="0.25">
      <c r="A1257" s="1">
        <v>38616</v>
      </c>
      <c r="B1257">
        <v>921</v>
      </c>
      <c r="C1257">
        <v>2005</v>
      </c>
      <c r="D1257">
        <v>1748</v>
      </c>
      <c r="E1257">
        <v>100</v>
      </c>
      <c r="F1257">
        <v>1461</v>
      </c>
      <c r="G1257">
        <v>238</v>
      </c>
      <c r="H1257">
        <f>SUMIFS($F$2:F1257,$C$2:C1257,C1257)</f>
        <v>8176</v>
      </c>
      <c r="I1257" s="8">
        <f>STAMP_Escapement_Data[[#This Row],[DATE]]-DATE(STAMP_Escapement_Data[[#This Row],[YEAR]],8,1)</f>
        <v>51</v>
      </c>
    </row>
    <row r="1258" spans="1:9" x14ac:dyDescent="0.25">
      <c r="A1258" s="1">
        <v>38617</v>
      </c>
      <c r="B1258">
        <v>922</v>
      </c>
      <c r="C1258">
        <v>2005</v>
      </c>
      <c r="D1258">
        <v>2109</v>
      </c>
      <c r="E1258">
        <v>59</v>
      </c>
      <c r="F1258">
        <v>599</v>
      </c>
      <c r="G1258">
        <v>82</v>
      </c>
      <c r="H1258">
        <f>SUMIFS($F$2:F1258,$C$2:C1258,C1258)</f>
        <v>8775</v>
      </c>
      <c r="I1258" s="8">
        <f>STAMP_Escapement_Data[[#This Row],[DATE]]-DATE(STAMP_Escapement_Data[[#This Row],[YEAR]],8,1)</f>
        <v>52</v>
      </c>
    </row>
    <row r="1259" spans="1:9" x14ac:dyDescent="0.25">
      <c r="A1259" s="1">
        <v>38618</v>
      </c>
      <c r="B1259">
        <v>923</v>
      </c>
      <c r="C1259">
        <v>2005</v>
      </c>
      <c r="D1259">
        <v>1934</v>
      </c>
      <c r="E1259">
        <v>67</v>
      </c>
      <c r="F1259">
        <v>392</v>
      </c>
      <c r="G1259">
        <v>76</v>
      </c>
      <c r="H1259">
        <f>SUMIFS($F$2:F1259,$C$2:C1259,C1259)</f>
        <v>9167</v>
      </c>
      <c r="I1259" s="8">
        <f>STAMP_Escapement_Data[[#This Row],[DATE]]-DATE(STAMP_Escapement_Data[[#This Row],[YEAR]],8,1)</f>
        <v>53</v>
      </c>
    </row>
    <row r="1260" spans="1:9" x14ac:dyDescent="0.25">
      <c r="A1260" s="1">
        <v>38619</v>
      </c>
      <c r="B1260">
        <v>924</v>
      </c>
      <c r="C1260">
        <v>2005</v>
      </c>
      <c r="D1260">
        <v>2248</v>
      </c>
      <c r="E1260">
        <v>88</v>
      </c>
      <c r="F1260">
        <v>400</v>
      </c>
      <c r="G1260">
        <v>103</v>
      </c>
      <c r="H1260">
        <f>SUMIFS($F$2:F1260,$C$2:C1260,C1260)</f>
        <v>9567</v>
      </c>
      <c r="I1260" s="8">
        <f>STAMP_Escapement_Data[[#This Row],[DATE]]-DATE(STAMP_Escapement_Data[[#This Row],[YEAR]],8,1)</f>
        <v>54</v>
      </c>
    </row>
    <row r="1261" spans="1:9" x14ac:dyDescent="0.25">
      <c r="A1261" s="1">
        <v>38620</v>
      </c>
      <c r="B1261">
        <v>925</v>
      </c>
      <c r="C1261">
        <v>2005</v>
      </c>
      <c r="D1261">
        <v>2262</v>
      </c>
      <c r="E1261">
        <v>97</v>
      </c>
      <c r="F1261">
        <v>438</v>
      </c>
      <c r="G1261">
        <v>126</v>
      </c>
      <c r="H1261">
        <f>SUMIFS($F$2:F1261,$C$2:C1261,C1261)</f>
        <v>10005</v>
      </c>
      <c r="I1261" s="8">
        <f>STAMP_Escapement_Data[[#This Row],[DATE]]-DATE(STAMP_Escapement_Data[[#This Row],[YEAR]],8,1)</f>
        <v>55</v>
      </c>
    </row>
    <row r="1262" spans="1:9" x14ac:dyDescent="0.25">
      <c r="A1262" s="1">
        <v>38621</v>
      </c>
      <c r="B1262">
        <v>926</v>
      </c>
      <c r="C1262">
        <v>2005</v>
      </c>
      <c r="D1262">
        <v>2322</v>
      </c>
      <c r="E1262">
        <v>94</v>
      </c>
      <c r="F1262">
        <v>282</v>
      </c>
      <c r="G1262">
        <v>75</v>
      </c>
      <c r="H1262">
        <f>SUMIFS($F$2:F1262,$C$2:C1262,C1262)</f>
        <v>10287</v>
      </c>
      <c r="I1262" s="8">
        <f>STAMP_Escapement_Data[[#This Row],[DATE]]-DATE(STAMP_Escapement_Data[[#This Row],[YEAR]],8,1)</f>
        <v>56</v>
      </c>
    </row>
    <row r="1263" spans="1:9" x14ac:dyDescent="0.25">
      <c r="A1263" s="1">
        <v>38622</v>
      </c>
      <c r="B1263">
        <v>927</v>
      </c>
      <c r="C1263">
        <v>2005</v>
      </c>
      <c r="D1263">
        <v>2322</v>
      </c>
      <c r="E1263">
        <v>99</v>
      </c>
      <c r="F1263">
        <v>329</v>
      </c>
      <c r="G1263">
        <v>122</v>
      </c>
      <c r="H1263">
        <f>SUMIFS($F$2:F1263,$C$2:C1263,C1263)</f>
        <v>10616</v>
      </c>
      <c r="I1263" s="8">
        <f>STAMP_Escapement_Data[[#This Row],[DATE]]-DATE(STAMP_Escapement_Data[[#This Row],[YEAR]],8,1)</f>
        <v>57</v>
      </c>
    </row>
    <row r="1264" spans="1:9" x14ac:dyDescent="0.25">
      <c r="A1264" s="1">
        <v>38623</v>
      </c>
      <c r="B1264">
        <v>928</v>
      </c>
      <c r="C1264">
        <v>2005</v>
      </c>
      <c r="D1264">
        <v>2047</v>
      </c>
      <c r="E1264">
        <v>72</v>
      </c>
      <c r="F1264">
        <v>441</v>
      </c>
      <c r="G1264">
        <v>116</v>
      </c>
      <c r="H1264">
        <f>SUMIFS($F$2:F1264,$C$2:C1264,C1264)</f>
        <v>11057</v>
      </c>
      <c r="I1264" s="8">
        <f>STAMP_Escapement_Data[[#This Row],[DATE]]-DATE(STAMP_Escapement_Data[[#This Row],[YEAR]],8,1)</f>
        <v>58</v>
      </c>
    </row>
    <row r="1265" spans="1:9" x14ac:dyDescent="0.25">
      <c r="A1265" s="1">
        <v>38624</v>
      </c>
      <c r="B1265">
        <v>929</v>
      </c>
      <c r="C1265">
        <v>2005</v>
      </c>
      <c r="D1265">
        <v>2075</v>
      </c>
      <c r="E1265">
        <v>115</v>
      </c>
      <c r="F1265">
        <v>518</v>
      </c>
      <c r="G1265">
        <v>201</v>
      </c>
      <c r="H1265">
        <f>SUMIFS($F$2:F1265,$C$2:C1265,C1265)</f>
        <v>11575</v>
      </c>
      <c r="I1265" s="8">
        <f>STAMP_Escapement_Data[[#This Row],[DATE]]-DATE(STAMP_Escapement_Data[[#This Row],[YEAR]],8,1)</f>
        <v>59</v>
      </c>
    </row>
    <row r="1266" spans="1:9" x14ac:dyDescent="0.25">
      <c r="A1266" s="1">
        <v>38625</v>
      </c>
      <c r="B1266">
        <v>930</v>
      </c>
      <c r="C1266">
        <v>2005</v>
      </c>
      <c r="D1266">
        <v>3540</v>
      </c>
      <c r="E1266">
        <v>70</v>
      </c>
      <c r="F1266">
        <v>1049</v>
      </c>
      <c r="G1266">
        <v>153</v>
      </c>
      <c r="H1266">
        <f>SUMIFS($F$2:F1266,$C$2:C1266,C1266)</f>
        <v>12624</v>
      </c>
      <c r="I1266" s="8">
        <f>STAMP_Escapement_Data[[#This Row],[DATE]]-DATE(STAMP_Escapement_Data[[#This Row],[YEAR]],8,1)</f>
        <v>60</v>
      </c>
    </row>
    <row r="1267" spans="1:9" x14ac:dyDescent="0.25">
      <c r="A1267" s="1">
        <v>38626</v>
      </c>
      <c r="B1267">
        <v>1001</v>
      </c>
      <c r="C1267">
        <v>2005</v>
      </c>
      <c r="D1267">
        <v>2400</v>
      </c>
      <c r="E1267">
        <v>47</v>
      </c>
      <c r="F1267">
        <v>918</v>
      </c>
      <c r="G1267">
        <v>118</v>
      </c>
      <c r="H1267">
        <f>SUMIFS($F$2:F1267,$C$2:C1267,C1267)</f>
        <v>13542</v>
      </c>
      <c r="I1267" s="8">
        <f>STAMP_Escapement_Data[[#This Row],[DATE]]-DATE(STAMP_Escapement_Data[[#This Row],[YEAR]],8,1)</f>
        <v>61</v>
      </c>
    </row>
    <row r="1268" spans="1:9" x14ac:dyDescent="0.25">
      <c r="A1268" s="1">
        <v>38627</v>
      </c>
      <c r="B1268">
        <v>1002</v>
      </c>
      <c r="C1268">
        <v>2005</v>
      </c>
      <c r="D1268">
        <v>1368</v>
      </c>
      <c r="E1268">
        <v>26</v>
      </c>
      <c r="F1268">
        <v>673</v>
      </c>
      <c r="G1268">
        <v>132</v>
      </c>
      <c r="H1268">
        <f>SUMIFS($F$2:F1268,$C$2:C1268,C1268)</f>
        <v>14215</v>
      </c>
      <c r="I1268" s="8">
        <f>STAMP_Escapement_Data[[#This Row],[DATE]]-DATE(STAMP_Escapement_Data[[#This Row],[YEAR]],8,1)</f>
        <v>62</v>
      </c>
    </row>
    <row r="1269" spans="1:9" x14ac:dyDescent="0.25">
      <c r="A1269" s="1">
        <v>38628</v>
      </c>
      <c r="B1269">
        <v>1003</v>
      </c>
      <c r="C1269">
        <v>2005</v>
      </c>
      <c r="D1269">
        <v>1989</v>
      </c>
      <c r="E1269">
        <v>19</v>
      </c>
      <c r="F1269">
        <v>344</v>
      </c>
      <c r="G1269">
        <v>61</v>
      </c>
      <c r="H1269">
        <f>SUMIFS($F$2:F1269,$C$2:C1269,C1269)</f>
        <v>14559</v>
      </c>
      <c r="I1269" s="8">
        <f>STAMP_Escapement_Data[[#This Row],[DATE]]-DATE(STAMP_Escapement_Data[[#This Row],[YEAR]],8,1)</f>
        <v>63</v>
      </c>
    </row>
    <row r="1270" spans="1:9" x14ac:dyDescent="0.25">
      <c r="A1270" s="1">
        <v>38629</v>
      </c>
      <c r="B1270">
        <v>1004</v>
      </c>
      <c r="C1270">
        <v>2005</v>
      </c>
      <c r="D1270">
        <v>1622</v>
      </c>
      <c r="E1270">
        <v>46</v>
      </c>
      <c r="F1270">
        <v>555</v>
      </c>
      <c r="G1270">
        <v>78</v>
      </c>
      <c r="H1270">
        <f>SUMIFS($F$2:F1270,$C$2:C1270,C1270)</f>
        <v>15114</v>
      </c>
      <c r="I1270" s="8">
        <f>STAMP_Escapement_Data[[#This Row],[DATE]]-DATE(STAMP_Escapement_Data[[#This Row],[YEAR]],8,1)</f>
        <v>64</v>
      </c>
    </row>
    <row r="1271" spans="1:9" x14ac:dyDescent="0.25">
      <c r="A1271" s="1">
        <v>38630</v>
      </c>
      <c r="B1271">
        <v>1005</v>
      </c>
      <c r="C1271">
        <v>2005</v>
      </c>
      <c r="D1271">
        <v>1183</v>
      </c>
      <c r="E1271">
        <v>38</v>
      </c>
      <c r="F1271">
        <v>744</v>
      </c>
      <c r="G1271">
        <v>117</v>
      </c>
      <c r="H1271">
        <f>SUMIFS($F$2:F1271,$C$2:C1271,C1271)</f>
        <v>15858</v>
      </c>
      <c r="I1271" s="8">
        <f>STAMP_Escapement_Data[[#This Row],[DATE]]-DATE(STAMP_Escapement_Data[[#This Row],[YEAR]],8,1)</f>
        <v>65</v>
      </c>
    </row>
    <row r="1272" spans="1:9" x14ac:dyDescent="0.25">
      <c r="A1272" s="1">
        <v>38631</v>
      </c>
      <c r="B1272">
        <v>1006</v>
      </c>
      <c r="C1272">
        <v>2005</v>
      </c>
      <c r="D1272">
        <v>1448</v>
      </c>
      <c r="E1272">
        <v>60</v>
      </c>
      <c r="F1272">
        <v>1103</v>
      </c>
      <c r="G1272">
        <v>183</v>
      </c>
      <c r="H1272">
        <f>SUMIFS($F$2:F1272,$C$2:C1272,C1272)</f>
        <v>16961</v>
      </c>
      <c r="I1272" s="8">
        <f>STAMP_Escapement_Data[[#This Row],[DATE]]-DATE(STAMP_Escapement_Data[[#This Row],[YEAR]],8,1)</f>
        <v>66</v>
      </c>
    </row>
    <row r="1273" spans="1:9" x14ac:dyDescent="0.25">
      <c r="A1273" s="1">
        <v>38632</v>
      </c>
      <c r="B1273">
        <v>1007</v>
      </c>
      <c r="C1273">
        <v>2005</v>
      </c>
      <c r="D1273">
        <v>1005</v>
      </c>
      <c r="E1273">
        <v>50</v>
      </c>
      <c r="F1273">
        <v>1105</v>
      </c>
      <c r="G1273">
        <v>207</v>
      </c>
      <c r="H1273">
        <f>SUMIFS($F$2:F1273,$C$2:C1273,C1273)</f>
        <v>18066</v>
      </c>
      <c r="I1273" s="8">
        <f>STAMP_Escapement_Data[[#This Row],[DATE]]-DATE(STAMP_Escapement_Data[[#This Row],[YEAR]],8,1)</f>
        <v>67</v>
      </c>
    </row>
    <row r="1274" spans="1:9" x14ac:dyDescent="0.25">
      <c r="A1274" s="1">
        <v>38633</v>
      </c>
      <c r="B1274">
        <v>1008</v>
      </c>
      <c r="C1274">
        <v>2005</v>
      </c>
      <c r="D1274">
        <v>794</v>
      </c>
      <c r="E1274">
        <v>22</v>
      </c>
      <c r="F1274">
        <v>615</v>
      </c>
      <c r="G1274">
        <v>103</v>
      </c>
      <c r="H1274">
        <f>SUMIFS($F$2:F1274,$C$2:C1274,C1274)</f>
        <v>18681</v>
      </c>
      <c r="I1274" s="8">
        <f>STAMP_Escapement_Data[[#This Row],[DATE]]-DATE(STAMP_Escapement_Data[[#This Row],[YEAR]],8,1)</f>
        <v>68</v>
      </c>
    </row>
    <row r="1275" spans="1:9" x14ac:dyDescent="0.25">
      <c r="A1275" s="1">
        <v>38634</v>
      </c>
      <c r="B1275">
        <v>1009</v>
      </c>
      <c r="C1275">
        <v>2005</v>
      </c>
      <c r="D1275">
        <v>705</v>
      </c>
      <c r="E1275">
        <v>10</v>
      </c>
      <c r="F1275">
        <v>609</v>
      </c>
      <c r="G1275">
        <v>130</v>
      </c>
      <c r="H1275">
        <f>SUMIFS($F$2:F1275,$C$2:C1275,C1275)</f>
        <v>19290</v>
      </c>
      <c r="I1275" s="8">
        <f>STAMP_Escapement_Data[[#This Row],[DATE]]-DATE(STAMP_Escapement_Data[[#This Row],[YEAR]],8,1)</f>
        <v>69</v>
      </c>
    </row>
    <row r="1276" spans="1:9" x14ac:dyDescent="0.25">
      <c r="A1276" s="1">
        <v>38635</v>
      </c>
      <c r="B1276">
        <v>1010</v>
      </c>
      <c r="C1276">
        <v>2005</v>
      </c>
      <c r="D1276">
        <v>350</v>
      </c>
      <c r="E1276">
        <v>11</v>
      </c>
      <c r="F1276">
        <v>692</v>
      </c>
      <c r="G1276">
        <v>133</v>
      </c>
      <c r="H1276">
        <f>SUMIFS($F$2:F1276,$C$2:C1276,C1276)</f>
        <v>19982</v>
      </c>
      <c r="I1276" s="8">
        <f>STAMP_Escapement_Data[[#This Row],[DATE]]-DATE(STAMP_Escapement_Data[[#This Row],[YEAR]],8,1)</f>
        <v>70</v>
      </c>
    </row>
    <row r="1277" spans="1:9" x14ac:dyDescent="0.25">
      <c r="A1277" s="1">
        <v>38636</v>
      </c>
      <c r="B1277">
        <v>1011</v>
      </c>
      <c r="C1277">
        <v>2005</v>
      </c>
      <c r="D1277">
        <v>1108</v>
      </c>
      <c r="E1277">
        <v>23</v>
      </c>
      <c r="F1277">
        <v>1686</v>
      </c>
      <c r="G1277">
        <v>286</v>
      </c>
      <c r="H1277">
        <f>SUMIFS($F$2:F1277,$C$2:C1277,C1277)</f>
        <v>21668</v>
      </c>
      <c r="I1277" s="8">
        <f>STAMP_Escapement_Data[[#This Row],[DATE]]-DATE(STAMP_Escapement_Data[[#This Row],[YEAR]],8,1)</f>
        <v>71</v>
      </c>
    </row>
    <row r="1278" spans="1:9" x14ac:dyDescent="0.25">
      <c r="A1278" s="1">
        <v>38637</v>
      </c>
      <c r="B1278">
        <v>1012</v>
      </c>
      <c r="C1278">
        <v>2005</v>
      </c>
      <c r="D1278">
        <v>622</v>
      </c>
      <c r="E1278">
        <v>46</v>
      </c>
      <c r="F1278">
        <v>1646</v>
      </c>
      <c r="G1278">
        <v>304</v>
      </c>
      <c r="H1278">
        <f>SUMIFS($F$2:F1278,$C$2:C1278,C1278)</f>
        <v>23314</v>
      </c>
      <c r="I1278" s="8">
        <f>STAMP_Escapement_Data[[#This Row],[DATE]]-DATE(STAMP_Escapement_Data[[#This Row],[YEAR]],8,1)</f>
        <v>72</v>
      </c>
    </row>
    <row r="1279" spans="1:9" x14ac:dyDescent="0.25">
      <c r="A1279" s="1">
        <v>38638</v>
      </c>
      <c r="B1279">
        <v>1013</v>
      </c>
      <c r="C1279">
        <v>2005</v>
      </c>
      <c r="D1279">
        <v>109</v>
      </c>
      <c r="E1279">
        <v>4</v>
      </c>
      <c r="F1279">
        <v>76</v>
      </c>
      <c r="G1279">
        <v>4</v>
      </c>
      <c r="H1279">
        <f>SUMIFS($F$2:F1279,$C$2:C1279,C1279)</f>
        <v>23390</v>
      </c>
      <c r="I1279" s="8">
        <f>STAMP_Escapement_Data[[#This Row],[DATE]]-DATE(STAMP_Escapement_Data[[#This Row],[YEAR]],8,1)</f>
        <v>73</v>
      </c>
    </row>
    <row r="1280" spans="1:9" x14ac:dyDescent="0.25">
      <c r="A1280" s="1">
        <v>38639</v>
      </c>
      <c r="B1280">
        <v>1014</v>
      </c>
      <c r="C1280">
        <v>2005</v>
      </c>
      <c r="D1280">
        <v>284</v>
      </c>
      <c r="E1280">
        <v>24</v>
      </c>
      <c r="F1280">
        <v>591</v>
      </c>
      <c r="G1280">
        <v>148</v>
      </c>
      <c r="H1280">
        <f>SUMIFS($F$2:F1280,$C$2:C1280,C1280)</f>
        <v>23981</v>
      </c>
      <c r="I1280" s="8">
        <f>STAMP_Escapement_Data[[#This Row],[DATE]]-DATE(STAMP_Escapement_Data[[#This Row],[YEAR]],8,1)</f>
        <v>74</v>
      </c>
    </row>
    <row r="1281" spans="1:9" x14ac:dyDescent="0.25">
      <c r="A1281" s="1">
        <v>38643</v>
      </c>
      <c r="B1281">
        <v>1018</v>
      </c>
      <c r="C1281">
        <v>2005</v>
      </c>
      <c r="D1281">
        <v>244</v>
      </c>
      <c r="E1281">
        <v>5</v>
      </c>
      <c r="F1281">
        <v>278</v>
      </c>
      <c r="G1281">
        <v>37</v>
      </c>
      <c r="H1281">
        <f>SUMIFS($F$2:F1281,$C$2:C1281,C1281)</f>
        <v>24259</v>
      </c>
      <c r="I1281" s="8">
        <f>STAMP_Escapement_Data[[#This Row],[DATE]]-DATE(STAMP_Escapement_Data[[#This Row],[YEAR]],8,1)</f>
        <v>78</v>
      </c>
    </row>
    <row r="1282" spans="1:9" x14ac:dyDescent="0.25">
      <c r="A1282" s="1">
        <v>38644</v>
      </c>
      <c r="B1282">
        <v>1019</v>
      </c>
      <c r="C1282">
        <v>2005</v>
      </c>
      <c r="D1282">
        <v>727</v>
      </c>
      <c r="E1282">
        <v>10</v>
      </c>
      <c r="F1282">
        <v>405</v>
      </c>
      <c r="G1282">
        <v>64</v>
      </c>
      <c r="H1282">
        <f>SUMIFS($F$2:F1282,$C$2:C1282,C1282)</f>
        <v>24664</v>
      </c>
      <c r="I1282" s="8">
        <f>STAMP_Escapement_Data[[#This Row],[DATE]]-DATE(STAMP_Escapement_Data[[#This Row],[YEAR]],8,1)</f>
        <v>79</v>
      </c>
    </row>
    <row r="1283" spans="1:9" x14ac:dyDescent="0.25">
      <c r="A1283" s="1">
        <v>38645</v>
      </c>
      <c r="B1283">
        <v>1020</v>
      </c>
      <c r="C1283">
        <v>2005</v>
      </c>
      <c r="D1283">
        <v>674</v>
      </c>
      <c r="E1283">
        <v>15</v>
      </c>
      <c r="F1283">
        <v>583</v>
      </c>
      <c r="G1283">
        <v>96</v>
      </c>
      <c r="H1283">
        <f>SUMIFS($F$2:F1283,$C$2:C1283,C1283)</f>
        <v>25247</v>
      </c>
      <c r="I1283" s="8">
        <f>STAMP_Escapement_Data[[#This Row],[DATE]]-DATE(STAMP_Escapement_Data[[#This Row],[YEAR]],8,1)</f>
        <v>80</v>
      </c>
    </row>
    <row r="1284" spans="1:9" x14ac:dyDescent="0.25">
      <c r="A1284" s="1">
        <v>38646</v>
      </c>
      <c r="B1284">
        <v>1021</v>
      </c>
      <c r="C1284">
        <v>2005</v>
      </c>
      <c r="D1284">
        <v>301</v>
      </c>
      <c r="E1284">
        <v>9</v>
      </c>
      <c r="F1284">
        <v>635</v>
      </c>
      <c r="G1284">
        <v>48</v>
      </c>
      <c r="H1284">
        <f>SUMIFS($F$2:F1284,$C$2:C1284,C1284)</f>
        <v>25882</v>
      </c>
      <c r="I1284" s="8">
        <f>STAMP_Escapement_Data[[#This Row],[DATE]]-DATE(STAMP_Escapement_Data[[#This Row],[YEAR]],8,1)</f>
        <v>81</v>
      </c>
    </row>
    <row r="1285" spans="1:9" x14ac:dyDescent="0.25">
      <c r="A1285" s="1">
        <v>38647</v>
      </c>
      <c r="B1285">
        <v>1022</v>
      </c>
      <c r="C1285">
        <v>2005</v>
      </c>
      <c r="D1285">
        <v>225</v>
      </c>
      <c r="E1285">
        <v>4</v>
      </c>
      <c r="F1285">
        <v>590</v>
      </c>
      <c r="G1285">
        <v>46</v>
      </c>
      <c r="H1285">
        <f>SUMIFS($F$2:F1285,$C$2:C1285,C1285)</f>
        <v>26472</v>
      </c>
      <c r="I1285" s="8">
        <f>STAMP_Escapement_Data[[#This Row],[DATE]]-DATE(STAMP_Escapement_Data[[#This Row],[YEAR]],8,1)</f>
        <v>82</v>
      </c>
    </row>
    <row r="1286" spans="1:9" x14ac:dyDescent="0.25">
      <c r="A1286" s="1">
        <v>38648</v>
      </c>
      <c r="B1286">
        <v>1023</v>
      </c>
      <c r="C1286">
        <v>2005</v>
      </c>
      <c r="D1286">
        <v>252</v>
      </c>
      <c r="E1286">
        <v>14</v>
      </c>
      <c r="F1286">
        <v>633</v>
      </c>
      <c r="G1286">
        <v>53</v>
      </c>
      <c r="H1286">
        <f>SUMIFS($F$2:F1286,$C$2:C1286,C1286)</f>
        <v>27105</v>
      </c>
      <c r="I1286" s="8">
        <f>STAMP_Escapement_Data[[#This Row],[DATE]]-DATE(STAMP_Escapement_Data[[#This Row],[YEAR]],8,1)</f>
        <v>83</v>
      </c>
    </row>
    <row r="1287" spans="1:9" x14ac:dyDescent="0.25">
      <c r="A1287" s="1">
        <v>38649</v>
      </c>
      <c r="B1287">
        <v>1024</v>
      </c>
      <c r="C1287">
        <v>2005</v>
      </c>
      <c r="D1287">
        <v>287</v>
      </c>
      <c r="E1287">
        <v>9</v>
      </c>
      <c r="F1287">
        <v>584</v>
      </c>
      <c r="G1287">
        <v>46</v>
      </c>
      <c r="H1287">
        <f>SUMIFS($F$2:F1287,$C$2:C1287,C1287)</f>
        <v>27689</v>
      </c>
      <c r="I1287" s="8">
        <f>STAMP_Escapement_Data[[#This Row],[DATE]]-DATE(STAMP_Escapement_Data[[#This Row],[YEAR]],8,1)</f>
        <v>84</v>
      </c>
    </row>
    <row r="1288" spans="1:9" x14ac:dyDescent="0.25">
      <c r="A1288" s="1">
        <v>38650</v>
      </c>
      <c r="B1288">
        <v>1025</v>
      </c>
      <c r="C1288">
        <v>2005</v>
      </c>
      <c r="D1288">
        <v>215</v>
      </c>
      <c r="E1288">
        <v>8</v>
      </c>
      <c r="F1288">
        <v>588</v>
      </c>
      <c r="G1288">
        <v>46</v>
      </c>
      <c r="H1288">
        <f>SUMIFS($F$2:F1288,$C$2:C1288,C1288)</f>
        <v>28277</v>
      </c>
      <c r="I1288" s="8">
        <f>STAMP_Escapement_Data[[#This Row],[DATE]]-DATE(STAMP_Escapement_Data[[#This Row],[YEAR]],8,1)</f>
        <v>85</v>
      </c>
    </row>
    <row r="1289" spans="1:9" x14ac:dyDescent="0.25">
      <c r="A1289" s="1">
        <v>38651</v>
      </c>
      <c r="B1289">
        <v>1026</v>
      </c>
      <c r="C1289">
        <v>2005</v>
      </c>
      <c r="D1289">
        <v>52</v>
      </c>
      <c r="E1289">
        <v>1</v>
      </c>
      <c r="F1289">
        <v>233</v>
      </c>
      <c r="G1289">
        <v>17</v>
      </c>
      <c r="H1289">
        <f>SUMIFS($F$2:F1289,$C$2:C1289,C1289)</f>
        <v>28510</v>
      </c>
      <c r="I1289" s="8">
        <f>STAMP_Escapement_Data[[#This Row],[DATE]]-DATE(STAMP_Escapement_Data[[#This Row],[YEAR]],8,1)</f>
        <v>86</v>
      </c>
    </row>
    <row r="1290" spans="1:9" x14ac:dyDescent="0.25">
      <c r="A1290" s="1">
        <v>38652</v>
      </c>
      <c r="B1290">
        <v>1027</v>
      </c>
      <c r="C1290">
        <v>2005</v>
      </c>
      <c r="D1290">
        <v>66</v>
      </c>
      <c r="E1290">
        <v>4</v>
      </c>
      <c r="F1290">
        <v>131</v>
      </c>
      <c r="G1290">
        <v>11</v>
      </c>
      <c r="H1290">
        <f>SUMIFS($F$2:F1290,$C$2:C1290,C1290)</f>
        <v>28641</v>
      </c>
      <c r="I1290" s="8">
        <f>STAMP_Escapement_Data[[#This Row],[DATE]]-DATE(STAMP_Escapement_Data[[#This Row],[YEAR]],8,1)</f>
        <v>87</v>
      </c>
    </row>
    <row r="1291" spans="1:9" x14ac:dyDescent="0.25">
      <c r="A1291" s="1">
        <v>38653</v>
      </c>
      <c r="B1291">
        <v>1028</v>
      </c>
      <c r="C1291">
        <v>2005</v>
      </c>
      <c r="D1291">
        <v>48</v>
      </c>
      <c r="E1291">
        <v>4</v>
      </c>
      <c r="F1291">
        <v>126</v>
      </c>
      <c r="G1291">
        <v>13</v>
      </c>
      <c r="H1291">
        <f>SUMIFS($F$2:F1291,$C$2:C1291,C1291)</f>
        <v>28767</v>
      </c>
      <c r="I1291" s="8">
        <f>STAMP_Escapement_Data[[#This Row],[DATE]]-DATE(STAMP_Escapement_Data[[#This Row],[YEAR]],8,1)</f>
        <v>88</v>
      </c>
    </row>
    <row r="1292" spans="1:9" x14ac:dyDescent="0.25">
      <c r="A1292" s="1">
        <v>38654</v>
      </c>
      <c r="B1292">
        <v>1029</v>
      </c>
      <c r="C1292">
        <v>2005</v>
      </c>
      <c r="D1292">
        <v>149</v>
      </c>
      <c r="E1292">
        <v>2</v>
      </c>
      <c r="F1292">
        <v>116</v>
      </c>
      <c r="G1292">
        <v>14</v>
      </c>
      <c r="H1292">
        <f>SUMIFS($F$2:F1292,$C$2:C1292,C1292)</f>
        <v>28883</v>
      </c>
      <c r="I1292" s="8">
        <f>STAMP_Escapement_Data[[#This Row],[DATE]]-DATE(STAMP_Escapement_Data[[#This Row],[YEAR]],8,1)</f>
        <v>89</v>
      </c>
    </row>
    <row r="1293" spans="1:9" x14ac:dyDescent="0.25">
      <c r="A1293" s="1">
        <v>38655</v>
      </c>
      <c r="B1293">
        <v>1030</v>
      </c>
      <c r="C1293">
        <v>2005</v>
      </c>
      <c r="D1293">
        <v>90</v>
      </c>
      <c r="E1293">
        <v>2</v>
      </c>
      <c r="F1293">
        <v>44</v>
      </c>
      <c r="G1293">
        <v>11</v>
      </c>
      <c r="H1293">
        <f>SUMIFS($F$2:F1293,$C$2:C1293,C1293)</f>
        <v>28927</v>
      </c>
      <c r="I1293" s="8">
        <f>STAMP_Escapement_Data[[#This Row],[DATE]]-DATE(STAMP_Escapement_Data[[#This Row],[YEAR]],8,1)</f>
        <v>90</v>
      </c>
    </row>
    <row r="1294" spans="1:9" x14ac:dyDescent="0.25">
      <c r="A1294" s="1">
        <v>38656</v>
      </c>
      <c r="B1294">
        <v>1031</v>
      </c>
      <c r="C1294">
        <v>2005</v>
      </c>
      <c r="D1294">
        <v>21</v>
      </c>
      <c r="E1294">
        <v>0</v>
      </c>
      <c r="F1294">
        <v>6</v>
      </c>
      <c r="G1294">
        <v>2</v>
      </c>
      <c r="H1294">
        <f>SUMIFS($F$2:F1294,$C$2:C1294,C1294)</f>
        <v>28933</v>
      </c>
      <c r="I1294" s="8">
        <f>STAMP_Escapement_Data[[#This Row],[DATE]]-DATE(STAMP_Escapement_Data[[#This Row],[YEAR]],8,1)</f>
        <v>91</v>
      </c>
    </row>
    <row r="1295" spans="1:9" x14ac:dyDescent="0.25">
      <c r="A1295" s="1">
        <v>38657</v>
      </c>
      <c r="B1295">
        <v>1101</v>
      </c>
      <c r="C1295">
        <v>2005</v>
      </c>
      <c r="D1295">
        <v>19</v>
      </c>
      <c r="E1295">
        <v>1</v>
      </c>
      <c r="F1295">
        <v>1</v>
      </c>
      <c r="G1295">
        <v>0</v>
      </c>
      <c r="H1295">
        <f>SUMIFS($F$2:F1295,$C$2:C1295,C1295)</f>
        <v>28934</v>
      </c>
      <c r="I1295" s="8">
        <f>STAMP_Escapement_Data[[#This Row],[DATE]]-DATE(STAMP_Escapement_Data[[#This Row],[YEAR]],8,1)</f>
        <v>92</v>
      </c>
    </row>
    <row r="1296" spans="1:9" x14ac:dyDescent="0.25">
      <c r="A1296" s="1">
        <v>38658</v>
      </c>
      <c r="B1296">
        <v>1102</v>
      </c>
      <c r="C1296">
        <v>2005</v>
      </c>
      <c r="D1296">
        <v>32</v>
      </c>
      <c r="E1296">
        <v>2</v>
      </c>
      <c r="F1296">
        <v>1</v>
      </c>
      <c r="G1296">
        <v>2</v>
      </c>
      <c r="H1296">
        <f>SUMIFS($F$2:F1296,$C$2:C1296,C1296)</f>
        <v>28935</v>
      </c>
      <c r="I1296" s="8">
        <f>STAMP_Escapement_Data[[#This Row],[DATE]]-DATE(STAMP_Escapement_Data[[#This Row],[YEAR]],8,1)</f>
        <v>93</v>
      </c>
    </row>
    <row r="1297" spans="1:9" x14ac:dyDescent="0.25">
      <c r="A1297" s="1">
        <v>38659</v>
      </c>
      <c r="B1297">
        <v>1103</v>
      </c>
      <c r="C1297">
        <v>2005</v>
      </c>
      <c r="D1297">
        <v>16</v>
      </c>
      <c r="E1297">
        <v>0</v>
      </c>
      <c r="F1297">
        <v>0</v>
      </c>
      <c r="G1297">
        <v>0</v>
      </c>
      <c r="H1297">
        <f>SUMIFS($F$2:F1297,$C$2:C1297,C1297)</f>
        <v>28935</v>
      </c>
      <c r="I1297" s="8">
        <f>STAMP_Escapement_Data[[#This Row],[DATE]]-DATE(STAMP_Escapement_Data[[#This Row],[YEAR]],8,1)</f>
        <v>94</v>
      </c>
    </row>
    <row r="1298" spans="1:9" x14ac:dyDescent="0.25">
      <c r="A1298" s="1">
        <v>38660</v>
      </c>
      <c r="B1298">
        <v>1104</v>
      </c>
      <c r="C1298">
        <v>2005</v>
      </c>
      <c r="D1298">
        <v>7</v>
      </c>
      <c r="E1298">
        <v>0</v>
      </c>
      <c r="F1298">
        <v>0</v>
      </c>
      <c r="G1298">
        <v>0</v>
      </c>
      <c r="H1298">
        <f>SUMIFS($F$2:F1298,$C$2:C1298,C1298)</f>
        <v>28935</v>
      </c>
      <c r="I1298" s="8">
        <f>STAMP_Escapement_Data[[#This Row],[DATE]]-DATE(STAMP_Escapement_Data[[#This Row],[YEAR]],8,1)</f>
        <v>95</v>
      </c>
    </row>
    <row r="1299" spans="1:9" x14ac:dyDescent="0.25">
      <c r="A1299" s="1">
        <v>38661</v>
      </c>
      <c r="B1299">
        <v>1105</v>
      </c>
      <c r="C1299">
        <v>2005</v>
      </c>
      <c r="D1299">
        <v>2</v>
      </c>
      <c r="E1299">
        <v>1</v>
      </c>
      <c r="F1299">
        <v>0</v>
      </c>
      <c r="G1299">
        <v>1</v>
      </c>
      <c r="H1299">
        <f>SUMIFS($F$2:F1299,$C$2:C1299,C1299)</f>
        <v>28935</v>
      </c>
      <c r="I1299" s="8">
        <f>STAMP_Escapement_Data[[#This Row],[DATE]]-DATE(STAMP_Escapement_Data[[#This Row],[YEAR]],8,1)</f>
        <v>96</v>
      </c>
    </row>
    <row r="1300" spans="1:9" x14ac:dyDescent="0.25">
      <c r="A1300" s="1">
        <v>38967</v>
      </c>
      <c r="B1300">
        <v>907</v>
      </c>
      <c r="C1300">
        <v>2006</v>
      </c>
      <c r="D1300">
        <v>391</v>
      </c>
      <c r="E1300">
        <v>50</v>
      </c>
      <c r="F1300">
        <v>950</v>
      </c>
      <c r="G1300">
        <v>82</v>
      </c>
      <c r="H1300">
        <f>SUMIFS($F$2:F1300,$C$2:C1300,C1300)</f>
        <v>950</v>
      </c>
      <c r="I1300" s="8">
        <f>STAMP_Escapement_Data[[#This Row],[DATE]]-DATE(STAMP_Escapement_Data[[#This Row],[YEAR]],8,1)</f>
        <v>37</v>
      </c>
    </row>
    <row r="1301" spans="1:9" x14ac:dyDescent="0.25">
      <c r="A1301" s="1">
        <v>38967</v>
      </c>
      <c r="B1301">
        <v>907</v>
      </c>
      <c r="C1301">
        <v>2006</v>
      </c>
      <c r="D1301">
        <v>13</v>
      </c>
      <c r="E1301">
        <v>24</v>
      </c>
      <c r="F1301">
        <v>69</v>
      </c>
      <c r="G1301">
        <v>8</v>
      </c>
      <c r="H1301">
        <f>SUMIFS($F$2:F1301,$C$2:C1301,C1301)</f>
        <v>1019</v>
      </c>
      <c r="I1301" s="8">
        <f>STAMP_Escapement_Data[[#This Row],[DATE]]-DATE(STAMP_Escapement_Data[[#This Row],[YEAR]],8,1)</f>
        <v>37</v>
      </c>
    </row>
    <row r="1302" spans="1:9" x14ac:dyDescent="0.25">
      <c r="A1302" s="1">
        <v>38968</v>
      </c>
      <c r="B1302">
        <v>908</v>
      </c>
      <c r="C1302">
        <v>2006</v>
      </c>
      <c r="D1302">
        <v>91</v>
      </c>
      <c r="E1302">
        <v>75</v>
      </c>
      <c r="F1302">
        <v>126</v>
      </c>
      <c r="G1302">
        <v>10</v>
      </c>
      <c r="H1302">
        <f>SUMIFS($F$2:F1302,$C$2:C1302,C1302)</f>
        <v>1145</v>
      </c>
      <c r="I1302" s="8">
        <f>STAMP_Escapement_Data[[#This Row],[DATE]]-DATE(STAMP_Escapement_Data[[#This Row],[YEAR]],8,1)</f>
        <v>38</v>
      </c>
    </row>
    <row r="1303" spans="1:9" x14ac:dyDescent="0.25">
      <c r="A1303" s="1">
        <v>38969</v>
      </c>
      <c r="B1303">
        <v>909</v>
      </c>
      <c r="C1303">
        <v>2006</v>
      </c>
      <c r="D1303">
        <v>317</v>
      </c>
      <c r="E1303">
        <v>116</v>
      </c>
      <c r="F1303">
        <v>530</v>
      </c>
      <c r="G1303">
        <v>34</v>
      </c>
      <c r="H1303">
        <f>SUMIFS($F$2:F1303,$C$2:C1303,C1303)</f>
        <v>1675</v>
      </c>
      <c r="I1303" s="8">
        <f>STAMP_Escapement_Data[[#This Row],[DATE]]-DATE(STAMP_Escapement_Data[[#This Row],[YEAR]],8,1)</f>
        <v>39</v>
      </c>
    </row>
    <row r="1304" spans="1:9" x14ac:dyDescent="0.25">
      <c r="A1304" s="1">
        <v>38970</v>
      </c>
      <c r="B1304">
        <v>910</v>
      </c>
      <c r="C1304">
        <v>2006</v>
      </c>
      <c r="D1304">
        <v>215</v>
      </c>
      <c r="E1304">
        <v>54</v>
      </c>
      <c r="F1304">
        <v>782</v>
      </c>
      <c r="G1304">
        <v>22</v>
      </c>
      <c r="H1304">
        <f>SUMIFS($F$2:F1304,$C$2:C1304,C1304)</f>
        <v>2457</v>
      </c>
      <c r="I1304" s="8">
        <f>STAMP_Escapement_Data[[#This Row],[DATE]]-DATE(STAMP_Escapement_Data[[#This Row],[YEAR]],8,1)</f>
        <v>40</v>
      </c>
    </row>
    <row r="1305" spans="1:9" x14ac:dyDescent="0.25">
      <c r="A1305" s="1">
        <v>38971</v>
      </c>
      <c r="B1305">
        <v>911</v>
      </c>
      <c r="C1305">
        <v>2006</v>
      </c>
      <c r="D1305">
        <v>107</v>
      </c>
      <c r="E1305">
        <v>30</v>
      </c>
      <c r="F1305">
        <v>327</v>
      </c>
      <c r="G1305">
        <v>8</v>
      </c>
      <c r="H1305">
        <f>SUMIFS($F$2:F1305,$C$2:C1305,C1305)</f>
        <v>2784</v>
      </c>
      <c r="I1305" s="8">
        <f>STAMP_Escapement_Data[[#This Row],[DATE]]-DATE(STAMP_Escapement_Data[[#This Row],[YEAR]],8,1)</f>
        <v>41</v>
      </c>
    </row>
    <row r="1306" spans="1:9" x14ac:dyDescent="0.25">
      <c r="A1306" s="1">
        <v>38972</v>
      </c>
      <c r="B1306">
        <v>912</v>
      </c>
      <c r="C1306">
        <v>2006</v>
      </c>
      <c r="D1306">
        <v>129</v>
      </c>
      <c r="E1306">
        <v>58</v>
      </c>
      <c r="F1306">
        <v>335</v>
      </c>
      <c r="G1306">
        <v>9</v>
      </c>
      <c r="H1306">
        <f>SUMIFS($F$2:F1306,$C$2:C1306,C1306)</f>
        <v>3119</v>
      </c>
      <c r="I1306" s="8">
        <f>STAMP_Escapement_Data[[#This Row],[DATE]]-DATE(STAMP_Escapement_Data[[#This Row],[YEAR]],8,1)</f>
        <v>42</v>
      </c>
    </row>
    <row r="1307" spans="1:9" x14ac:dyDescent="0.25">
      <c r="A1307" s="1">
        <v>38973</v>
      </c>
      <c r="B1307">
        <v>913</v>
      </c>
      <c r="C1307">
        <v>2006</v>
      </c>
      <c r="D1307">
        <v>163</v>
      </c>
      <c r="E1307">
        <v>109</v>
      </c>
      <c r="F1307">
        <v>371</v>
      </c>
      <c r="G1307">
        <v>4</v>
      </c>
      <c r="H1307">
        <f>SUMIFS($F$2:F1307,$C$2:C1307,C1307)</f>
        <v>3490</v>
      </c>
      <c r="I1307" s="8">
        <f>STAMP_Escapement_Data[[#This Row],[DATE]]-DATE(STAMP_Escapement_Data[[#This Row],[YEAR]],8,1)</f>
        <v>43</v>
      </c>
    </row>
    <row r="1308" spans="1:9" x14ac:dyDescent="0.25">
      <c r="A1308" s="1">
        <v>38974</v>
      </c>
      <c r="B1308">
        <v>914</v>
      </c>
      <c r="C1308">
        <v>2006</v>
      </c>
      <c r="D1308">
        <v>410</v>
      </c>
      <c r="E1308">
        <v>240</v>
      </c>
      <c r="F1308">
        <v>566</v>
      </c>
      <c r="G1308">
        <v>10</v>
      </c>
      <c r="H1308">
        <f>SUMIFS($F$2:F1308,$C$2:C1308,C1308)</f>
        <v>4056</v>
      </c>
      <c r="I1308" s="8">
        <f>STAMP_Escapement_Data[[#This Row],[DATE]]-DATE(STAMP_Escapement_Data[[#This Row],[YEAR]],8,1)</f>
        <v>44</v>
      </c>
    </row>
    <row r="1309" spans="1:9" x14ac:dyDescent="0.25">
      <c r="A1309" s="1">
        <v>38975</v>
      </c>
      <c r="B1309">
        <v>915</v>
      </c>
      <c r="C1309">
        <v>2006</v>
      </c>
      <c r="D1309">
        <v>839</v>
      </c>
      <c r="E1309">
        <v>323</v>
      </c>
      <c r="F1309">
        <v>770</v>
      </c>
      <c r="G1309">
        <v>7</v>
      </c>
      <c r="H1309">
        <f>SUMIFS($F$2:F1309,$C$2:C1309,C1309)</f>
        <v>4826</v>
      </c>
      <c r="I1309" s="8">
        <f>STAMP_Escapement_Data[[#This Row],[DATE]]-DATE(STAMP_Escapement_Data[[#This Row],[YEAR]],8,1)</f>
        <v>45</v>
      </c>
    </row>
    <row r="1310" spans="1:9" x14ac:dyDescent="0.25">
      <c r="A1310" s="1">
        <v>38976</v>
      </c>
      <c r="B1310">
        <v>916</v>
      </c>
      <c r="C1310">
        <v>2006</v>
      </c>
      <c r="D1310">
        <v>781</v>
      </c>
      <c r="E1310">
        <v>246</v>
      </c>
      <c r="F1310">
        <v>519</v>
      </c>
      <c r="G1310">
        <v>3</v>
      </c>
      <c r="H1310">
        <f>SUMIFS($F$2:F1310,$C$2:C1310,C1310)</f>
        <v>5345</v>
      </c>
      <c r="I1310" s="8">
        <f>STAMP_Escapement_Data[[#This Row],[DATE]]-DATE(STAMP_Escapement_Data[[#This Row],[YEAR]],8,1)</f>
        <v>46</v>
      </c>
    </row>
    <row r="1311" spans="1:9" x14ac:dyDescent="0.25">
      <c r="A1311" s="1">
        <v>38977</v>
      </c>
      <c r="B1311">
        <v>917</v>
      </c>
      <c r="C1311">
        <v>2006</v>
      </c>
      <c r="D1311">
        <v>387</v>
      </c>
      <c r="E1311">
        <v>277</v>
      </c>
      <c r="F1311">
        <v>787</v>
      </c>
      <c r="G1311">
        <v>20</v>
      </c>
      <c r="H1311">
        <f>SUMIFS($F$2:F1311,$C$2:C1311,C1311)</f>
        <v>6132</v>
      </c>
      <c r="I1311" s="8">
        <f>STAMP_Escapement_Data[[#This Row],[DATE]]-DATE(STAMP_Escapement_Data[[#This Row],[YEAR]],8,1)</f>
        <v>47</v>
      </c>
    </row>
    <row r="1312" spans="1:9" x14ac:dyDescent="0.25">
      <c r="A1312" s="1">
        <v>38978</v>
      </c>
      <c r="B1312">
        <v>918</v>
      </c>
      <c r="C1312">
        <v>2006</v>
      </c>
      <c r="D1312">
        <v>837</v>
      </c>
      <c r="E1312">
        <v>191</v>
      </c>
      <c r="F1312">
        <v>1944</v>
      </c>
      <c r="G1312">
        <v>35</v>
      </c>
      <c r="H1312">
        <f>SUMIFS($F$2:F1312,$C$2:C1312,C1312)</f>
        <v>8076</v>
      </c>
      <c r="I1312" s="8">
        <f>STAMP_Escapement_Data[[#This Row],[DATE]]-DATE(STAMP_Escapement_Data[[#This Row],[YEAR]],8,1)</f>
        <v>48</v>
      </c>
    </row>
    <row r="1313" spans="1:9" x14ac:dyDescent="0.25">
      <c r="A1313" s="1">
        <v>38979</v>
      </c>
      <c r="B1313">
        <v>919</v>
      </c>
      <c r="C1313">
        <v>2006</v>
      </c>
      <c r="D1313">
        <v>388</v>
      </c>
      <c r="E1313">
        <v>194</v>
      </c>
      <c r="F1313">
        <v>843</v>
      </c>
      <c r="G1313">
        <v>19</v>
      </c>
      <c r="H1313">
        <f>SUMIFS($F$2:F1313,$C$2:C1313,C1313)</f>
        <v>8919</v>
      </c>
      <c r="I1313" s="8">
        <f>STAMP_Escapement_Data[[#This Row],[DATE]]-DATE(STAMP_Escapement_Data[[#This Row],[YEAR]],8,1)</f>
        <v>49</v>
      </c>
    </row>
    <row r="1314" spans="1:9" x14ac:dyDescent="0.25">
      <c r="A1314" s="1">
        <v>38980</v>
      </c>
      <c r="B1314">
        <v>920</v>
      </c>
      <c r="C1314">
        <v>2006</v>
      </c>
      <c r="D1314">
        <v>492</v>
      </c>
      <c r="E1314">
        <v>203</v>
      </c>
      <c r="F1314">
        <v>831</v>
      </c>
      <c r="G1314">
        <v>18</v>
      </c>
      <c r="H1314">
        <f>SUMIFS($F$2:F1314,$C$2:C1314,C1314)</f>
        <v>9750</v>
      </c>
      <c r="I1314" s="8">
        <f>STAMP_Escapement_Data[[#This Row],[DATE]]-DATE(STAMP_Escapement_Data[[#This Row],[YEAR]],8,1)</f>
        <v>50</v>
      </c>
    </row>
    <row r="1315" spans="1:9" x14ac:dyDescent="0.25">
      <c r="A1315" s="1">
        <v>38981</v>
      </c>
      <c r="B1315">
        <v>921</v>
      </c>
      <c r="C1315">
        <v>2006</v>
      </c>
      <c r="D1315">
        <v>473</v>
      </c>
      <c r="E1315">
        <v>240</v>
      </c>
      <c r="F1315">
        <v>1131</v>
      </c>
      <c r="G1315">
        <v>6</v>
      </c>
      <c r="H1315">
        <f>SUMIFS($F$2:F1315,$C$2:C1315,C1315)</f>
        <v>10881</v>
      </c>
      <c r="I1315" s="8">
        <f>STAMP_Escapement_Data[[#This Row],[DATE]]-DATE(STAMP_Escapement_Data[[#This Row],[YEAR]],8,1)</f>
        <v>51</v>
      </c>
    </row>
    <row r="1316" spans="1:9" x14ac:dyDescent="0.25">
      <c r="A1316" s="1">
        <v>38982</v>
      </c>
      <c r="B1316">
        <v>922</v>
      </c>
      <c r="C1316">
        <v>2006</v>
      </c>
      <c r="D1316">
        <v>440</v>
      </c>
      <c r="E1316">
        <v>204</v>
      </c>
      <c r="F1316">
        <v>996</v>
      </c>
      <c r="G1316">
        <v>10</v>
      </c>
      <c r="H1316">
        <f>SUMIFS($F$2:F1316,$C$2:C1316,C1316)</f>
        <v>11877</v>
      </c>
      <c r="I1316" s="8">
        <f>STAMP_Escapement_Data[[#This Row],[DATE]]-DATE(STAMP_Escapement_Data[[#This Row],[YEAR]],8,1)</f>
        <v>52</v>
      </c>
    </row>
    <row r="1317" spans="1:9" x14ac:dyDescent="0.25">
      <c r="A1317" s="1">
        <v>38983</v>
      </c>
      <c r="B1317">
        <v>923</v>
      </c>
      <c r="C1317">
        <v>2006</v>
      </c>
      <c r="D1317">
        <v>425</v>
      </c>
      <c r="E1317">
        <v>203</v>
      </c>
      <c r="F1317">
        <v>1138</v>
      </c>
      <c r="G1317">
        <v>7</v>
      </c>
      <c r="H1317">
        <f>SUMIFS($F$2:F1317,$C$2:C1317,C1317)</f>
        <v>13015</v>
      </c>
      <c r="I1317" s="8">
        <f>STAMP_Escapement_Data[[#This Row],[DATE]]-DATE(STAMP_Escapement_Data[[#This Row],[YEAR]],8,1)</f>
        <v>53</v>
      </c>
    </row>
    <row r="1318" spans="1:9" x14ac:dyDescent="0.25">
      <c r="A1318" s="1">
        <v>38984</v>
      </c>
      <c r="B1318">
        <v>924</v>
      </c>
      <c r="C1318">
        <v>2006</v>
      </c>
      <c r="D1318">
        <v>341</v>
      </c>
      <c r="E1318">
        <v>294</v>
      </c>
      <c r="F1318">
        <v>1132</v>
      </c>
      <c r="G1318">
        <v>18</v>
      </c>
      <c r="H1318">
        <f>SUMIFS($F$2:F1318,$C$2:C1318,C1318)</f>
        <v>14147</v>
      </c>
      <c r="I1318" s="8">
        <f>STAMP_Escapement_Data[[#This Row],[DATE]]-DATE(STAMP_Escapement_Data[[#This Row],[YEAR]],8,1)</f>
        <v>54</v>
      </c>
    </row>
    <row r="1319" spans="1:9" x14ac:dyDescent="0.25">
      <c r="A1319" s="1">
        <v>38985</v>
      </c>
      <c r="B1319">
        <v>925</v>
      </c>
      <c r="C1319">
        <v>2006</v>
      </c>
      <c r="D1319">
        <v>345</v>
      </c>
      <c r="E1319">
        <v>318</v>
      </c>
      <c r="F1319">
        <v>1319</v>
      </c>
      <c r="G1319">
        <v>41</v>
      </c>
      <c r="H1319">
        <f>SUMIFS($F$2:F1319,$C$2:C1319,C1319)</f>
        <v>15466</v>
      </c>
      <c r="I1319" s="8">
        <f>STAMP_Escapement_Data[[#This Row],[DATE]]-DATE(STAMP_Escapement_Data[[#This Row],[YEAR]],8,1)</f>
        <v>55</v>
      </c>
    </row>
    <row r="1320" spans="1:9" x14ac:dyDescent="0.25">
      <c r="A1320" s="1">
        <v>38986</v>
      </c>
      <c r="B1320">
        <v>926</v>
      </c>
      <c r="C1320">
        <v>2006</v>
      </c>
      <c r="D1320">
        <v>388</v>
      </c>
      <c r="E1320">
        <v>411</v>
      </c>
      <c r="F1320">
        <v>1541</v>
      </c>
      <c r="G1320">
        <v>39</v>
      </c>
      <c r="H1320">
        <f>SUMIFS($F$2:F1320,$C$2:C1320,C1320)</f>
        <v>17007</v>
      </c>
      <c r="I1320" s="8">
        <f>STAMP_Escapement_Data[[#This Row],[DATE]]-DATE(STAMP_Escapement_Data[[#This Row],[YEAR]],8,1)</f>
        <v>56</v>
      </c>
    </row>
    <row r="1321" spans="1:9" x14ac:dyDescent="0.25">
      <c r="A1321" s="1">
        <v>38987</v>
      </c>
      <c r="B1321">
        <v>927</v>
      </c>
      <c r="C1321">
        <v>2006</v>
      </c>
      <c r="D1321">
        <v>426</v>
      </c>
      <c r="E1321">
        <v>328</v>
      </c>
      <c r="F1321">
        <v>1841</v>
      </c>
      <c r="G1321">
        <v>38</v>
      </c>
      <c r="H1321">
        <f>SUMIFS($F$2:F1321,$C$2:C1321,C1321)</f>
        <v>18848</v>
      </c>
      <c r="I1321" s="8">
        <f>STAMP_Escapement_Data[[#This Row],[DATE]]-DATE(STAMP_Escapement_Data[[#This Row],[YEAR]],8,1)</f>
        <v>57</v>
      </c>
    </row>
    <row r="1322" spans="1:9" x14ac:dyDescent="0.25">
      <c r="A1322" s="1">
        <v>38988</v>
      </c>
      <c r="B1322">
        <v>928</v>
      </c>
      <c r="C1322">
        <v>2006</v>
      </c>
      <c r="D1322">
        <v>391</v>
      </c>
      <c r="E1322">
        <v>219</v>
      </c>
      <c r="F1322">
        <v>1945</v>
      </c>
      <c r="G1322">
        <v>68</v>
      </c>
      <c r="H1322">
        <f>SUMIFS($F$2:F1322,$C$2:C1322,C1322)</f>
        <v>20793</v>
      </c>
      <c r="I1322" s="8">
        <f>STAMP_Escapement_Data[[#This Row],[DATE]]-DATE(STAMP_Escapement_Data[[#This Row],[YEAR]],8,1)</f>
        <v>58</v>
      </c>
    </row>
    <row r="1323" spans="1:9" x14ac:dyDescent="0.25">
      <c r="A1323" s="1">
        <v>38989</v>
      </c>
      <c r="B1323">
        <v>929</v>
      </c>
      <c r="C1323">
        <v>2006</v>
      </c>
      <c r="D1323">
        <v>197</v>
      </c>
      <c r="E1323">
        <v>182</v>
      </c>
      <c r="F1323">
        <v>1055</v>
      </c>
      <c r="G1323">
        <v>17</v>
      </c>
      <c r="H1323">
        <f>SUMIFS($F$2:F1323,$C$2:C1323,C1323)</f>
        <v>21848</v>
      </c>
      <c r="I1323" s="8">
        <f>STAMP_Escapement_Data[[#This Row],[DATE]]-DATE(STAMP_Escapement_Data[[#This Row],[YEAR]],8,1)</f>
        <v>59</v>
      </c>
    </row>
    <row r="1324" spans="1:9" x14ac:dyDescent="0.25">
      <c r="A1324" s="1">
        <v>38990</v>
      </c>
      <c r="B1324">
        <v>930</v>
      </c>
      <c r="C1324">
        <v>2006</v>
      </c>
      <c r="D1324">
        <v>147</v>
      </c>
      <c r="E1324">
        <v>172</v>
      </c>
      <c r="F1324">
        <v>986</v>
      </c>
      <c r="G1324">
        <v>13</v>
      </c>
      <c r="H1324">
        <f>SUMIFS($F$2:F1324,$C$2:C1324,C1324)</f>
        <v>22834</v>
      </c>
      <c r="I1324" s="8">
        <f>STAMP_Escapement_Data[[#This Row],[DATE]]-DATE(STAMP_Escapement_Data[[#This Row],[YEAR]],8,1)</f>
        <v>60</v>
      </c>
    </row>
    <row r="1325" spans="1:9" x14ac:dyDescent="0.25">
      <c r="A1325" s="1">
        <v>38991</v>
      </c>
      <c r="B1325">
        <v>1001</v>
      </c>
      <c r="C1325">
        <v>2006</v>
      </c>
      <c r="D1325">
        <v>161</v>
      </c>
      <c r="E1325">
        <v>177</v>
      </c>
      <c r="F1325">
        <v>1169</v>
      </c>
      <c r="G1325">
        <v>17</v>
      </c>
      <c r="H1325">
        <f>SUMIFS($F$2:F1325,$C$2:C1325,C1325)</f>
        <v>24003</v>
      </c>
      <c r="I1325" s="8">
        <f>STAMP_Escapement_Data[[#This Row],[DATE]]-DATE(STAMP_Escapement_Data[[#This Row],[YEAR]],8,1)</f>
        <v>61</v>
      </c>
    </row>
    <row r="1326" spans="1:9" x14ac:dyDescent="0.25">
      <c r="A1326" s="1">
        <v>38992</v>
      </c>
      <c r="B1326">
        <v>1002</v>
      </c>
      <c r="C1326">
        <v>2006</v>
      </c>
      <c r="D1326">
        <v>151</v>
      </c>
      <c r="E1326">
        <v>138</v>
      </c>
      <c r="F1326">
        <v>1101</v>
      </c>
      <c r="G1326">
        <v>18</v>
      </c>
      <c r="H1326">
        <f>SUMIFS($F$2:F1326,$C$2:C1326,C1326)</f>
        <v>25104</v>
      </c>
      <c r="I1326" s="8">
        <f>STAMP_Escapement_Data[[#This Row],[DATE]]-DATE(STAMP_Escapement_Data[[#This Row],[YEAR]],8,1)</f>
        <v>62</v>
      </c>
    </row>
    <row r="1327" spans="1:9" x14ac:dyDescent="0.25">
      <c r="A1327" s="1">
        <v>38993</v>
      </c>
      <c r="B1327">
        <v>1003</v>
      </c>
      <c r="C1327">
        <v>2006</v>
      </c>
      <c r="D1327">
        <v>155</v>
      </c>
      <c r="E1327">
        <v>112</v>
      </c>
      <c r="F1327">
        <v>938</v>
      </c>
      <c r="G1327">
        <v>22</v>
      </c>
      <c r="H1327">
        <f>SUMIFS($F$2:F1327,$C$2:C1327,C1327)</f>
        <v>26042</v>
      </c>
      <c r="I1327" s="8">
        <f>STAMP_Escapement_Data[[#This Row],[DATE]]-DATE(STAMP_Escapement_Data[[#This Row],[YEAR]],8,1)</f>
        <v>63</v>
      </c>
    </row>
    <row r="1328" spans="1:9" x14ac:dyDescent="0.25">
      <c r="A1328" s="1">
        <v>38994</v>
      </c>
      <c r="B1328">
        <v>1004</v>
      </c>
      <c r="C1328">
        <v>2006</v>
      </c>
      <c r="D1328">
        <v>146</v>
      </c>
      <c r="E1328">
        <v>153</v>
      </c>
      <c r="F1328">
        <v>838</v>
      </c>
      <c r="G1328">
        <v>17</v>
      </c>
      <c r="H1328">
        <f>SUMIFS($F$2:F1328,$C$2:C1328,C1328)</f>
        <v>26880</v>
      </c>
      <c r="I1328" s="8">
        <f>STAMP_Escapement_Data[[#This Row],[DATE]]-DATE(STAMP_Escapement_Data[[#This Row],[YEAR]],8,1)</f>
        <v>64</v>
      </c>
    </row>
    <row r="1329" spans="1:9" x14ac:dyDescent="0.25">
      <c r="A1329" s="1">
        <v>38995</v>
      </c>
      <c r="B1329">
        <v>1005</v>
      </c>
      <c r="C1329">
        <v>2006</v>
      </c>
      <c r="D1329">
        <v>139</v>
      </c>
      <c r="E1329">
        <v>90</v>
      </c>
      <c r="F1329">
        <v>776</v>
      </c>
      <c r="G1329">
        <v>13</v>
      </c>
      <c r="H1329">
        <f>SUMIFS($F$2:F1329,$C$2:C1329,C1329)</f>
        <v>27656</v>
      </c>
      <c r="I1329" s="8">
        <f>STAMP_Escapement_Data[[#This Row],[DATE]]-DATE(STAMP_Escapement_Data[[#This Row],[YEAR]],8,1)</f>
        <v>65</v>
      </c>
    </row>
    <row r="1330" spans="1:9" x14ac:dyDescent="0.25">
      <c r="A1330" s="1">
        <v>38996</v>
      </c>
      <c r="B1330">
        <v>1006</v>
      </c>
      <c r="C1330">
        <v>2006</v>
      </c>
      <c r="D1330">
        <v>121</v>
      </c>
      <c r="E1330">
        <v>86</v>
      </c>
      <c r="F1330">
        <v>657</v>
      </c>
      <c r="G1330">
        <v>5</v>
      </c>
      <c r="H1330">
        <f>SUMIFS($F$2:F1330,$C$2:C1330,C1330)</f>
        <v>28313</v>
      </c>
      <c r="I1330" s="8">
        <f>STAMP_Escapement_Data[[#This Row],[DATE]]-DATE(STAMP_Escapement_Data[[#This Row],[YEAR]],8,1)</f>
        <v>66</v>
      </c>
    </row>
    <row r="1331" spans="1:9" x14ac:dyDescent="0.25">
      <c r="A1331" s="1">
        <v>38997</v>
      </c>
      <c r="B1331">
        <v>1007</v>
      </c>
      <c r="C1331">
        <v>2006</v>
      </c>
      <c r="D1331">
        <v>121</v>
      </c>
      <c r="E1331">
        <v>85</v>
      </c>
      <c r="F1331">
        <v>990</v>
      </c>
      <c r="G1331">
        <v>16</v>
      </c>
      <c r="H1331">
        <f>SUMIFS($F$2:F1331,$C$2:C1331,C1331)</f>
        <v>29303</v>
      </c>
      <c r="I1331" s="8">
        <f>STAMP_Escapement_Data[[#This Row],[DATE]]-DATE(STAMP_Escapement_Data[[#This Row],[YEAR]],8,1)</f>
        <v>67</v>
      </c>
    </row>
    <row r="1332" spans="1:9" x14ac:dyDescent="0.25">
      <c r="A1332" s="1">
        <v>38998</v>
      </c>
      <c r="B1332">
        <v>1008</v>
      </c>
      <c r="C1332">
        <v>2006</v>
      </c>
      <c r="D1332">
        <v>108</v>
      </c>
      <c r="E1332">
        <v>78</v>
      </c>
      <c r="F1332">
        <v>1021</v>
      </c>
      <c r="G1332">
        <v>9</v>
      </c>
      <c r="H1332">
        <f>SUMIFS($F$2:F1332,$C$2:C1332,C1332)</f>
        <v>30324</v>
      </c>
      <c r="I1332" s="8">
        <f>STAMP_Escapement_Data[[#This Row],[DATE]]-DATE(STAMP_Escapement_Data[[#This Row],[YEAR]],8,1)</f>
        <v>68</v>
      </c>
    </row>
    <row r="1333" spans="1:9" x14ac:dyDescent="0.25">
      <c r="A1333" s="1">
        <v>38999</v>
      </c>
      <c r="B1333">
        <v>1009</v>
      </c>
      <c r="C1333">
        <v>2006</v>
      </c>
      <c r="D1333">
        <v>133</v>
      </c>
      <c r="E1333">
        <v>60</v>
      </c>
      <c r="F1333">
        <v>1024</v>
      </c>
      <c r="G1333">
        <v>12</v>
      </c>
      <c r="H1333">
        <f>SUMIFS($F$2:F1333,$C$2:C1333,C1333)</f>
        <v>31348</v>
      </c>
      <c r="I1333" s="8">
        <f>STAMP_Escapement_Data[[#This Row],[DATE]]-DATE(STAMP_Escapement_Data[[#This Row],[YEAR]],8,1)</f>
        <v>69</v>
      </c>
    </row>
    <row r="1334" spans="1:9" x14ac:dyDescent="0.25">
      <c r="A1334" s="1">
        <v>39000</v>
      </c>
      <c r="B1334">
        <v>1010</v>
      </c>
      <c r="C1334">
        <v>2006</v>
      </c>
      <c r="D1334">
        <v>54</v>
      </c>
      <c r="E1334">
        <v>53</v>
      </c>
      <c r="F1334">
        <v>898</v>
      </c>
      <c r="G1334">
        <v>8</v>
      </c>
      <c r="H1334">
        <f>SUMIFS($F$2:F1334,$C$2:C1334,C1334)</f>
        <v>32246</v>
      </c>
      <c r="I1334" s="8">
        <f>STAMP_Escapement_Data[[#This Row],[DATE]]-DATE(STAMP_Escapement_Data[[#This Row],[YEAR]],8,1)</f>
        <v>70</v>
      </c>
    </row>
    <row r="1335" spans="1:9" x14ac:dyDescent="0.25">
      <c r="A1335" s="1">
        <v>39001</v>
      </c>
      <c r="B1335">
        <v>1011</v>
      </c>
      <c r="C1335">
        <v>2006</v>
      </c>
      <c r="D1335">
        <v>46</v>
      </c>
      <c r="E1335">
        <v>42</v>
      </c>
      <c r="F1335">
        <v>981</v>
      </c>
      <c r="G1335">
        <v>14</v>
      </c>
      <c r="H1335">
        <f>SUMIFS($F$2:F1335,$C$2:C1335,C1335)</f>
        <v>33227</v>
      </c>
      <c r="I1335" s="8">
        <f>STAMP_Escapement_Data[[#This Row],[DATE]]-DATE(STAMP_Escapement_Data[[#This Row],[YEAR]],8,1)</f>
        <v>71</v>
      </c>
    </row>
    <row r="1336" spans="1:9" x14ac:dyDescent="0.25">
      <c r="A1336" s="1">
        <v>39002</v>
      </c>
      <c r="B1336">
        <v>1012</v>
      </c>
      <c r="C1336">
        <v>2006</v>
      </c>
      <c r="D1336">
        <v>31</v>
      </c>
      <c r="E1336">
        <v>37</v>
      </c>
      <c r="F1336">
        <v>986</v>
      </c>
      <c r="G1336">
        <v>16</v>
      </c>
      <c r="H1336">
        <f>SUMIFS($F$2:F1336,$C$2:C1336,C1336)</f>
        <v>34213</v>
      </c>
      <c r="I1336" s="8">
        <f>STAMP_Escapement_Data[[#This Row],[DATE]]-DATE(STAMP_Escapement_Data[[#This Row],[YEAR]],8,1)</f>
        <v>72</v>
      </c>
    </row>
    <row r="1337" spans="1:9" x14ac:dyDescent="0.25">
      <c r="A1337" s="1">
        <v>39003</v>
      </c>
      <c r="B1337">
        <v>1013</v>
      </c>
      <c r="C1337">
        <v>2006</v>
      </c>
      <c r="D1337">
        <v>39</v>
      </c>
      <c r="E1337">
        <v>24</v>
      </c>
      <c r="F1337">
        <v>833</v>
      </c>
      <c r="G1337">
        <v>8</v>
      </c>
      <c r="H1337">
        <f>SUMIFS($F$2:F1337,$C$2:C1337,C1337)</f>
        <v>35046</v>
      </c>
      <c r="I1337" s="8">
        <f>STAMP_Escapement_Data[[#This Row],[DATE]]-DATE(STAMP_Escapement_Data[[#This Row],[YEAR]],8,1)</f>
        <v>73</v>
      </c>
    </row>
    <row r="1338" spans="1:9" x14ac:dyDescent="0.25">
      <c r="A1338" s="1">
        <v>39004</v>
      </c>
      <c r="B1338">
        <v>1014</v>
      </c>
      <c r="C1338">
        <v>2006</v>
      </c>
      <c r="D1338">
        <v>34</v>
      </c>
      <c r="E1338">
        <v>33</v>
      </c>
      <c r="F1338">
        <v>965</v>
      </c>
      <c r="G1338">
        <v>10</v>
      </c>
      <c r="H1338">
        <f>SUMIFS($F$2:F1338,$C$2:C1338,C1338)</f>
        <v>36011</v>
      </c>
      <c r="I1338" s="8">
        <f>STAMP_Escapement_Data[[#This Row],[DATE]]-DATE(STAMP_Escapement_Data[[#This Row],[YEAR]],8,1)</f>
        <v>74</v>
      </c>
    </row>
    <row r="1339" spans="1:9" x14ac:dyDescent="0.25">
      <c r="A1339" s="1">
        <v>39005</v>
      </c>
      <c r="B1339">
        <v>1015</v>
      </c>
      <c r="C1339">
        <v>2006</v>
      </c>
      <c r="D1339">
        <v>42</v>
      </c>
      <c r="E1339">
        <v>42</v>
      </c>
      <c r="F1339">
        <v>1206</v>
      </c>
      <c r="G1339">
        <v>7</v>
      </c>
      <c r="H1339">
        <f>SUMIFS($F$2:F1339,$C$2:C1339,C1339)</f>
        <v>37217</v>
      </c>
      <c r="I1339" s="8">
        <f>STAMP_Escapement_Data[[#This Row],[DATE]]-DATE(STAMP_Escapement_Data[[#This Row],[YEAR]],8,1)</f>
        <v>75</v>
      </c>
    </row>
    <row r="1340" spans="1:9" x14ac:dyDescent="0.25">
      <c r="A1340" s="1">
        <v>39006</v>
      </c>
      <c r="B1340">
        <v>1016</v>
      </c>
      <c r="C1340">
        <v>2006</v>
      </c>
      <c r="D1340">
        <v>41</v>
      </c>
      <c r="E1340">
        <v>46</v>
      </c>
      <c r="F1340">
        <v>858</v>
      </c>
      <c r="G1340">
        <v>14</v>
      </c>
      <c r="H1340">
        <f>SUMIFS($F$2:F1340,$C$2:C1340,C1340)</f>
        <v>38075</v>
      </c>
      <c r="I1340" s="8">
        <f>STAMP_Escapement_Data[[#This Row],[DATE]]-DATE(STAMP_Escapement_Data[[#This Row],[YEAR]],8,1)</f>
        <v>76</v>
      </c>
    </row>
    <row r="1341" spans="1:9" x14ac:dyDescent="0.25">
      <c r="A1341" s="1">
        <v>39007</v>
      </c>
      <c r="B1341">
        <v>1017</v>
      </c>
      <c r="C1341">
        <v>2006</v>
      </c>
      <c r="D1341">
        <v>59</v>
      </c>
      <c r="E1341">
        <v>48</v>
      </c>
      <c r="F1341">
        <v>912</v>
      </c>
      <c r="G1341">
        <v>14</v>
      </c>
      <c r="H1341">
        <f>SUMIFS($F$2:F1341,$C$2:C1341,C1341)</f>
        <v>38987</v>
      </c>
      <c r="I1341" s="8">
        <f>STAMP_Escapement_Data[[#This Row],[DATE]]-DATE(STAMP_Escapement_Data[[#This Row],[YEAR]],8,1)</f>
        <v>77</v>
      </c>
    </row>
    <row r="1342" spans="1:9" x14ac:dyDescent="0.25">
      <c r="A1342" s="1">
        <v>39008</v>
      </c>
      <c r="B1342">
        <v>1018</v>
      </c>
      <c r="C1342">
        <v>2006</v>
      </c>
      <c r="D1342">
        <v>24</v>
      </c>
      <c r="E1342">
        <v>21</v>
      </c>
      <c r="F1342">
        <v>1350</v>
      </c>
      <c r="G1342">
        <v>12</v>
      </c>
      <c r="H1342">
        <f>SUMIFS($F$2:F1342,$C$2:C1342,C1342)</f>
        <v>40337</v>
      </c>
      <c r="I1342" s="8">
        <f>STAMP_Escapement_Data[[#This Row],[DATE]]-DATE(STAMP_Escapement_Data[[#This Row],[YEAR]],8,1)</f>
        <v>78</v>
      </c>
    </row>
    <row r="1343" spans="1:9" x14ac:dyDescent="0.25">
      <c r="A1343" s="1">
        <v>39009</v>
      </c>
      <c r="B1343">
        <v>1019</v>
      </c>
      <c r="C1343">
        <v>2006</v>
      </c>
      <c r="D1343">
        <v>25</v>
      </c>
      <c r="E1343">
        <v>23</v>
      </c>
      <c r="F1343">
        <v>862</v>
      </c>
      <c r="G1343">
        <v>10</v>
      </c>
      <c r="H1343">
        <f>SUMIFS($F$2:F1343,$C$2:C1343,C1343)</f>
        <v>41199</v>
      </c>
      <c r="I1343" s="8">
        <f>STAMP_Escapement_Data[[#This Row],[DATE]]-DATE(STAMP_Escapement_Data[[#This Row],[YEAR]],8,1)</f>
        <v>79</v>
      </c>
    </row>
    <row r="1344" spans="1:9" x14ac:dyDescent="0.25">
      <c r="A1344" s="1">
        <v>39010</v>
      </c>
      <c r="B1344">
        <v>1020</v>
      </c>
      <c r="C1344">
        <v>2006</v>
      </c>
      <c r="D1344">
        <v>24</v>
      </c>
      <c r="E1344">
        <v>18</v>
      </c>
      <c r="F1344">
        <v>683</v>
      </c>
      <c r="G1344">
        <v>9</v>
      </c>
      <c r="H1344">
        <f>SUMIFS($F$2:F1344,$C$2:C1344,C1344)</f>
        <v>41882</v>
      </c>
      <c r="I1344" s="8">
        <f>STAMP_Escapement_Data[[#This Row],[DATE]]-DATE(STAMP_Escapement_Data[[#This Row],[YEAR]],8,1)</f>
        <v>80</v>
      </c>
    </row>
    <row r="1345" spans="1:9" x14ac:dyDescent="0.25">
      <c r="A1345" s="1">
        <v>39011</v>
      </c>
      <c r="B1345">
        <v>1021</v>
      </c>
      <c r="C1345">
        <v>2006</v>
      </c>
      <c r="D1345">
        <v>30</v>
      </c>
      <c r="E1345">
        <v>15</v>
      </c>
      <c r="F1345">
        <v>1053</v>
      </c>
      <c r="G1345">
        <v>12</v>
      </c>
      <c r="H1345">
        <f>SUMIFS($F$2:F1345,$C$2:C1345,C1345)</f>
        <v>42935</v>
      </c>
      <c r="I1345" s="8">
        <f>STAMP_Escapement_Data[[#This Row],[DATE]]-DATE(STAMP_Escapement_Data[[#This Row],[YEAR]],8,1)</f>
        <v>81</v>
      </c>
    </row>
    <row r="1346" spans="1:9" x14ac:dyDescent="0.25">
      <c r="A1346" s="1">
        <v>39012</v>
      </c>
      <c r="B1346">
        <v>1022</v>
      </c>
      <c r="C1346">
        <v>2006</v>
      </c>
      <c r="D1346">
        <v>28</v>
      </c>
      <c r="E1346">
        <v>7</v>
      </c>
      <c r="F1346">
        <v>810</v>
      </c>
      <c r="G1346">
        <v>5</v>
      </c>
      <c r="H1346">
        <f>SUMIFS($F$2:F1346,$C$2:C1346,C1346)</f>
        <v>43745</v>
      </c>
      <c r="I1346" s="8">
        <f>STAMP_Escapement_Data[[#This Row],[DATE]]-DATE(STAMP_Escapement_Data[[#This Row],[YEAR]],8,1)</f>
        <v>82</v>
      </c>
    </row>
    <row r="1347" spans="1:9" x14ac:dyDescent="0.25">
      <c r="A1347" s="1">
        <v>39013</v>
      </c>
      <c r="B1347">
        <v>1023</v>
      </c>
      <c r="C1347">
        <v>2006</v>
      </c>
      <c r="D1347">
        <v>16</v>
      </c>
      <c r="E1347">
        <v>16</v>
      </c>
      <c r="F1347">
        <v>933</v>
      </c>
      <c r="G1347">
        <v>10</v>
      </c>
      <c r="H1347">
        <f>SUMIFS($F$2:F1347,$C$2:C1347,C1347)</f>
        <v>44678</v>
      </c>
      <c r="I1347" s="8">
        <f>STAMP_Escapement_Data[[#This Row],[DATE]]-DATE(STAMP_Escapement_Data[[#This Row],[YEAR]],8,1)</f>
        <v>83</v>
      </c>
    </row>
    <row r="1348" spans="1:9" x14ac:dyDescent="0.25">
      <c r="A1348" s="1">
        <v>39014</v>
      </c>
      <c r="B1348">
        <v>1024</v>
      </c>
      <c r="C1348">
        <v>2006</v>
      </c>
      <c r="D1348">
        <v>22</v>
      </c>
      <c r="E1348">
        <v>14</v>
      </c>
      <c r="F1348">
        <v>828</v>
      </c>
      <c r="G1348">
        <v>7</v>
      </c>
      <c r="H1348">
        <f>SUMIFS($F$2:F1348,$C$2:C1348,C1348)</f>
        <v>45506</v>
      </c>
      <c r="I1348" s="8">
        <f>STAMP_Escapement_Data[[#This Row],[DATE]]-DATE(STAMP_Escapement_Data[[#This Row],[YEAR]],8,1)</f>
        <v>84</v>
      </c>
    </row>
    <row r="1349" spans="1:9" x14ac:dyDescent="0.25">
      <c r="A1349" s="1">
        <v>39015</v>
      </c>
      <c r="B1349">
        <v>1025</v>
      </c>
      <c r="C1349">
        <v>2006</v>
      </c>
      <c r="D1349">
        <v>19</v>
      </c>
      <c r="E1349">
        <v>12</v>
      </c>
      <c r="F1349">
        <v>843</v>
      </c>
      <c r="G1349">
        <v>9</v>
      </c>
      <c r="H1349">
        <f>SUMIFS($F$2:F1349,$C$2:C1349,C1349)</f>
        <v>46349</v>
      </c>
      <c r="I1349" s="8">
        <f>STAMP_Escapement_Data[[#This Row],[DATE]]-DATE(STAMP_Escapement_Data[[#This Row],[YEAR]],8,1)</f>
        <v>85</v>
      </c>
    </row>
    <row r="1350" spans="1:9" x14ac:dyDescent="0.25">
      <c r="A1350" s="1">
        <v>39016</v>
      </c>
      <c r="B1350">
        <v>1026</v>
      </c>
      <c r="C1350">
        <v>2006</v>
      </c>
      <c r="D1350">
        <v>16</v>
      </c>
      <c r="E1350">
        <v>9</v>
      </c>
      <c r="F1350">
        <v>1286</v>
      </c>
      <c r="G1350">
        <v>7</v>
      </c>
      <c r="H1350">
        <f>SUMIFS($F$2:F1350,$C$2:C1350,C1350)</f>
        <v>47635</v>
      </c>
      <c r="I1350" s="8">
        <f>STAMP_Escapement_Data[[#This Row],[DATE]]-DATE(STAMP_Escapement_Data[[#This Row],[YEAR]],8,1)</f>
        <v>86</v>
      </c>
    </row>
    <row r="1351" spans="1:9" x14ac:dyDescent="0.25">
      <c r="A1351" s="1">
        <v>39017</v>
      </c>
      <c r="B1351">
        <v>1027</v>
      </c>
      <c r="C1351">
        <v>2006</v>
      </c>
      <c r="D1351">
        <v>96</v>
      </c>
      <c r="E1351">
        <v>26</v>
      </c>
      <c r="F1351">
        <v>1187</v>
      </c>
      <c r="G1351">
        <v>13</v>
      </c>
      <c r="H1351">
        <f>SUMIFS($F$2:F1351,$C$2:C1351,C1351)</f>
        <v>48822</v>
      </c>
      <c r="I1351" s="8">
        <f>STAMP_Escapement_Data[[#This Row],[DATE]]-DATE(STAMP_Escapement_Data[[#This Row],[YEAR]],8,1)</f>
        <v>87</v>
      </c>
    </row>
    <row r="1352" spans="1:9" x14ac:dyDescent="0.25">
      <c r="A1352" s="1">
        <v>39018</v>
      </c>
      <c r="B1352">
        <v>1028</v>
      </c>
      <c r="C1352">
        <v>2006</v>
      </c>
      <c r="D1352">
        <v>122</v>
      </c>
      <c r="E1352">
        <v>28</v>
      </c>
      <c r="F1352">
        <v>535</v>
      </c>
      <c r="G1352">
        <v>8</v>
      </c>
      <c r="H1352">
        <f>SUMIFS($F$2:F1352,$C$2:C1352,C1352)</f>
        <v>49357</v>
      </c>
      <c r="I1352" s="8">
        <f>STAMP_Escapement_Data[[#This Row],[DATE]]-DATE(STAMP_Escapement_Data[[#This Row],[YEAR]],8,1)</f>
        <v>88</v>
      </c>
    </row>
    <row r="1353" spans="1:9" x14ac:dyDescent="0.25">
      <c r="A1353" s="1">
        <v>39019</v>
      </c>
      <c r="B1353">
        <v>1029</v>
      </c>
      <c r="C1353">
        <v>2006</v>
      </c>
      <c r="D1353">
        <v>106</v>
      </c>
      <c r="E1353">
        <v>21</v>
      </c>
      <c r="F1353">
        <v>1182</v>
      </c>
      <c r="G1353">
        <v>18</v>
      </c>
      <c r="H1353">
        <f>SUMIFS($F$2:F1353,$C$2:C1353,C1353)</f>
        <v>50539</v>
      </c>
      <c r="I1353" s="8">
        <f>STAMP_Escapement_Data[[#This Row],[DATE]]-DATE(STAMP_Escapement_Data[[#This Row],[YEAR]],8,1)</f>
        <v>89</v>
      </c>
    </row>
    <row r="1354" spans="1:9" x14ac:dyDescent="0.25">
      <c r="A1354" s="1">
        <v>39020</v>
      </c>
      <c r="B1354">
        <v>1030</v>
      </c>
      <c r="C1354">
        <v>2006</v>
      </c>
      <c r="D1354">
        <v>44</v>
      </c>
      <c r="E1354">
        <v>8</v>
      </c>
      <c r="F1354">
        <v>768</v>
      </c>
      <c r="G1354">
        <v>7</v>
      </c>
      <c r="H1354">
        <f>SUMIFS($F$2:F1354,$C$2:C1354,C1354)</f>
        <v>51307</v>
      </c>
      <c r="I1354" s="8">
        <f>STAMP_Escapement_Data[[#This Row],[DATE]]-DATE(STAMP_Escapement_Data[[#This Row],[YEAR]],8,1)</f>
        <v>90</v>
      </c>
    </row>
    <row r="1355" spans="1:9" x14ac:dyDescent="0.25">
      <c r="A1355" s="1">
        <v>39021</v>
      </c>
      <c r="B1355">
        <v>1031</v>
      </c>
      <c r="C1355">
        <v>2006</v>
      </c>
      <c r="D1355">
        <v>21</v>
      </c>
      <c r="E1355">
        <v>17</v>
      </c>
      <c r="F1355">
        <v>414</v>
      </c>
      <c r="G1355">
        <v>3</v>
      </c>
      <c r="H1355">
        <f>SUMIFS($F$2:F1355,$C$2:C1355,C1355)</f>
        <v>51721</v>
      </c>
      <c r="I1355" s="8">
        <f>STAMP_Escapement_Data[[#This Row],[DATE]]-DATE(STAMP_Escapement_Data[[#This Row],[YEAR]],8,1)</f>
        <v>91</v>
      </c>
    </row>
    <row r="1356" spans="1:9" x14ac:dyDescent="0.25">
      <c r="A1356" s="1">
        <v>39022</v>
      </c>
      <c r="B1356">
        <v>1101</v>
      </c>
      <c r="C1356">
        <v>2006</v>
      </c>
      <c r="D1356">
        <v>11</v>
      </c>
      <c r="E1356">
        <v>12</v>
      </c>
      <c r="F1356">
        <v>277</v>
      </c>
      <c r="G1356">
        <v>0</v>
      </c>
      <c r="H1356">
        <f>SUMIFS($F$2:F1356,$C$2:C1356,C1356)</f>
        <v>51998</v>
      </c>
      <c r="I1356" s="8">
        <f>STAMP_Escapement_Data[[#This Row],[DATE]]-DATE(STAMP_Escapement_Data[[#This Row],[YEAR]],8,1)</f>
        <v>92</v>
      </c>
    </row>
    <row r="1357" spans="1:9" x14ac:dyDescent="0.25">
      <c r="A1357" s="1">
        <v>39023</v>
      </c>
      <c r="B1357">
        <v>1102</v>
      </c>
      <c r="C1357">
        <v>2006</v>
      </c>
      <c r="D1357">
        <v>5</v>
      </c>
      <c r="E1357">
        <v>31</v>
      </c>
      <c r="F1357">
        <v>207</v>
      </c>
      <c r="G1357">
        <v>1</v>
      </c>
      <c r="H1357">
        <f>SUMIFS($F$2:F1357,$C$2:C1357,C1357)</f>
        <v>52205</v>
      </c>
      <c r="I1357" s="8">
        <f>STAMP_Escapement_Data[[#This Row],[DATE]]-DATE(STAMP_Escapement_Data[[#This Row],[YEAR]],8,1)</f>
        <v>93</v>
      </c>
    </row>
    <row r="1358" spans="1:9" x14ac:dyDescent="0.25">
      <c r="A1358" s="1">
        <v>39024</v>
      </c>
      <c r="B1358">
        <v>1103</v>
      </c>
      <c r="C1358">
        <v>2006</v>
      </c>
      <c r="D1358">
        <v>20</v>
      </c>
      <c r="E1358">
        <v>14</v>
      </c>
      <c r="F1358">
        <v>260</v>
      </c>
      <c r="G1358">
        <v>3</v>
      </c>
      <c r="H1358">
        <f>SUMIFS($F$2:F1358,$C$2:C1358,C1358)</f>
        <v>52465</v>
      </c>
      <c r="I1358" s="8">
        <f>STAMP_Escapement_Data[[#This Row],[DATE]]-DATE(STAMP_Escapement_Data[[#This Row],[YEAR]],8,1)</f>
        <v>94</v>
      </c>
    </row>
    <row r="1359" spans="1:9" x14ac:dyDescent="0.25">
      <c r="A1359" s="1">
        <v>39025</v>
      </c>
      <c r="B1359">
        <v>1104</v>
      </c>
      <c r="C1359">
        <v>2006</v>
      </c>
      <c r="D1359">
        <v>126</v>
      </c>
      <c r="E1359">
        <v>35</v>
      </c>
      <c r="F1359">
        <v>234</v>
      </c>
      <c r="G1359">
        <v>9</v>
      </c>
      <c r="H1359">
        <f>SUMIFS($F$2:F1359,$C$2:C1359,C1359)</f>
        <v>52699</v>
      </c>
      <c r="I1359" s="8">
        <f>STAMP_Escapement_Data[[#This Row],[DATE]]-DATE(STAMP_Escapement_Data[[#This Row],[YEAR]],8,1)</f>
        <v>95</v>
      </c>
    </row>
    <row r="1360" spans="1:9" x14ac:dyDescent="0.25">
      <c r="A1360" s="1">
        <v>39026</v>
      </c>
      <c r="B1360">
        <v>1105</v>
      </c>
      <c r="C1360">
        <v>2006</v>
      </c>
      <c r="D1360">
        <v>36</v>
      </c>
      <c r="E1360">
        <v>11</v>
      </c>
      <c r="F1360">
        <v>74</v>
      </c>
      <c r="G1360">
        <v>2</v>
      </c>
      <c r="H1360">
        <f>SUMIFS($F$2:F1360,$C$2:C1360,C1360)</f>
        <v>52773</v>
      </c>
      <c r="I1360" s="8">
        <f>STAMP_Escapement_Data[[#This Row],[DATE]]-DATE(STAMP_Escapement_Data[[#This Row],[YEAR]],8,1)</f>
        <v>96</v>
      </c>
    </row>
    <row r="1361" spans="1:9" x14ac:dyDescent="0.25">
      <c r="A1361" s="1">
        <v>39027</v>
      </c>
      <c r="B1361">
        <v>1106</v>
      </c>
      <c r="C1361">
        <v>2006</v>
      </c>
      <c r="D1361">
        <v>0</v>
      </c>
      <c r="E1361">
        <v>0</v>
      </c>
      <c r="F1361">
        <v>0</v>
      </c>
      <c r="G1361">
        <v>0</v>
      </c>
      <c r="H1361">
        <f>SUMIFS($F$2:F1361,$C$2:C1361,C1361)</f>
        <v>52773</v>
      </c>
      <c r="I1361" s="8">
        <f>STAMP_Escapement_Data[[#This Row],[DATE]]-DATE(STAMP_Escapement_Data[[#This Row],[YEAR]],8,1)</f>
        <v>97</v>
      </c>
    </row>
    <row r="1362" spans="1:9" x14ac:dyDescent="0.25">
      <c r="A1362" s="1">
        <v>39028</v>
      </c>
      <c r="B1362">
        <v>1107</v>
      </c>
      <c r="C1362">
        <v>2006</v>
      </c>
      <c r="D1362">
        <v>0</v>
      </c>
      <c r="E1362">
        <v>0</v>
      </c>
      <c r="F1362">
        <v>0</v>
      </c>
      <c r="G1362">
        <v>0</v>
      </c>
      <c r="H1362">
        <f>SUMIFS($F$2:F1362,$C$2:C1362,C1362)</f>
        <v>52773</v>
      </c>
      <c r="I1362" s="8">
        <f>STAMP_Escapement_Data[[#This Row],[DATE]]-DATE(STAMP_Escapement_Data[[#This Row],[YEAR]],8,1)</f>
        <v>98</v>
      </c>
    </row>
    <row r="1363" spans="1:9" x14ac:dyDescent="0.25">
      <c r="A1363" s="1">
        <v>39029</v>
      </c>
      <c r="B1363">
        <v>1108</v>
      </c>
      <c r="C1363">
        <v>2006</v>
      </c>
      <c r="D1363">
        <v>0</v>
      </c>
      <c r="E1363">
        <v>0</v>
      </c>
      <c r="F1363">
        <v>0</v>
      </c>
      <c r="G1363">
        <v>0</v>
      </c>
      <c r="H1363">
        <f>SUMIFS($F$2:F1363,$C$2:C1363,C1363)</f>
        <v>52773</v>
      </c>
      <c r="I1363" s="8">
        <f>STAMP_Escapement_Data[[#This Row],[DATE]]-DATE(STAMP_Escapement_Data[[#This Row],[YEAR]],8,1)</f>
        <v>99</v>
      </c>
    </row>
    <row r="1364" spans="1:9" x14ac:dyDescent="0.25">
      <c r="A1364" s="1">
        <v>39030</v>
      </c>
      <c r="B1364">
        <v>1109</v>
      </c>
      <c r="C1364">
        <v>2006</v>
      </c>
      <c r="D1364">
        <v>0</v>
      </c>
      <c r="E1364">
        <v>0</v>
      </c>
      <c r="F1364">
        <v>0</v>
      </c>
      <c r="G1364">
        <v>0</v>
      </c>
      <c r="H1364">
        <f>SUMIFS($F$2:F1364,$C$2:C1364,C1364)</f>
        <v>52773</v>
      </c>
      <c r="I1364" s="8">
        <f>STAMP_Escapement_Data[[#This Row],[DATE]]-DATE(STAMP_Escapement_Data[[#This Row],[YEAR]],8,1)</f>
        <v>100</v>
      </c>
    </row>
    <row r="1365" spans="1:9" x14ac:dyDescent="0.25">
      <c r="A1365" s="1">
        <v>39031</v>
      </c>
      <c r="B1365">
        <v>1110</v>
      </c>
      <c r="C1365">
        <v>2006</v>
      </c>
      <c r="D1365">
        <v>0</v>
      </c>
      <c r="E1365">
        <v>0</v>
      </c>
      <c r="F1365">
        <v>0</v>
      </c>
      <c r="G1365">
        <v>0</v>
      </c>
      <c r="H1365">
        <f>SUMIFS($F$2:F1365,$C$2:C1365,C1365)</f>
        <v>52773</v>
      </c>
      <c r="I1365" s="8">
        <f>STAMP_Escapement_Data[[#This Row],[DATE]]-DATE(STAMP_Escapement_Data[[#This Row],[YEAR]],8,1)</f>
        <v>101</v>
      </c>
    </row>
    <row r="1366" spans="1:9" x14ac:dyDescent="0.25">
      <c r="A1366" s="1">
        <v>39032</v>
      </c>
      <c r="B1366">
        <v>1111</v>
      </c>
      <c r="C1366">
        <v>2006</v>
      </c>
      <c r="D1366">
        <v>1</v>
      </c>
      <c r="E1366">
        <v>0</v>
      </c>
      <c r="F1366">
        <v>0</v>
      </c>
      <c r="G1366">
        <v>0</v>
      </c>
      <c r="H1366">
        <f>SUMIFS($F$2:F1366,$C$2:C1366,C1366)</f>
        <v>52773</v>
      </c>
      <c r="I1366" s="8">
        <f>STAMP_Escapement_Data[[#This Row],[DATE]]-DATE(STAMP_Escapement_Data[[#This Row],[YEAR]],8,1)</f>
        <v>102</v>
      </c>
    </row>
    <row r="1367" spans="1:9" x14ac:dyDescent="0.25">
      <c r="A1367" s="1">
        <v>39033</v>
      </c>
      <c r="B1367">
        <v>1112</v>
      </c>
      <c r="C1367">
        <v>2006</v>
      </c>
      <c r="D1367">
        <v>0</v>
      </c>
      <c r="E1367">
        <v>0</v>
      </c>
      <c r="F1367">
        <v>0</v>
      </c>
      <c r="G1367">
        <v>0</v>
      </c>
      <c r="H1367">
        <f>SUMIFS($F$2:F1367,$C$2:C1367,C1367)</f>
        <v>52773</v>
      </c>
      <c r="I1367" s="8">
        <f>STAMP_Escapement_Data[[#This Row],[DATE]]-DATE(STAMP_Escapement_Data[[#This Row],[YEAR]],8,1)</f>
        <v>103</v>
      </c>
    </row>
    <row r="1368" spans="1:9" x14ac:dyDescent="0.25">
      <c r="A1368" s="1">
        <v>39034</v>
      </c>
      <c r="B1368">
        <v>1113</v>
      </c>
      <c r="C1368">
        <v>2006</v>
      </c>
      <c r="D1368">
        <v>0</v>
      </c>
      <c r="E1368">
        <v>0</v>
      </c>
      <c r="F1368">
        <v>0</v>
      </c>
      <c r="G1368">
        <v>0</v>
      </c>
      <c r="H1368">
        <f>SUMIFS($F$2:F1368,$C$2:C1368,C1368)</f>
        <v>52773</v>
      </c>
      <c r="I1368" s="8">
        <f>STAMP_Escapement_Data[[#This Row],[DATE]]-DATE(STAMP_Escapement_Data[[#This Row],[YEAR]],8,1)</f>
        <v>104</v>
      </c>
    </row>
    <row r="1369" spans="1:9" x14ac:dyDescent="0.25">
      <c r="A1369" s="1">
        <v>39035</v>
      </c>
      <c r="B1369">
        <v>1114</v>
      </c>
      <c r="C1369">
        <v>2006</v>
      </c>
      <c r="D1369">
        <v>1</v>
      </c>
      <c r="E1369">
        <v>0</v>
      </c>
      <c r="F1369">
        <v>0</v>
      </c>
      <c r="G1369">
        <v>0</v>
      </c>
      <c r="H1369">
        <f>SUMIFS($F$2:F1369,$C$2:C1369,C1369)</f>
        <v>52773</v>
      </c>
      <c r="I1369" s="8">
        <f>STAMP_Escapement_Data[[#This Row],[DATE]]-DATE(STAMP_Escapement_Data[[#This Row],[YEAR]],8,1)</f>
        <v>105</v>
      </c>
    </row>
    <row r="1370" spans="1:9" x14ac:dyDescent="0.25">
      <c r="A1370" s="1">
        <v>39331</v>
      </c>
      <c r="B1370">
        <v>906</v>
      </c>
      <c r="C1370">
        <v>2007</v>
      </c>
      <c r="D1370">
        <v>1079</v>
      </c>
      <c r="E1370">
        <v>2</v>
      </c>
      <c r="F1370">
        <v>1828</v>
      </c>
      <c r="G1370">
        <v>136</v>
      </c>
      <c r="H1370">
        <f>SUMIFS($F$2:F1370,$C$2:C1370,C1370)</f>
        <v>1828</v>
      </c>
      <c r="I1370" s="8">
        <f>STAMP_Escapement_Data[[#This Row],[DATE]]-DATE(STAMP_Escapement_Data[[#This Row],[YEAR]],8,1)</f>
        <v>36</v>
      </c>
    </row>
    <row r="1371" spans="1:9" x14ac:dyDescent="0.25">
      <c r="A1371" s="1">
        <v>39331</v>
      </c>
      <c r="B1371">
        <v>906</v>
      </c>
      <c r="C1371">
        <v>2007</v>
      </c>
      <c r="D1371">
        <v>502</v>
      </c>
      <c r="E1371">
        <v>31</v>
      </c>
      <c r="F1371">
        <v>159</v>
      </c>
      <c r="G1371">
        <v>23</v>
      </c>
      <c r="H1371">
        <f>SUMIFS($F$2:F1371,$C$2:C1371,C1371)</f>
        <v>1987</v>
      </c>
      <c r="I1371" s="8">
        <f>STAMP_Escapement_Data[[#This Row],[DATE]]-DATE(STAMP_Escapement_Data[[#This Row],[YEAR]],8,1)</f>
        <v>36</v>
      </c>
    </row>
    <row r="1372" spans="1:9" x14ac:dyDescent="0.25">
      <c r="A1372" s="1">
        <v>39332</v>
      </c>
      <c r="B1372">
        <v>907</v>
      </c>
      <c r="C1372">
        <v>2007</v>
      </c>
      <c r="D1372">
        <v>1012</v>
      </c>
      <c r="E1372">
        <v>61</v>
      </c>
      <c r="F1372">
        <v>346</v>
      </c>
      <c r="G1372">
        <v>68</v>
      </c>
      <c r="H1372">
        <f>SUMIFS($F$2:F1372,$C$2:C1372,C1372)</f>
        <v>2333</v>
      </c>
      <c r="I1372" s="8">
        <f>STAMP_Escapement_Data[[#This Row],[DATE]]-DATE(STAMP_Escapement_Data[[#This Row],[YEAR]],8,1)</f>
        <v>37</v>
      </c>
    </row>
    <row r="1373" spans="1:9" x14ac:dyDescent="0.25">
      <c r="A1373" s="1">
        <v>39333</v>
      </c>
      <c r="B1373">
        <v>908</v>
      </c>
      <c r="C1373">
        <v>2007</v>
      </c>
      <c r="D1373">
        <v>768</v>
      </c>
      <c r="E1373">
        <v>68</v>
      </c>
      <c r="F1373">
        <v>235</v>
      </c>
      <c r="G1373">
        <v>22</v>
      </c>
      <c r="H1373">
        <f>SUMIFS($F$2:F1373,$C$2:C1373,C1373)</f>
        <v>2568</v>
      </c>
      <c r="I1373" s="8">
        <f>STAMP_Escapement_Data[[#This Row],[DATE]]-DATE(STAMP_Escapement_Data[[#This Row],[YEAR]],8,1)</f>
        <v>38</v>
      </c>
    </row>
    <row r="1374" spans="1:9" x14ac:dyDescent="0.25">
      <c r="A1374" s="1">
        <v>39334</v>
      </c>
      <c r="B1374">
        <v>909</v>
      </c>
      <c r="C1374">
        <v>2007</v>
      </c>
      <c r="D1374">
        <v>603</v>
      </c>
      <c r="E1374">
        <v>61</v>
      </c>
      <c r="F1374">
        <v>243</v>
      </c>
      <c r="G1374">
        <v>26</v>
      </c>
      <c r="H1374">
        <f>SUMIFS($F$2:F1374,$C$2:C1374,C1374)</f>
        <v>2811</v>
      </c>
      <c r="I1374" s="8">
        <f>STAMP_Escapement_Data[[#This Row],[DATE]]-DATE(STAMP_Escapement_Data[[#This Row],[YEAR]],8,1)</f>
        <v>39</v>
      </c>
    </row>
    <row r="1375" spans="1:9" x14ac:dyDescent="0.25">
      <c r="A1375" s="1">
        <v>39335</v>
      </c>
      <c r="B1375">
        <v>910</v>
      </c>
      <c r="C1375">
        <v>2007</v>
      </c>
      <c r="D1375">
        <v>792</v>
      </c>
      <c r="E1375">
        <v>68</v>
      </c>
      <c r="F1375">
        <v>246</v>
      </c>
      <c r="G1375">
        <v>34</v>
      </c>
      <c r="H1375">
        <f>SUMIFS($F$2:F1375,$C$2:C1375,C1375)</f>
        <v>3057</v>
      </c>
      <c r="I1375" s="8">
        <f>STAMP_Escapement_Data[[#This Row],[DATE]]-DATE(STAMP_Escapement_Data[[#This Row],[YEAR]],8,1)</f>
        <v>40</v>
      </c>
    </row>
    <row r="1376" spans="1:9" x14ac:dyDescent="0.25">
      <c r="A1376" s="1">
        <v>39336</v>
      </c>
      <c r="B1376">
        <v>911</v>
      </c>
      <c r="C1376">
        <v>2007</v>
      </c>
      <c r="D1376">
        <v>1173</v>
      </c>
      <c r="E1376">
        <v>75</v>
      </c>
      <c r="F1376">
        <v>289</v>
      </c>
      <c r="G1376">
        <v>101</v>
      </c>
      <c r="H1376">
        <f>SUMIFS($F$2:F1376,$C$2:C1376,C1376)</f>
        <v>3346</v>
      </c>
      <c r="I1376" s="8">
        <f>STAMP_Escapement_Data[[#This Row],[DATE]]-DATE(STAMP_Escapement_Data[[#This Row],[YEAR]],8,1)</f>
        <v>41</v>
      </c>
    </row>
    <row r="1377" spans="1:9" x14ac:dyDescent="0.25">
      <c r="A1377" s="1">
        <v>39337</v>
      </c>
      <c r="B1377">
        <v>912</v>
      </c>
      <c r="C1377">
        <v>2007</v>
      </c>
      <c r="D1377">
        <v>908</v>
      </c>
      <c r="E1377">
        <v>57</v>
      </c>
      <c r="F1377">
        <v>268</v>
      </c>
      <c r="G1377">
        <v>78</v>
      </c>
      <c r="H1377">
        <f>SUMIFS($F$2:F1377,$C$2:C1377,C1377)</f>
        <v>3614</v>
      </c>
      <c r="I1377" s="8">
        <f>STAMP_Escapement_Data[[#This Row],[DATE]]-DATE(STAMP_Escapement_Data[[#This Row],[YEAR]],8,1)</f>
        <v>42</v>
      </c>
    </row>
    <row r="1378" spans="1:9" x14ac:dyDescent="0.25">
      <c r="A1378" s="1">
        <v>39338</v>
      </c>
      <c r="B1378">
        <v>913</v>
      </c>
      <c r="C1378">
        <v>2007</v>
      </c>
      <c r="D1378">
        <v>873</v>
      </c>
      <c r="E1378">
        <v>54</v>
      </c>
      <c r="F1378">
        <v>243</v>
      </c>
      <c r="G1378">
        <v>65</v>
      </c>
      <c r="H1378">
        <f>SUMIFS($F$2:F1378,$C$2:C1378,C1378)</f>
        <v>3857</v>
      </c>
      <c r="I1378" s="8">
        <f>STAMP_Escapement_Data[[#This Row],[DATE]]-DATE(STAMP_Escapement_Data[[#This Row],[YEAR]],8,1)</f>
        <v>43</v>
      </c>
    </row>
    <row r="1379" spans="1:9" x14ac:dyDescent="0.25">
      <c r="A1379" s="1">
        <v>39339</v>
      </c>
      <c r="B1379">
        <v>914</v>
      </c>
      <c r="C1379">
        <v>2007</v>
      </c>
      <c r="D1379">
        <v>986</v>
      </c>
      <c r="E1379">
        <v>50</v>
      </c>
      <c r="F1379">
        <v>445</v>
      </c>
      <c r="G1379">
        <v>91</v>
      </c>
      <c r="H1379">
        <f>SUMIFS($F$2:F1379,$C$2:C1379,C1379)</f>
        <v>4302</v>
      </c>
      <c r="I1379" s="8">
        <f>STAMP_Escapement_Data[[#This Row],[DATE]]-DATE(STAMP_Escapement_Data[[#This Row],[YEAR]],8,1)</f>
        <v>44</v>
      </c>
    </row>
    <row r="1380" spans="1:9" x14ac:dyDescent="0.25">
      <c r="A1380" s="1">
        <v>39340</v>
      </c>
      <c r="B1380">
        <v>915</v>
      </c>
      <c r="C1380">
        <v>2007</v>
      </c>
      <c r="D1380">
        <v>1344</v>
      </c>
      <c r="E1380">
        <v>33</v>
      </c>
      <c r="F1380">
        <v>270</v>
      </c>
      <c r="G1380">
        <v>61</v>
      </c>
      <c r="H1380">
        <f>SUMIFS($F$2:F1380,$C$2:C1380,C1380)</f>
        <v>4572</v>
      </c>
      <c r="I1380" s="8">
        <f>STAMP_Escapement_Data[[#This Row],[DATE]]-DATE(STAMP_Escapement_Data[[#This Row],[YEAR]],8,1)</f>
        <v>45</v>
      </c>
    </row>
    <row r="1381" spans="1:9" x14ac:dyDescent="0.25">
      <c r="A1381" s="1">
        <v>39341</v>
      </c>
      <c r="B1381">
        <v>916</v>
      </c>
      <c r="C1381">
        <v>2007</v>
      </c>
      <c r="D1381">
        <v>0</v>
      </c>
      <c r="E1381">
        <v>0</v>
      </c>
      <c r="F1381">
        <v>0</v>
      </c>
      <c r="G1381">
        <v>0</v>
      </c>
      <c r="H1381">
        <f>SUMIFS($F$2:F1381,$C$2:C1381,C1381)</f>
        <v>4572</v>
      </c>
      <c r="I1381" s="8">
        <f>STAMP_Escapement_Data[[#This Row],[DATE]]-DATE(STAMP_Escapement_Data[[#This Row],[YEAR]],8,1)</f>
        <v>46</v>
      </c>
    </row>
    <row r="1382" spans="1:9" x14ac:dyDescent="0.25">
      <c r="A1382" s="1">
        <v>39342</v>
      </c>
      <c r="B1382">
        <v>917</v>
      </c>
      <c r="C1382">
        <v>2007</v>
      </c>
      <c r="D1382">
        <v>1263</v>
      </c>
      <c r="E1382">
        <v>74</v>
      </c>
      <c r="F1382">
        <v>285</v>
      </c>
      <c r="G1382">
        <v>82</v>
      </c>
      <c r="H1382">
        <f>SUMIFS($F$2:F1382,$C$2:C1382,C1382)</f>
        <v>4857</v>
      </c>
      <c r="I1382" s="8">
        <f>STAMP_Escapement_Data[[#This Row],[DATE]]-DATE(STAMP_Escapement_Data[[#This Row],[YEAR]],8,1)</f>
        <v>47</v>
      </c>
    </row>
    <row r="1383" spans="1:9" x14ac:dyDescent="0.25">
      <c r="A1383" s="1">
        <v>39343</v>
      </c>
      <c r="B1383">
        <v>918</v>
      </c>
      <c r="C1383">
        <v>2007</v>
      </c>
      <c r="D1383">
        <v>1629</v>
      </c>
      <c r="E1383">
        <v>75</v>
      </c>
      <c r="F1383">
        <v>273</v>
      </c>
      <c r="G1383">
        <v>59</v>
      </c>
      <c r="H1383">
        <f>SUMIFS($F$2:F1383,$C$2:C1383,C1383)</f>
        <v>5130</v>
      </c>
      <c r="I1383" s="8">
        <f>STAMP_Escapement_Data[[#This Row],[DATE]]-DATE(STAMP_Escapement_Data[[#This Row],[YEAR]],8,1)</f>
        <v>48</v>
      </c>
    </row>
    <row r="1384" spans="1:9" x14ac:dyDescent="0.25">
      <c r="A1384" s="1">
        <v>39344</v>
      </c>
      <c r="B1384">
        <v>919</v>
      </c>
      <c r="C1384">
        <v>2007</v>
      </c>
      <c r="D1384">
        <v>1977</v>
      </c>
      <c r="E1384">
        <v>101</v>
      </c>
      <c r="F1384">
        <v>106</v>
      </c>
      <c r="G1384">
        <v>36</v>
      </c>
      <c r="H1384">
        <f>SUMIFS($F$2:F1384,$C$2:C1384,C1384)</f>
        <v>5236</v>
      </c>
      <c r="I1384" s="8">
        <f>STAMP_Escapement_Data[[#This Row],[DATE]]-DATE(STAMP_Escapement_Data[[#This Row],[YEAR]],8,1)</f>
        <v>49</v>
      </c>
    </row>
    <row r="1385" spans="1:9" x14ac:dyDescent="0.25">
      <c r="A1385" s="1">
        <v>39345</v>
      </c>
      <c r="B1385">
        <v>920</v>
      </c>
      <c r="C1385">
        <v>2007</v>
      </c>
      <c r="D1385">
        <v>2391</v>
      </c>
      <c r="E1385">
        <v>125</v>
      </c>
      <c r="F1385">
        <v>240</v>
      </c>
      <c r="G1385">
        <v>44</v>
      </c>
      <c r="H1385">
        <f>SUMIFS($F$2:F1385,$C$2:C1385,C1385)</f>
        <v>5476</v>
      </c>
      <c r="I1385" s="8">
        <f>STAMP_Escapement_Data[[#This Row],[DATE]]-DATE(STAMP_Escapement_Data[[#This Row],[YEAR]],8,1)</f>
        <v>50</v>
      </c>
    </row>
    <row r="1386" spans="1:9" x14ac:dyDescent="0.25">
      <c r="A1386" s="1">
        <v>39346</v>
      </c>
      <c r="B1386">
        <v>921</v>
      </c>
      <c r="C1386">
        <v>2007</v>
      </c>
      <c r="D1386">
        <v>1621</v>
      </c>
      <c r="E1386">
        <v>88</v>
      </c>
      <c r="F1386">
        <v>167</v>
      </c>
      <c r="G1386">
        <v>29</v>
      </c>
      <c r="H1386">
        <f>SUMIFS($F$2:F1386,$C$2:C1386,C1386)</f>
        <v>5643</v>
      </c>
      <c r="I1386" s="8">
        <f>STAMP_Escapement_Data[[#This Row],[DATE]]-DATE(STAMP_Escapement_Data[[#This Row],[YEAR]],8,1)</f>
        <v>51</v>
      </c>
    </row>
    <row r="1387" spans="1:9" x14ac:dyDescent="0.25">
      <c r="A1387" s="1">
        <v>39347</v>
      </c>
      <c r="B1387">
        <v>922</v>
      </c>
      <c r="C1387">
        <v>2007</v>
      </c>
      <c r="D1387">
        <v>2352</v>
      </c>
      <c r="E1387">
        <v>124</v>
      </c>
      <c r="F1387">
        <v>472</v>
      </c>
      <c r="G1387">
        <v>100</v>
      </c>
      <c r="H1387">
        <f>SUMIFS($F$2:F1387,$C$2:C1387,C1387)</f>
        <v>6115</v>
      </c>
      <c r="I1387" s="8">
        <f>STAMP_Escapement_Data[[#This Row],[DATE]]-DATE(STAMP_Escapement_Data[[#This Row],[YEAR]],8,1)</f>
        <v>52</v>
      </c>
    </row>
    <row r="1388" spans="1:9" x14ac:dyDescent="0.25">
      <c r="A1388" s="1">
        <v>39348</v>
      </c>
      <c r="B1388">
        <v>923</v>
      </c>
      <c r="C1388">
        <v>2007</v>
      </c>
      <c r="D1388">
        <v>1902</v>
      </c>
      <c r="E1388">
        <v>93</v>
      </c>
      <c r="F1388">
        <v>475</v>
      </c>
      <c r="G1388">
        <v>52</v>
      </c>
      <c r="H1388">
        <f>SUMIFS($F$2:F1388,$C$2:C1388,C1388)</f>
        <v>6590</v>
      </c>
      <c r="I1388" s="8">
        <f>STAMP_Escapement_Data[[#This Row],[DATE]]-DATE(STAMP_Escapement_Data[[#This Row],[YEAR]],8,1)</f>
        <v>53</v>
      </c>
    </row>
    <row r="1389" spans="1:9" x14ac:dyDescent="0.25">
      <c r="A1389" s="1">
        <v>39349</v>
      </c>
      <c r="B1389">
        <v>924</v>
      </c>
      <c r="C1389">
        <v>2007</v>
      </c>
      <c r="D1389">
        <v>2034</v>
      </c>
      <c r="E1389">
        <v>180</v>
      </c>
      <c r="F1389">
        <v>436</v>
      </c>
      <c r="G1389">
        <v>45</v>
      </c>
      <c r="H1389">
        <f>SUMIFS($F$2:F1389,$C$2:C1389,C1389)</f>
        <v>7026</v>
      </c>
      <c r="I1389" s="8">
        <f>STAMP_Escapement_Data[[#This Row],[DATE]]-DATE(STAMP_Escapement_Data[[#This Row],[YEAR]],8,1)</f>
        <v>54</v>
      </c>
    </row>
    <row r="1390" spans="1:9" x14ac:dyDescent="0.25">
      <c r="A1390" s="1">
        <v>39350</v>
      </c>
      <c r="B1390">
        <v>925</v>
      </c>
      <c r="C1390">
        <v>2007</v>
      </c>
      <c r="D1390">
        <v>2646</v>
      </c>
      <c r="E1390">
        <v>287</v>
      </c>
      <c r="F1390">
        <v>830</v>
      </c>
      <c r="G1390">
        <v>78</v>
      </c>
      <c r="H1390">
        <f>SUMIFS($F$2:F1390,$C$2:C1390,C1390)</f>
        <v>7856</v>
      </c>
      <c r="I1390" s="8">
        <f>STAMP_Escapement_Data[[#This Row],[DATE]]-DATE(STAMP_Escapement_Data[[#This Row],[YEAR]],8,1)</f>
        <v>55</v>
      </c>
    </row>
    <row r="1391" spans="1:9" x14ac:dyDescent="0.25">
      <c r="A1391" s="1">
        <v>39351</v>
      </c>
      <c r="B1391">
        <v>926</v>
      </c>
      <c r="C1391">
        <v>2007</v>
      </c>
      <c r="D1391">
        <v>1927</v>
      </c>
      <c r="E1391">
        <v>209</v>
      </c>
      <c r="F1391">
        <v>532</v>
      </c>
      <c r="G1391">
        <v>100</v>
      </c>
      <c r="H1391">
        <f>SUMIFS($F$2:F1391,$C$2:C1391,C1391)</f>
        <v>8388</v>
      </c>
      <c r="I1391" s="8">
        <f>STAMP_Escapement_Data[[#This Row],[DATE]]-DATE(STAMP_Escapement_Data[[#This Row],[YEAR]],8,1)</f>
        <v>56</v>
      </c>
    </row>
    <row r="1392" spans="1:9" x14ac:dyDescent="0.25">
      <c r="A1392" s="1">
        <v>39352</v>
      </c>
      <c r="B1392">
        <v>927</v>
      </c>
      <c r="C1392">
        <v>2007</v>
      </c>
      <c r="D1392">
        <v>2428</v>
      </c>
      <c r="E1392">
        <v>308</v>
      </c>
      <c r="F1392">
        <v>654</v>
      </c>
      <c r="G1392">
        <v>108</v>
      </c>
      <c r="H1392">
        <f>SUMIFS($F$2:F1392,$C$2:C1392,C1392)</f>
        <v>9042</v>
      </c>
      <c r="I1392" s="8">
        <f>STAMP_Escapement_Data[[#This Row],[DATE]]-DATE(STAMP_Escapement_Data[[#This Row],[YEAR]],8,1)</f>
        <v>57</v>
      </c>
    </row>
    <row r="1393" spans="1:9" x14ac:dyDescent="0.25">
      <c r="A1393" s="1">
        <v>39353</v>
      </c>
      <c r="B1393">
        <v>928</v>
      </c>
      <c r="C1393">
        <v>2007</v>
      </c>
      <c r="D1393">
        <v>1606</v>
      </c>
      <c r="E1393">
        <v>164</v>
      </c>
      <c r="F1393">
        <v>1025</v>
      </c>
      <c r="G1393">
        <v>75</v>
      </c>
      <c r="H1393">
        <f>SUMIFS($F$2:F1393,$C$2:C1393,C1393)</f>
        <v>10067</v>
      </c>
      <c r="I1393" s="8">
        <f>STAMP_Escapement_Data[[#This Row],[DATE]]-DATE(STAMP_Escapement_Data[[#This Row],[YEAR]],8,1)</f>
        <v>58</v>
      </c>
    </row>
    <row r="1394" spans="1:9" x14ac:dyDescent="0.25">
      <c r="A1394" s="1">
        <v>39354</v>
      </c>
      <c r="B1394">
        <v>929</v>
      </c>
      <c r="C1394">
        <v>2007</v>
      </c>
      <c r="D1394">
        <v>875</v>
      </c>
      <c r="E1394">
        <v>86</v>
      </c>
      <c r="F1394">
        <v>1076</v>
      </c>
      <c r="G1394">
        <v>35</v>
      </c>
      <c r="H1394">
        <f>SUMIFS($F$2:F1394,$C$2:C1394,C1394)</f>
        <v>11143</v>
      </c>
      <c r="I1394" s="8">
        <f>STAMP_Escapement_Data[[#This Row],[DATE]]-DATE(STAMP_Escapement_Data[[#This Row],[YEAR]],8,1)</f>
        <v>59</v>
      </c>
    </row>
    <row r="1395" spans="1:9" x14ac:dyDescent="0.25">
      <c r="A1395" s="1">
        <v>39355</v>
      </c>
      <c r="B1395">
        <v>930</v>
      </c>
      <c r="C1395">
        <v>2007</v>
      </c>
      <c r="D1395">
        <v>1091</v>
      </c>
      <c r="E1395">
        <v>60</v>
      </c>
      <c r="F1395">
        <v>390</v>
      </c>
      <c r="G1395">
        <v>13</v>
      </c>
      <c r="H1395">
        <f>SUMIFS($F$2:F1395,$C$2:C1395,C1395)</f>
        <v>11533</v>
      </c>
      <c r="I1395" s="8">
        <f>STAMP_Escapement_Data[[#This Row],[DATE]]-DATE(STAMP_Escapement_Data[[#This Row],[YEAR]],8,1)</f>
        <v>60</v>
      </c>
    </row>
    <row r="1396" spans="1:9" x14ac:dyDescent="0.25">
      <c r="A1396" s="1">
        <v>39356</v>
      </c>
      <c r="B1396">
        <v>1001</v>
      </c>
      <c r="C1396">
        <v>2007</v>
      </c>
      <c r="D1396">
        <v>1181</v>
      </c>
      <c r="E1396">
        <v>115</v>
      </c>
      <c r="F1396">
        <v>1058</v>
      </c>
      <c r="G1396">
        <v>49</v>
      </c>
      <c r="H1396">
        <f>SUMIFS($F$2:F1396,$C$2:C1396,C1396)</f>
        <v>12591</v>
      </c>
      <c r="I1396" s="8">
        <f>STAMP_Escapement_Data[[#This Row],[DATE]]-DATE(STAMP_Escapement_Data[[#This Row],[YEAR]],8,1)</f>
        <v>61</v>
      </c>
    </row>
    <row r="1397" spans="1:9" x14ac:dyDescent="0.25">
      <c r="A1397" s="1">
        <v>39357</v>
      </c>
      <c r="B1397">
        <v>1002</v>
      </c>
      <c r="C1397">
        <v>2007</v>
      </c>
      <c r="D1397">
        <v>497</v>
      </c>
      <c r="E1397">
        <v>42</v>
      </c>
      <c r="F1397">
        <v>243</v>
      </c>
      <c r="G1397">
        <v>21</v>
      </c>
      <c r="H1397">
        <f>SUMIFS($F$2:F1397,$C$2:C1397,C1397)</f>
        <v>12834</v>
      </c>
      <c r="I1397" s="8">
        <f>STAMP_Escapement_Data[[#This Row],[DATE]]-DATE(STAMP_Escapement_Data[[#This Row],[YEAR]],8,1)</f>
        <v>62</v>
      </c>
    </row>
    <row r="1398" spans="1:9" x14ac:dyDescent="0.25">
      <c r="A1398" s="1">
        <v>39358</v>
      </c>
      <c r="B1398">
        <v>1003</v>
      </c>
      <c r="C1398">
        <v>2007</v>
      </c>
      <c r="D1398">
        <v>1131</v>
      </c>
      <c r="E1398">
        <v>104</v>
      </c>
      <c r="F1398">
        <v>321</v>
      </c>
      <c r="G1398">
        <v>67</v>
      </c>
      <c r="H1398">
        <f>SUMIFS($F$2:F1398,$C$2:C1398,C1398)</f>
        <v>13155</v>
      </c>
      <c r="I1398" s="8">
        <f>STAMP_Escapement_Data[[#This Row],[DATE]]-DATE(STAMP_Escapement_Data[[#This Row],[YEAR]],8,1)</f>
        <v>63</v>
      </c>
    </row>
    <row r="1399" spans="1:9" x14ac:dyDescent="0.25">
      <c r="A1399" s="1">
        <v>39359</v>
      </c>
      <c r="B1399">
        <v>1004</v>
      </c>
      <c r="C1399">
        <v>2007</v>
      </c>
      <c r="D1399">
        <v>96</v>
      </c>
      <c r="E1399">
        <v>5</v>
      </c>
      <c r="F1399">
        <v>33</v>
      </c>
      <c r="G1399">
        <v>1</v>
      </c>
      <c r="H1399">
        <f>SUMIFS($F$2:F1399,$C$2:C1399,C1399)</f>
        <v>13188</v>
      </c>
      <c r="I1399" s="8">
        <f>STAMP_Escapement_Data[[#This Row],[DATE]]-DATE(STAMP_Escapement_Data[[#This Row],[YEAR]],8,1)</f>
        <v>64</v>
      </c>
    </row>
    <row r="1400" spans="1:9" x14ac:dyDescent="0.25">
      <c r="A1400" s="1">
        <v>39360</v>
      </c>
      <c r="B1400">
        <v>1005</v>
      </c>
      <c r="C1400">
        <v>2007</v>
      </c>
      <c r="D1400">
        <v>59</v>
      </c>
      <c r="E1400">
        <v>12</v>
      </c>
      <c r="F1400">
        <v>12</v>
      </c>
      <c r="G1400">
        <v>0</v>
      </c>
      <c r="H1400">
        <f>SUMIFS($F$2:F1400,$C$2:C1400,C1400)</f>
        <v>13200</v>
      </c>
      <c r="I1400" s="8">
        <f>STAMP_Escapement_Data[[#This Row],[DATE]]-DATE(STAMP_Escapement_Data[[#This Row],[YEAR]],8,1)</f>
        <v>65</v>
      </c>
    </row>
    <row r="1401" spans="1:9" x14ac:dyDescent="0.25">
      <c r="A1401" s="1">
        <v>39361</v>
      </c>
      <c r="B1401">
        <v>1006</v>
      </c>
      <c r="C1401">
        <v>2007</v>
      </c>
      <c r="D1401">
        <v>329</v>
      </c>
      <c r="E1401">
        <v>53</v>
      </c>
      <c r="F1401">
        <v>176</v>
      </c>
      <c r="G1401">
        <v>19</v>
      </c>
      <c r="H1401">
        <f>SUMIFS($F$2:F1401,$C$2:C1401,C1401)</f>
        <v>13376</v>
      </c>
      <c r="I1401" s="8">
        <f>STAMP_Escapement_Data[[#This Row],[DATE]]-DATE(STAMP_Escapement_Data[[#This Row],[YEAR]],8,1)</f>
        <v>66</v>
      </c>
    </row>
    <row r="1402" spans="1:9" x14ac:dyDescent="0.25">
      <c r="A1402" s="1">
        <v>39362</v>
      </c>
      <c r="B1402">
        <v>1007</v>
      </c>
      <c r="C1402">
        <v>2007</v>
      </c>
      <c r="D1402">
        <v>142</v>
      </c>
      <c r="E1402">
        <v>12</v>
      </c>
      <c r="F1402">
        <v>338</v>
      </c>
      <c r="G1402">
        <v>33</v>
      </c>
      <c r="H1402">
        <f>SUMIFS($F$2:F1402,$C$2:C1402,C1402)</f>
        <v>13714</v>
      </c>
      <c r="I1402" s="8">
        <f>STAMP_Escapement_Data[[#This Row],[DATE]]-DATE(STAMP_Escapement_Data[[#This Row],[YEAR]],8,1)</f>
        <v>67</v>
      </c>
    </row>
    <row r="1403" spans="1:9" x14ac:dyDescent="0.25">
      <c r="A1403" s="1">
        <v>39363</v>
      </c>
      <c r="B1403">
        <v>1008</v>
      </c>
      <c r="C1403">
        <v>2007</v>
      </c>
      <c r="D1403">
        <v>302</v>
      </c>
      <c r="E1403">
        <v>32</v>
      </c>
      <c r="F1403">
        <v>304</v>
      </c>
      <c r="G1403">
        <v>18</v>
      </c>
      <c r="H1403">
        <f>SUMIFS($F$2:F1403,$C$2:C1403,C1403)</f>
        <v>14018</v>
      </c>
      <c r="I1403" s="8">
        <f>STAMP_Escapement_Data[[#This Row],[DATE]]-DATE(STAMP_Escapement_Data[[#This Row],[YEAR]],8,1)</f>
        <v>68</v>
      </c>
    </row>
    <row r="1404" spans="1:9" x14ac:dyDescent="0.25">
      <c r="A1404" s="1">
        <v>39364</v>
      </c>
      <c r="B1404">
        <v>1009</v>
      </c>
      <c r="C1404">
        <v>2007</v>
      </c>
      <c r="D1404">
        <v>197</v>
      </c>
      <c r="E1404">
        <v>37</v>
      </c>
      <c r="F1404">
        <v>230</v>
      </c>
      <c r="G1404">
        <v>24</v>
      </c>
      <c r="H1404">
        <f>SUMIFS($F$2:F1404,$C$2:C1404,C1404)</f>
        <v>14248</v>
      </c>
      <c r="I1404" s="8">
        <f>STAMP_Escapement_Data[[#This Row],[DATE]]-DATE(STAMP_Escapement_Data[[#This Row],[YEAR]],8,1)</f>
        <v>69</v>
      </c>
    </row>
    <row r="1405" spans="1:9" x14ac:dyDescent="0.25">
      <c r="A1405" s="1">
        <v>39367</v>
      </c>
      <c r="B1405">
        <v>1012</v>
      </c>
      <c r="C1405">
        <v>2007</v>
      </c>
      <c r="D1405">
        <v>176</v>
      </c>
      <c r="E1405">
        <v>27</v>
      </c>
      <c r="F1405">
        <v>55</v>
      </c>
      <c r="G1405">
        <v>7</v>
      </c>
      <c r="H1405">
        <f>SUMIFS($F$2:F1405,$C$2:C1405,C1405)</f>
        <v>14303</v>
      </c>
      <c r="I1405" s="8">
        <f>STAMP_Escapement_Data[[#This Row],[DATE]]-DATE(STAMP_Escapement_Data[[#This Row],[YEAR]],8,1)</f>
        <v>72</v>
      </c>
    </row>
    <row r="1406" spans="1:9" x14ac:dyDescent="0.25">
      <c r="A1406" s="1">
        <v>39368</v>
      </c>
      <c r="B1406">
        <v>1013</v>
      </c>
      <c r="C1406">
        <v>2007</v>
      </c>
      <c r="D1406">
        <v>261</v>
      </c>
      <c r="E1406">
        <v>33</v>
      </c>
      <c r="F1406">
        <v>145</v>
      </c>
      <c r="G1406">
        <v>26</v>
      </c>
      <c r="H1406">
        <f>SUMIFS($F$2:F1406,$C$2:C1406,C1406)</f>
        <v>14448</v>
      </c>
      <c r="I1406" s="8">
        <f>STAMP_Escapement_Data[[#This Row],[DATE]]-DATE(STAMP_Escapement_Data[[#This Row],[YEAR]],8,1)</f>
        <v>73</v>
      </c>
    </row>
    <row r="1407" spans="1:9" x14ac:dyDescent="0.25">
      <c r="A1407" s="1">
        <v>39369</v>
      </c>
      <c r="B1407">
        <v>1014</v>
      </c>
      <c r="C1407">
        <v>2007</v>
      </c>
      <c r="D1407">
        <v>540</v>
      </c>
      <c r="E1407">
        <v>96</v>
      </c>
      <c r="F1407">
        <v>240</v>
      </c>
      <c r="G1407">
        <v>28</v>
      </c>
      <c r="H1407">
        <f>SUMIFS($F$2:F1407,$C$2:C1407,C1407)</f>
        <v>14688</v>
      </c>
      <c r="I1407" s="8">
        <f>STAMP_Escapement_Data[[#This Row],[DATE]]-DATE(STAMP_Escapement_Data[[#This Row],[YEAR]],8,1)</f>
        <v>74</v>
      </c>
    </row>
    <row r="1408" spans="1:9" x14ac:dyDescent="0.25">
      <c r="A1408" s="1">
        <v>39370</v>
      </c>
      <c r="B1408">
        <v>1015</v>
      </c>
      <c r="C1408">
        <v>2007</v>
      </c>
      <c r="D1408">
        <v>373</v>
      </c>
      <c r="E1408">
        <v>55</v>
      </c>
      <c r="F1408">
        <v>351</v>
      </c>
      <c r="G1408">
        <v>28</v>
      </c>
      <c r="H1408">
        <f>SUMIFS($F$2:F1408,$C$2:C1408,C1408)</f>
        <v>15039</v>
      </c>
      <c r="I1408" s="8">
        <f>STAMP_Escapement_Data[[#This Row],[DATE]]-DATE(STAMP_Escapement_Data[[#This Row],[YEAR]],8,1)</f>
        <v>75</v>
      </c>
    </row>
    <row r="1409" spans="1:9" x14ac:dyDescent="0.25">
      <c r="A1409" s="1">
        <v>39371</v>
      </c>
      <c r="B1409">
        <v>1016</v>
      </c>
      <c r="C1409">
        <v>2007</v>
      </c>
      <c r="D1409">
        <v>252</v>
      </c>
      <c r="E1409">
        <v>55</v>
      </c>
      <c r="F1409">
        <v>333</v>
      </c>
      <c r="G1409">
        <v>20</v>
      </c>
      <c r="H1409">
        <f>SUMIFS($F$2:F1409,$C$2:C1409,C1409)</f>
        <v>15372</v>
      </c>
      <c r="I1409" s="8">
        <f>STAMP_Escapement_Data[[#This Row],[DATE]]-DATE(STAMP_Escapement_Data[[#This Row],[YEAR]],8,1)</f>
        <v>76</v>
      </c>
    </row>
    <row r="1410" spans="1:9" x14ac:dyDescent="0.25">
      <c r="A1410" s="1">
        <v>39372</v>
      </c>
      <c r="B1410">
        <v>1017</v>
      </c>
      <c r="C1410">
        <v>2007</v>
      </c>
      <c r="D1410">
        <v>340</v>
      </c>
      <c r="E1410">
        <v>63</v>
      </c>
      <c r="F1410">
        <v>194</v>
      </c>
      <c r="G1410">
        <v>13</v>
      </c>
      <c r="H1410">
        <f>SUMIFS($F$2:F1410,$C$2:C1410,C1410)</f>
        <v>15566</v>
      </c>
      <c r="I1410" s="8">
        <f>STAMP_Escapement_Data[[#This Row],[DATE]]-DATE(STAMP_Escapement_Data[[#This Row],[YEAR]],8,1)</f>
        <v>77</v>
      </c>
    </row>
    <row r="1411" spans="1:9" x14ac:dyDescent="0.25">
      <c r="A1411" s="1">
        <v>39373</v>
      </c>
      <c r="B1411">
        <v>1018</v>
      </c>
      <c r="C1411">
        <v>2007</v>
      </c>
      <c r="D1411">
        <v>220</v>
      </c>
      <c r="E1411">
        <v>34</v>
      </c>
      <c r="F1411">
        <v>257</v>
      </c>
      <c r="G1411">
        <v>21</v>
      </c>
      <c r="H1411">
        <f>SUMIFS($F$2:F1411,$C$2:C1411,C1411)</f>
        <v>15823</v>
      </c>
      <c r="I1411" s="8">
        <f>STAMP_Escapement_Data[[#This Row],[DATE]]-DATE(STAMP_Escapement_Data[[#This Row],[YEAR]],8,1)</f>
        <v>78</v>
      </c>
    </row>
    <row r="1412" spans="1:9" x14ac:dyDescent="0.25">
      <c r="A1412" s="1">
        <v>39374</v>
      </c>
      <c r="B1412">
        <v>1019</v>
      </c>
      <c r="C1412">
        <v>2007</v>
      </c>
      <c r="D1412">
        <v>95</v>
      </c>
      <c r="E1412">
        <v>20</v>
      </c>
      <c r="F1412">
        <v>32</v>
      </c>
      <c r="G1412">
        <v>3</v>
      </c>
      <c r="H1412">
        <f>SUMIFS($F$2:F1412,$C$2:C1412,C1412)</f>
        <v>15855</v>
      </c>
      <c r="I1412" s="8">
        <f>STAMP_Escapement_Data[[#This Row],[DATE]]-DATE(STAMP_Escapement_Data[[#This Row],[YEAR]],8,1)</f>
        <v>79</v>
      </c>
    </row>
    <row r="1413" spans="1:9" x14ac:dyDescent="0.25">
      <c r="A1413" s="1">
        <v>39375</v>
      </c>
      <c r="B1413">
        <v>1020</v>
      </c>
      <c r="C1413">
        <v>2007</v>
      </c>
      <c r="D1413">
        <v>158</v>
      </c>
      <c r="E1413">
        <v>14</v>
      </c>
      <c r="F1413">
        <v>208</v>
      </c>
      <c r="G1413">
        <v>19</v>
      </c>
      <c r="H1413">
        <f>SUMIFS($F$2:F1413,$C$2:C1413,C1413)</f>
        <v>16063</v>
      </c>
      <c r="I1413" s="8">
        <f>STAMP_Escapement_Data[[#This Row],[DATE]]-DATE(STAMP_Escapement_Data[[#This Row],[YEAR]],8,1)</f>
        <v>80</v>
      </c>
    </row>
    <row r="1414" spans="1:9" x14ac:dyDescent="0.25">
      <c r="A1414" s="1">
        <v>39376</v>
      </c>
      <c r="B1414">
        <v>1021</v>
      </c>
      <c r="C1414">
        <v>2007</v>
      </c>
      <c r="D1414">
        <v>117</v>
      </c>
      <c r="E1414">
        <v>24</v>
      </c>
      <c r="F1414">
        <v>80</v>
      </c>
      <c r="G1414">
        <v>3</v>
      </c>
      <c r="H1414">
        <f>SUMIFS($F$2:F1414,$C$2:C1414,C1414)</f>
        <v>16143</v>
      </c>
      <c r="I1414" s="8">
        <f>STAMP_Escapement_Data[[#This Row],[DATE]]-DATE(STAMP_Escapement_Data[[#This Row],[YEAR]],8,1)</f>
        <v>81</v>
      </c>
    </row>
    <row r="1415" spans="1:9" x14ac:dyDescent="0.25">
      <c r="A1415" s="1">
        <v>39377</v>
      </c>
      <c r="B1415">
        <v>1022</v>
      </c>
      <c r="C1415">
        <v>2007</v>
      </c>
      <c r="D1415">
        <v>96</v>
      </c>
      <c r="E1415">
        <v>21</v>
      </c>
      <c r="F1415">
        <v>122</v>
      </c>
      <c r="G1415">
        <v>11</v>
      </c>
      <c r="H1415">
        <f>SUMIFS($F$2:F1415,$C$2:C1415,C1415)</f>
        <v>16265</v>
      </c>
      <c r="I1415" s="8">
        <f>STAMP_Escapement_Data[[#This Row],[DATE]]-DATE(STAMP_Escapement_Data[[#This Row],[YEAR]],8,1)</f>
        <v>82</v>
      </c>
    </row>
    <row r="1416" spans="1:9" x14ac:dyDescent="0.25">
      <c r="A1416" s="1">
        <v>39378</v>
      </c>
      <c r="B1416">
        <v>1023</v>
      </c>
      <c r="C1416">
        <v>2007</v>
      </c>
      <c r="D1416">
        <v>189</v>
      </c>
      <c r="E1416">
        <v>32</v>
      </c>
      <c r="F1416">
        <v>106</v>
      </c>
      <c r="G1416">
        <v>9</v>
      </c>
      <c r="H1416">
        <f>SUMIFS($F$2:F1416,$C$2:C1416,C1416)</f>
        <v>16371</v>
      </c>
      <c r="I1416" s="8">
        <f>STAMP_Escapement_Data[[#This Row],[DATE]]-DATE(STAMP_Escapement_Data[[#This Row],[YEAR]],8,1)</f>
        <v>83</v>
      </c>
    </row>
    <row r="1417" spans="1:9" x14ac:dyDescent="0.25">
      <c r="A1417" s="1">
        <v>39379</v>
      </c>
      <c r="B1417">
        <v>1024</v>
      </c>
      <c r="C1417">
        <v>2007</v>
      </c>
      <c r="D1417">
        <v>244</v>
      </c>
      <c r="E1417">
        <v>32</v>
      </c>
      <c r="F1417">
        <v>97</v>
      </c>
      <c r="G1417">
        <v>10</v>
      </c>
      <c r="H1417">
        <f>SUMIFS($F$2:F1417,$C$2:C1417,C1417)</f>
        <v>16468</v>
      </c>
      <c r="I1417" s="8">
        <f>STAMP_Escapement_Data[[#This Row],[DATE]]-DATE(STAMP_Escapement_Data[[#This Row],[YEAR]],8,1)</f>
        <v>84</v>
      </c>
    </row>
    <row r="1418" spans="1:9" x14ac:dyDescent="0.25">
      <c r="A1418" s="1">
        <v>39380</v>
      </c>
      <c r="B1418">
        <v>1025</v>
      </c>
      <c r="C1418">
        <v>2007</v>
      </c>
      <c r="D1418">
        <v>163</v>
      </c>
      <c r="E1418">
        <v>32</v>
      </c>
      <c r="F1418">
        <v>82</v>
      </c>
      <c r="G1418">
        <v>7</v>
      </c>
      <c r="H1418">
        <f>SUMIFS($F$2:F1418,$C$2:C1418,C1418)</f>
        <v>16550</v>
      </c>
      <c r="I1418" s="8">
        <f>STAMP_Escapement_Data[[#This Row],[DATE]]-DATE(STAMP_Escapement_Data[[#This Row],[YEAR]],8,1)</f>
        <v>85</v>
      </c>
    </row>
    <row r="1419" spans="1:9" x14ac:dyDescent="0.25">
      <c r="A1419" s="1">
        <v>39381</v>
      </c>
      <c r="B1419">
        <v>1026</v>
      </c>
      <c r="C1419">
        <v>2007</v>
      </c>
      <c r="D1419">
        <v>116</v>
      </c>
      <c r="E1419">
        <v>28</v>
      </c>
      <c r="F1419">
        <v>49</v>
      </c>
      <c r="G1419">
        <v>5</v>
      </c>
      <c r="H1419">
        <f>SUMIFS($F$2:F1419,$C$2:C1419,C1419)</f>
        <v>16599</v>
      </c>
      <c r="I1419" s="8">
        <f>STAMP_Escapement_Data[[#This Row],[DATE]]-DATE(STAMP_Escapement_Data[[#This Row],[YEAR]],8,1)</f>
        <v>86</v>
      </c>
    </row>
    <row r="1420" spans="1:9" x14ac:dyDescent="0.25">
      <c r="A1420" s="1">
        <v>39382</v>
      </c>
      <c r="B1420">
        <v>1027</v>
      </c>
      <c r="C1420">
        <v>2007</v>
      </c>
      <c r="D1420">
        <v>102</v>
      </c>
      <c r="E1420">
        <v>15</v>
      </c>
      <c r="F1420">
        <v>34</v>
      </c>
      <c r="G1420">
        <v>6</v>
      </c>
      <c r="H1420">
        <f>SUMIFS($F$2:F1420,$C$2:C1420,C1420)</f>
        <v>16633</v>
      </c>
      <c r="I1420" s="8">
        <f>STAMP_Escapement_Data[[#This Row],[DATE]]-DATE(STAMP_Escapement_Data[[#This Row],[YEAR]],8,1)</f>
        <v>87</v>
      </c>
    </row>
    <row r="1421" spans="1:9" x14ac:dyDescent="0.25">
      <c r="A1421" s="1">
        <v>39383</v>
      </c>
      <c r="B1421">
        <v>1028</v>
      </c>
      <c r="C1421">
        <v>2007</v>
      </c>
      <c r="D1421">
        <v>171</v>
      </c>
      <c r="E1421">
        <v>17</v>
      </c>
      <c r="F1421">
        <v>64</v>
      </c>
      <c r="G1421">
        <v>2</v>
      </c>
      <c r="H1421">
        <f>SUMIFS($F$2:F1421,$C$2:C1421,C1421)</f>
        <v>16697</v>
      </c>
      <c r="I1421" s="8">
        <f>STAMP_Escapement_Data[[#This Row],[DATE]]-DATE(STAMP_Escapement_Data[[#This Row],[YEAR]],8,1)</f>
        <v>88</v>
      </c>
    </row>
    <row r="1422" spans="1:9" x14ac:dyDescent="0.25">
      <c r="A1422" s="1">
        <v>39384</v>
      </c>
      <c r="B1422">
        <v>1029</v>
      </c>
      <c r="C1422">
        <v>2007</v>
      </c>
      <c r="D1422">
        <v>120</v>
      </c>
      <c r="E1422">
        <v>11</v>
      </c>
      <c r="F1422">
        <v>56</v>
      </c>
      <c r="G1422">
        <v>3</v>
      </c>
      <c r="H1422">
        <f>SUMIFS($F$2:F1422,$C$2:C1422,C1422)</f>
        <v>16753</v>
      </c>
      <c r="I1422" s="8">
        <f>STAMP_Escapement_Data[[#This Row],[DATE]]-DATE(STAMP_Escapement_Data[[#This Row],[YEAR]],8,1)</f>
        <v>89</v>
      </c>
    </row>
    <row r="1423" spans="1:9" x14ac:dyDescent="0.25">
      <c r="A1423" s="1">
        <v>39385</v>
      </c>
      <c r="B1423">
        <v>1030</v>
      </c>
      <c r="C1423">
        <v>2007</v>
      </c>
      <c r="D1423">
        <v>143</v>
      </c>
      <c r="E1423">
        <v>22</v>
      </c>
      <c r="F1423">
        <v>73</v>
      </c>
      <c r="G1423">
        <v>14</v>
      </c>
      <c r="H1423">
        <f>SUMIFS($F$2:F1423,$C$2:C1423,C1423)</f>
        <v>16826</v>
      </c>
      <c r="I1423" s="8">
        <f>STAMP_Escapement_Data[[#This Row],[DATE]]-DATE(STAMP_Escapement_Data[[#This Row],[YEAR]],8,1)</f>
        <v>90</v>
      </c>
    </row>
    <row r="1424" spans="1:9" x14ac:dyDescent="0.25">
      <c r="A1424" s="1">
        <v>39386</v>
      </c>
      <c r="B1424">
        <v>1031</v>
      </c>
      <c r="C1424">
        <v>2007</v>
      </c>
      <c r="D1424">
        <v>66</v>
      </c>
      <c r="E1424">
        <v>19</v>
      </c>
      <c r="F1424">
        <v>35</v>
      </c>
      <c r="G1424">
        <v>1</v>
      </c>
      <c r="H1424">
        <f>SUMIFS($F$2:F1424,$C$2:C1424,C1424)</f>
        <v>16861</v>
      </c>
      <c r="I1424" s="8">
        <f>STAMP_Escapement_Data[[#This Row],[DATE]]-DATE(STAMP_Escapement_Data[[#This Row],[YEAR]],8,1)</f>
        <v>91</v>
      </c>
    </row>
    <row r="1425" spans="1:9" x14ac:dyDescent="0.25">
      <c r="A1425" s="1">
        <v>39387</v>
      </c>
      <c r="B1425">
        <v>1101</v>
      </c>
      <c r="C1425">
        <v>2007</v>
      </c>
      <c r="D1425">
        <v>73</v>
      </c>
      <c r="E1425">
        <v>19</v>
      </c>
      <c r="F1425">
        <v>36</v>
      </c>
      <c r="G1425">
        <v>2</v>
      </c>
      <c r="H1425">
        <f>SUMIFS($F$2:F1425,$C$2:C1425,C1425)</f>
        <v>16897</v>
      </c>
      <c r="I1425" s="8">
        <f>STAMP_Escapement_Data[[#This Row],[DATE]]-DATE(STAMP_Escapement_Data[[#This Row],[YEAR]],8,1)</f>
        <v>92</v>
      </c>
    </row>
    <row r="1426" spans="1:9" x14ac:dyDescent="0.25">
      <c r="A1426" s="1">
        <v>39388</v>
      </c>
      <c r="B1426">
        <v>1102</v>
      </c>
      <c r="C1426">
        <v>2007</v>
      </c>
      <c r="D1426">
        <v>40</v>
      </c>
      <c r="E1426">
        <v>6</v>
      </c>
      <c r="F1426">
        <v>11</v>
      </c>
      <c r="G1426">
        <v>1</v>
      </c>
      <c r="H1426">
        <f>SUMIFS($F$2:F1426,$C$2:C1426,C1426)</f>
        <v>16908</v>
      </c>
      <c r="I1426" s="8">
        <f>STAMP_Escapement_Data[[#This Row],[DATE]]-DATE(STAMP_Escapement_Data[[#This Row],[YEAR]],8,1)</f>
        <v>93</v>
      </c>
    </row>
    <row r="1427" spans="1:9" x14ac:dyDescent="0.25">
      <c r="A1427" s="1">
        <v>39389</v>
      </c>
      <c r="B1427">
        <v>1103</v>
      </c>
      <c r="C1427">
        <v>2007</v>
      </c>
      <c r="D1427">
        <v>114</v>
      </c>
      <c r="E1427">
        <v>18</v>
      </c>
      <c r="F1427">
        <v>22</v>
      </c>
      <c r="G1427">
        <v>0</v>
      </c>
      <c r="H1427">
        <f>SUMIFS($F$2:F1427,$C$2:C1427,C1427)</f>
        <v>16930</v>
      </c>
      <c r="I1427" s="8">
        <f>STAMP_Escapement_Data[[#This Row],[DATE]]-DATE(STAMP_Escapement_Data[[#This Row],[YEAR]],8,1)</f>
        <v>94</v>
      </c>
    </row>
    <row r="1428" spans="1:9" x14ac:dyDescent="0.25">
      <c r="A1428" s="1">
        <v>39390</v>
      </c>
      <c r="B1428">
        <v>1104</v>
      </c>
      <c r="C1428">
        <v>2007</v>
      </c>
      <c r="D1428">
        <v>89</v>
      </c>
      <c r="E1428">
        <v>18</v>
      </c>
      <c r="F1428">
        <v>7</v>
      </c>
      <c r="G1428">
        <v>1</v>
      </c>
      <c r="H1428">
        <f>SUMIFS($F$2:F1428,$C$2:C1428,C1428)</f>
        <v>16937</v>
      </c>
      <c r="I1428" s="8">
        <f>STAMP_Escapement_Data[[#This Row],[DATE]]-DATE(STAMP_Escapement_Data[[#This Row],[YEAR]],8,1)</f>
        <v>95</v>
      </c>
    </row>
    <row r="1429" spans="1:9" x14ac:dyDescent="0.25">
      <c r="A1429" s="1">
        <v>39391</v>
      </c>
      <c r="B1429">
        <v>1105</v>
      </c>
      <c r="C1429">
        <v>2007</v>
      </c>
      <c r="D1429">
        <v>67</v>
      </c>
      <c r="E1429">
        <v>13</v>
      </c>
      <c r="F1429">
        <v>5</v>
      </c>
      <c r="G1429">
        <v>0</v>
      </c>
      <c r="H1429">
        <f>SUMIFS($F$2:F1429,$C$2:C1429,C1429)</f>
        <v>16942</v>
      </c>
      <c r="I1429" s="8">
        <f>STAMP_Escapement_Data[[#This Row],[DATE]]-DATE(STAMP_Escapement_Data[[#This Row],[YEAR]],8,1)</f>
        <v>96</v>
      </c>
    </row>
    <row r="1430" spans="1:9" x14ac:dyDescent="0.25">
      <c r="A1430" s="1">
        <v>39392</v>
      </c>
      <c r="B1430">
        <v>1106</v>
      </c>
      <c r="C1430">
        <v>2007</v>
      </c>
      <c r="D1430">
        <v>23</v>
      </c>
      <c r="E1430">
        <v>6</v>
      </c>
      <c r="F1430">
        <v>2</v>
      </c>
      <c r="G1430">
        <v>0</v>
      </c>
      <c r="H1430">
        <f>SUMIFS($F$2:F1430,$C$2:C1430,C1430)</f>
        <v>16944</v>
      </c>
      <c r="I1430" s="8">
        <f>STAMP_Escapement_Data[[#This Row],[DATE]]-DATE(STAMP_Escapement_Data[[#This Row],[YEAR]],8,1)</f>
        <v>97</v>
      </c>
    </row>
    <row r="1431" spans="1:9" x14ac:dyDescent="0.25">
      <c r="A1431" s="1">
        <v>39393</v>
      </c>
      <c r="B1431">
        <v>1107</v>
      </c>
      <c r="C1431">
        <v>2007</v>
      </c>
      <c r="D1431">
        <v>30</v>
      </c>
      <c r="E1431">
        <v>131</v>
      </c>
      <c r="F1431">
        <v>5</v>
      </c>
      <c r="G1431">
        <v>0</v>
      </c>
      <c r="H1431">
        <f>SUMIFS($F$2:F1431,$C$2:C1431,C1431)</f>
        <v>16949</v>
      </c>
      <c r="I1431" s="8">
        <f>STAMP_Escapement_Data[[#This Row],[DATE]]-DATE(STAMP_Escapement_Data[[#This Row],[YEAR]],8,1)</f>
        <v>98</v>
      </c>
    </row>
    <row r="1432" spans="1:9" x14ac:dyDescent="0.25">
      <c r="A1432" s="1">
        <v>39394</v>
      </c>
      <c r="B1432">
        <v>1108</v>
      </c>
      <c r="C1432">
        <v>2007</v>
      </c>
      <c r="D1432">
        <v>42</v>
      </c>
      <c r="E1432">
        <v>229</v>
      </c>
      <c r="F1432">
        <v>2</v>
      </c>
      <c r="G1432">
        <v>0</v>
      </c>
      <c r="H1432">
        <f>SUMIFS($F$2:F1432,$C$2:C1432,C1432)</f>
        <v>16951</v>
      </c>
      <c r="I1432" s="8">
        <f>STAMP_Escapement_Data[[#This Row],[DATE]]-DATE(STAMP_Escapement_Data[[#This Row],[YEAR]],8,1)</f>
        <v>99</v>
      </c>
    </row>
    <row r="1433" spans="1:9" x14ac:dyDescent="0.25">
      <c r="A1433" s="1">
        <v>39395</v>
      </c>
      <c r="B1433">
        <v>1109</v>
      </c>
      <c r="C1433">
        <v>2007</v>
      </c>
      <c r="D1433">
        <v>131</v>
      </c>
      <c r="E1433">
        <v>96</v>
      </c>
      <c r="F1433">
        <v>1</v>
      </c>
      <c r="G1433">
        <v>1</v>
      </c>
      <c r="H1433">
        <f>SUMIFS($F$2:F1433,$C$2:C1433,C1433)</f>
        <v>16952</v>
      </c>
      <c r="I1433" s="8">
        <f>STAMP_Escapement_Data[[#This Row],[DATE]]-DATE(STAMP_Escapement_Data[[#This Row],[YEAR]],8,1)</f>
        <v>100</v>
      </c>
    </row>
    <row r="1434" spans="1:9" x14ac:dyDescent="0.25">
      <c r="A1434" s="1">
        <v>39396</v>
      </c>
      <c r="B1434">
        <v>1110</v>
      </c>
      <c r="C1434">
        <v>2007</v>
      </c>
      <c r="D1434">
        <v>188</v>
      </c>
      <c r="E1434">
        <v>29</v>
      </c>
      <c r="F1434">
        <v>0</v>
      </c>
      <c r="G1434">
        <v>0</v>
      </c>
      <c r="H1434">
        <f>SUMIFS($F$2:F1434,$C$2:C1434,C1434)</f>
        <v>16952</v>
      </c>
      <c r="I1434" s="8">
        <f>STAMP_Escapement_Data[[#This Row],[DATE]]-DATE(STAMP_Escapement_Data[[#This Row],[YEAR]],8,1)</f>
        <v>101</v>
      </c>
    </row>
    <row r="1435" spans="1:9" x14ac:dyDescent="0.25">
      <c r="A1435" s="1">
        <v>39397</v>
      </c>
      <c r="B1435">
        <v>1111</v>
      </c>
      <c r="C1435">
        <v>2007</v>
      </c>
      <c r="D1435">
        <v>24</v>
      </c>
      <c r="E1435">
        <v>7</v>
      </c>
      <c r="F1435">
        <v>1</v>
      </c>
      <c r="G1435">
        <v>0</v>
      </c>
      <c r="H1435">
        <f>SUMIFS($F$2:F1435,$C$2:C1435,C1435)</f>
        <v>16953</v>
      </c>
      <c r="I1435" s="8">
        <f>STAMP_Escapement_Data[[#This Row],[DATE]]-DATE(STAMP_Escapement_Data[[#This Row],[YEAR]],8,1)</f>
        <v>102</v>
      </c>
    </row>
    <row r="1436" spans="1:9" x14ac:dyDescent="0.25">
      <c r="A1436" s="1">
        <v>39695</v>
      </c>
      <c r="B1436">
        <v>904</v>
      </c>
      <c r="C1436">
        <v>2008</v>
      </c>
      <c r="D1436">
        <v>5996</v>
      </c>
      <c r="E1436">
        <v>21</v>
      </c>
      <c r="F1436">
        <v>2507</v>
      </c>
      <c r="G1436">
        <v>41</v>
      </c>
      <c r="H1436">
        <f>SUMIFS($F$2:F1436,$C$2:C1436,C1436)</f>
        <v>2507</v>
      </c>
      <c r="I1436" s="8">
        <f>STAMP_Escapement_Data[[#This Row],[DATE]]-DATE(STAMP_Escapement_Data[[#This Row],[YEAR]],8,1)</f>
        <v>34</v>
      </c>
    </row>
    <row r="1437" spans="1:9" x14ac:dyDescent="0.25">
      <c r="A1437" s="1">
        <v>39695</v>
      </c>
      <c r="B1437">
        <v>904</v>
      </c>
      <c r="C1437">
        <v>2008</v>
      </c>
      <c r="D1437">
        <v>239</v>
      </c>
      <c r="E1437">
        <v>43</v>
      </c>
      <c r="F1437">
        <v>89</v>
      </c>
      <c r="G1437">
        <v>3</v>
      </c>
      <c r="H1437">
        <f>SUMIFS($F$2:F1437,$C$2:C1437,C1437)</f>
        <v>2596</v>
      </c>
      <c r="I1437" s="8">
        <f>STAMP_Escapement_Data[[#This Row],[DATE]]-DATE(STAMP_Escapement_Data[[#This Row],[YEAR]],8,1)</f>
        <v>34</v>
      </c>
    </row>
    <row r="1438" spans="1:9" x14ac:dyDescent="0.25">
      <c r="A1438" s="1">
        <v>39696</v>
      </c>
      <c r="B1438">
        <v>905</v>
      </c>
      <c r="C1438">
        <v>2008</v>
      </c>
      <c r="D1438">
        <v>574</v>
      </c>
      <c r="E1438">
        <v>70</v>
      </c>
      <c r="F1438">
        <v>98</v>
      </c>
      <c r="G1438">
        <v>6</v>
      </c>
      <c r="H1438">
        <f>SUMIFS($F$2:F1438,$C$2:C1438,C1438)</f>
        <v>2694</v>
      </c>
      <c r="I1438" s="8">
        <f>STAMP_Escapement_Data[[#This Row],[DATE]]-DATE(STAMP_Escapement_Data[[#This Row],[YEAR]],8,1)</f>
        <v>35</v>
      </c>
    </row>
    <row r="1439" spans="1:9" x14ac:dyDescent="0.25">
      <c r="A1439" s="1">
        <v>39697</v>
      </c>
      <c r="B1439">
        <v>906</v>
      </c>
      <c r="C1439">
        <v>2008</v>
      </c>
      <c r="D1439">
        <v>664</v>
      </c>
      <c r="E1439">
        <v>72</v>
      </c>
      <c r="F1439">
        <v>124</v>
      </c>
      <c r="G1439">
        <v>15</v>
      </c>
      <c r="H1439">
        <f>SUMIFS($F$2:F1439,$C$2:C1439,C1439)</f>
        <v>2818</v>
      </c>
      <c r="I1439" s="8">
        <f>STAMP_Escapement_Data[[#This Row],[DATE]]-DATE(STAMP_Escapement_Data[[#This Row],[YEAR]],8,1)</f>
        <v>36</v>
      </c>
    </row>
    <row r="1440" spans="1:9" x14ac:dyDescent="0.25">
      <c r="A1440" s="1">
        <v>39698</v>
      </c>
      <c r="B1440">
        <v>907</v>
      </c>
      <c r="C1440">
        <v>2008</v>
      </c>
      <c r="D1440">
        <v>503</v>
      </c>
      <c r="E1440">
        <v>61</v>
      </c>
      <c r="F1440">
        <v>133</v>
      </c>
      <c r="G1440">
        <v>11</v>
      </c>
      <c r="H1440">
        <f>SUMIFS($F$2:F1440,$C$2:C1440,C1440)</f>
        <v>2951</v>
      </c>
      <c r="I1440" s="8">
        <f>STAMP_Escapement_Data[[#This Row],[DATE]]-DATE(STAMP_Escapement_Data[[#This Row],[YEAR]],8,1)</f>
        <v>37</v>
      </c>
    </row>
    <row r="1441" spans="1:9" x14ac:dyDescent="0.25">
      <c r="A1441" s="1">
        <v>39699</v>
      </c>
      <c r="B1441">
        <v>908</v>
      </c>
      <c r="C1441">
        <v>2008</v>
      </c>
      <c r="D1441">
        <v>533</v>
      </c>
      <c r="E1441">
        <v>61</v>
      </c>
      <c r="F1441">
        <v>299</v>
      </c>
      <c r="G1441">
        <v>26</v>
      </c>
      <c r="H1441">
        <f>SUMIFS($F$2:F1441,$C$2:C1441,C1441)</f>
        <v>3250</v>
      </c>
      <c r="I1441" s="8">
        <f>STAMP_Escapement_Data[[#This Row],[DATE]]-DATE(STAMP_Escapement_Data[[#This Row],[YEAR]],8,1)</f>
        <v>38</v>
      </c>
    </row>
    <row r="1442" spans="1:9" x14ac:dyDescent="0.25">
      <c r="A1442" s="1">
        <v>39700</v>
      </c>
      <c r="B1442">
        <v>909</v>
      </c>
      <c r="C1442">
        <v>2008</v>
      </c>
      <c r="D1442">
        <v>773</v>
      </c>
      <c r="E1442">
        <v>103</v>
      </c>
      <c r="F1442">
        <v>172</v>
      </c>
      <c r="G1442">
        <v>27</v>
      </c>
      <c r="H1442">
        <f>SUMIFS($F$2:F1442,$C$2:C1442,C1442)</f>
        <v>3422</v>
      </c>
      <c r="I1442" s="8">
        <f>STAMP_Escapement_Data[[#This Row],[DATE]]-DATE(STAMP_Escapement_Data[[#This Row],[YEAR]],8,1)</f>
        <v>39</v>
      </c>
    </row>
    <row r="1443" spans="1:9" x14ac:dyDescent="0.25">
      <c r="A1443" s="1">
        <v>39701</v>
      </c>
      <c r="B1443">
        <v>910</v>
      </c>
      <c r="C1443">
        <v>2008</v>
      </c>
      <c r="D1443">
        <v>597</v>
      </c>
      <c r="E1443">
        <v>73</v>
      </c>
      <c r="F1443">
        <v>224</v>
      </c>
      <c r="G1443">
        <v>18</v>
      </c>
      <c r="H1443">
        <f>SUMIFS($F$2:F1443,$C$2:C1443,C1443)</f>
        <v>3646</v>
      </c>
      <c r="I1443" s="8">
        <f>STAMP_Escapement_Data[[#This Row],[DATE]]-DATE(STAMP_Escapement_Data[[#This Row],[YEAR]],8,1)</f>
        <v>40</v>
      </c>
    </row>
    <row r="1444" spans="1:9" x14ac:dyDescent="0.25">
      <c r="A1444" s="1">
        <v>39702</v>
      </c>
      <c r="B1444">
        <v>911</v>
      </c>
      <c r="C1444">
        <v>2008</v>
      </c>
      <c r="D1444">
        <v>641</v>
      </c>
      <c r="E1444">
        <v>82</v>
      </c>
      <c r="F1444">
        <v>218</v>
      </c>
      <c r="G1444">
        <v>27</v>
      </c>
      <c r="H1444">
        <f>SUMIFS($F$2:F1444,$C$2:C1444,C1444)</f>
        <v>3864</v>
      </c>
      <c r="I1444" s="8">
        <f>STAMP_Escapement_Data[[#This Row],[DATE]]-DATE(STAMP_Escapement_Data[[#This Row],[YEAR]],8,1)</f>
        <v>41</v>
      </c>
    </row>
    <row r="1445" spans="1:9" x14ac:dyDescent="0.25">
      <c r="A1445" s="1">
        <v>39703</v>
      </c>
      <c r="B1445">
        <v>912</v>
      </c>
      <c r="C1445">
        <v>2008</v>
      </c>
      <c r="D1445">
        <v>725</v>
      </c>
      <c r="E1445">
        <v>106</v>
      </c>
      <c r="F1445">
        <v>283</v>
      </c>
      <c r="G1445">
        <v>29</v>
      </c>
      <c r="H1445">
        <f>SUMIFS($F$2:F1445,$C$2:C1445,C1445)</f>
        <v>4147</v>
      </c>
      <c r="I1445" s="8">
        <f>STAMP_Escapement_Data[[#This Row],[DATE]]-DATE(STAMP_Escapement_Data[[#This Row],[YEAR]],8,1)</f>
        <v>42</v>
      </c>
    </row>
    <row r="1446" spans="1:9" x14ac:dyDescent="0.25">
      <c r="A1446" s="1">
        <v>39704</v>
      </c>
      <c r="B1446">
        <v>913</v>
      </c>
      <c r="C1446">
        <v>2008</v>
      </c>
      <c r="D1446">
        <v>671</v>
      </c>
      <c r="E1446">
        <v>93</v>
      </c>
      <c r="F1446">
        <v>296</v>
      </c>
      <c r="G1446">
        <v>29</v>
      </c>
      <c r="H1446">
        <f>SUMIFS($F$2:F1446,$C$2:C1446,C1446)</f>
        <v>4443</v>
      </c>
      <c r="I1446" s="8">
        <f>STAMP_Escapement_Data[[#This Row],[DATE]]-DATE(STAMP_Escapement_Data[[#This Row],[YEAR]],8,1)</f>
        <v>43</v>
      </c>
    </row>
    <row r="1447" spans="1:9" x14ac:dyDescent="0.25">
      <c r="A1447" s="1">
        <v>39705</v>
      </c>
      <c r="B1447">
        <v>914</v>
      </c>
      <c r="C1447">
        <v>2008</v>
      </c>
      <c r="D1447">
        <v>820</v>
      </c>
      <c r="E1447">
        <v>87</v>
      </c>
      <c r="F1447">
        <v>325</v>
      </c>
      <c r="G1447">
        <v>42</v>
      </c>
      <c r="H1447">
        <f>SUMIFS($F$2:F1447,$C$2:C1447,C1447)</f>
        <v>4768</v>
      </c>
      <c r="I1447" s="8">
        <f>STAMP_Escapement_Data[[#This Row],[DATE]]-DATE(STAMP_Escapement_Data[[#This Row],[YEAR]],8,1)</f>
        <v>44</v>
      </c>
    </row>
    <row r="1448" spans="1:9" x14ac:dyDescent="0.25">
      <c r="A1448" s="1">
        <v>39706</v>
      </c>
      <c r="B1448">
        <v>915</v>
      </c>
      <c r="C1448">
        <v>2008</v>
      </c>
      <c r="D1448">
        <v>492</v>
      </c>
      <c r="E1448">
        <v>59</v>
      </c>
      <c r="F1448">
        <v>227</v>
      </c>
      <c r="G1448">
        <v>30</v>
      </c>
      <c r="H1448">
        <f>SUMIFS($F$2:F1448,$C$2:C1448,C1448)</f>
        <v>4995</v>
      </c>
      <c r="I1448" s="8">
        <f>STAMP_Escapement_Data[[#This Row],[DATE]]-DATE(STAMP_Escapement_Data[[#This Row],[YEAR]],8,1)</f>
        <v>45</v>
      </c>
    </row>
    <row r="1449" spans="1:9" x14ac:dyDescent="0.25">
      <c r="A1449" s="1">
        <v>39707</v>
      </c>
      <c r="B1449">
        <v>916</v>
      </c>
      <c r="C1449">
        <v>2008</v>
      </c>
      <c r="D1449">
        <v>612</v>
      </c>
      <c r="E1449">
        <v>112</v>
      </c>
      <c r="F1449">
        <v>371</v>
      </c>
      <c r="G1449">
        <v>40</v>
      </c>
      <c r="H1449">
        <f>SUMIFS($F$2:F1449,$C$2:C1449,C1449)</f>
        <v>5366</v>
      </c>
      <c r="I1449" s="8">
        <f>STAMP_Escapement_Data[[#This Row],[DATE]]-DATE(STAMP_Escapement_Data[[#This Row],[YEAR]],8,1)</f>
        <v>46</v>
      </c>
    </row>
    <row r="1450" spans="1:9" x14ac:dyDescent="0.25">
      <c r="A1450" s="1">
        <v>39708</v>
      </c>
      <c r="B1450">
        <v>917</v>
      </c>
      <c r="C1450">
        <v>2008</v>
      </c>
      <c r="D1450">
        <v>721</v>
      </c>
      <c r="E1450">
        <v>118</v>
      </c>
      <c r="F1450">
        <v>367</v>
      </c>
      <c r="G1450">
        <v>45</v>
      </c>
      <c r="H1450">
        <f>SUMIFS($F$2:F1450,$C$2:C1450,C1450)</f>
        <v>5733</v>
      </c>
      <c r="I1450" s="8">
        <f>STAMP_Escapement_Data[[#This Row],[DATE]]-DATE(STAMP_Escapement_Data[[#This Row],[YEAR]],8,1)</f>
        <v>47</v>
      </c>
    </row>
    <row r="1451" spans="1:9" x14ac:dyDescent="0.25">
      <c r="A1451" s="1">
        <v>39709</v>
      </c>
      <c r="B1451">
        <v>918</v>
      </c>
      <c r="C1451">
        <v>2008</v>
      </c>
      <c r="D1451">
        <v>1044</v>
      </c>
      <c r="E1451">
        <v>145</v>
      </c>
      <c r="F1451">
        <v>450</v>
      </c>
      <c r="G1451">
        <v>39</v>
      </c>
      <c r="H1451">
        <f>SUMIFS($F$2:F1451,$C$2:C1451,C1451)</f>
        <v>6183</v>
      </c>
      <c r="I1451" s="8">
        <f>STAMP_Escapement_Data[[#This Row],[DATE]]-DATE(STAMP_Escapement_Data[[#This Row],[YEAR]],8,1)</f>
        <v>48</v>
      </c>
    </row>
    <row r="1452" spans="1:9" x14ac:dyDescent="0.25">
      <c r="A1452" s="1">
        <v>39710</v>
      </c>
      <c r="B1452">
        <v>919</v>
      </c>
      <c r="C1452">
        <v>2008</v>
      </c>
      <c r="D1452">
        <v>1370</v>
      </c>
      <c r="E1452">
        <v>127</v>
      </c>
      <c r="F1452">
        <v>171</v>
      </c>
      <c r="G1452">
        <v>11</v>
      </c>
      <c r="H1452">
        <f>SUMIFS($F$2:F1452,$C$2:C1452,C1452)</f>
        <v>6354</v>
      </c>
      <c r="I1452" s="8">
        <f>STAMP_Escapement_Data[[#This Row],[DATE]]-DATE(STAMP_Escapement_Data[[#This Row],[YEAR]],8,1)</f>
        <v>49</v>
      </c>
    </row>
    <row r="1453" spans="1:9" x14ac:dyDescent="0.25">
      <c r="A1453" s="1">
        <v>39711</v>
      </c>
      <c r="B1453">
        <v>920</v>
      </c>
      <c r="C1453">
        <v>2008</v>
      </c>
      <c r="D1453">
        <v>1442</v>
      </c>
      <c r="E1453">
        <v>58</v>
      </c>
      <c r="F1453">
        <v>203</v>
      </c>
      <c r="G1453">
        <v>24</v>
      </c>
      <c r="H1453">
        <f>SUMIFS($F$2:F1453,$C$2:C1453,C1453)</f>
        <v>6557</v>
      </c>
      <c r="I1453" s="8">
        <f>STAMP_Escapement_Data[[#This Row],[DATE]]-DATE(STAMP_Escapement_Data[[#This Row],[YEAR]],8,1)</f>
        <v>50</v>
      </c>
    </row>
    <row r="1454" spans="1:9" x14ac:dyDescent="0.25">
      <c r="A1454" s="1">
        <v>39712</v>
      </c>
      <c r="B1454">
        <v>921</v>
      </c>
      <c r="C1454">
        <v>2008</v>
      </c>
      <c r="D1454">
        <v>1579</v>
      </c>
      <c r="E1454">
        <v>40</v>
      </c>
      <c r="F1454">
        <v>86</v>
      </c>
      <c r="G1454">
        <v>6</v>
      </c>
      <c r="H1454">
        <f>SUMIFS($F$2:F1454,$C$2:C1454,C1454)</f>
        <v>6643</v>
      </c>
      <c r="I1454" s="8">
        <f>STAMP_Escapement_Data[[#This Row],[DATE]]-DATE(STAMP_Escapement_Data[[#This Row],[YEAR]],8,1)</f>
        <v>51</v>
      </c>
    </row>
    <row r="1455" spans="1:9" x14ac:dyDescent="0.25">
      <c r="A1455" s="1">
        <v>39713</v>
      </c>
      <c r="B1455">
        <v>922</v>
      </c>
      <c r="C1455">
        <v>2008</v>
      </c>
      <c r="D1455">
        <v>1682</v>
      </c>
      <c r="E1455">
        <v>35</v>
      </c>
      <c r="F1455">
        <v>148</v>
      </c>
      <c r="G1455">
        <v>8</v>
      </c>
      <c r="H1455">
        <f>SUMIFS($F$2:F1455,$C$2:C1455,C1455)</f>
        <v>6791</v>
      </c>
      <c r="I1455" s="8">
        <f>STAMP_Escapement_Data[[#This Row],[DATE]]-DATE(STAMP_Escapement_Data[[#This Row],[YEAR]],8,1)</f>
        <v>52</v>
      </c>
    </row>
    <row r="1456" spans="1:9" x14ac:dyDescent="0.25">
      <c r="A1456" s="1">
        <v>39714</v>
      </c>
      <c r="B1456">
        <v>923</v>
      </c>
      <c r="C1456">
        <v>2008</v>
      </c>
      <c r="D1456">
        <v>1568</v>
      </c>
      <c r="E1456">
        <v>48</v>
      </c>
      <c r="F1456">
        <v>212</v>
      </c>
      <c r="G1456">
        <v>9</v>
      </c>
      <c r="H1456">
        <f>SUMIFS($F$2:F1456,$C$2:C1456,C1456)</f>
        <v>7003</v>
      </c>
      <c r="I1456" s="8">
        <f>STAMP_Escapement_Data[[#This Row],[DATE]]-DATE(STAMP_Escapement_Data[[#This Row],[YEAR]],8,1)</f>
        <v>53</v>
      </c>
    </row>
    <row r="1457" spans="1:9" x14ac:dyDescent="0.25">
      <c r="A1457" s="1">
        <v>39715</v>
      </c>
      <c r="B1457">
        <v>924</v>
      </c>
      <c r="C1457">
        <v>2008</v>
      </c>
      <c r="D1457">
        <v>1535</v>
      </c>
      <c r="E1457">
        <v>71</v>
      </c>
      <c r="F1457">
        <v>294</v>
      </c>
      <c r="G1457">
        <v>17</v>
      </c>
      <c r="H1457">
        <f>SUMIFS($F$2:F1457,$C$2:C1457,C1457)</f>
        <v>7297</v>
      </c>
      <c r="I1457" s="8">
        <f>STAMP_Escapement_Data[[#This Row],[DATE]]-DATE(STAMP_Escapement_Data[[#This Row],[YEAR]],8,1)</f>
        <v>54</v>
      </c>
    </row>
    <row r="1458" spans="1:9" x14ac:dyDescent="0.25">
      <c r="A1458" s="1">
        <v>39716</v>
      </c>
      <c r="B1458">
        <v>925</v>
      </c>
      <c r="C1458">
        <v>2008</v>
      </c>
      <c r="D1458">
        <v>1092</v>
      </c>
      <c r="E1458">
        <v>81</v>
      </c>
      <c r="F1458">
        <v>130</v>
      </c>
      <c r="G1458">
        <v>8</v>
      </c>
      <c r="H1458">
        <f>SUMIFS($F$2:F1458,$C$2:C1458,C1458)</f>
        <v>7427</v>
      </c>
      <c r="I1458" s="8">
        <f>STAMP_Escapement_Data[[#This Row],[DATE]]-DATE(STAMP_Escapement_Data[[#This Row],[YEAR]],8,1)</f>
        <v>55</v>
      </c>
    </row>
    <row r="1459" spans="1:9" x14ac:dyDescent="0.25">
      <c r="A1459" s="1">
        <v>39717</v>
      </c>
      <c r="B1459">
        <v>926</v>
      </c>
      <c r="C1459">
        <v>2008</v>
      </c>
      <c r="D1459">
        <v>1035</v>
      </c>
      <c r="E1459">
        <v>69</v>
      </c>
      <c r="F1459">
        <v>197</v>
      </c>
      <c r="G1459">
        <v>6</v>
      </c>
      <c r="H1459">
        <f>SUMIFS($F$2:F1459,$C$2:C1459,C1459)</f>
        <v>7624</v>
      </c>
      <c r="I1459" s="8">
        <f>STAMP_Escapement_Data[[#This Row],[DATE]]-DATE(STAMP_Escapement_Data[[#This Row],[YEAR]],8,1)</f>
        <v>56</v>
      </c>
    </row>
    <row r="1460" spans="1:9" x14ac:dyDescent="0.25">
      <c r="A1460" s="1">
        <v>39718</v>
      </c>
      <c r="B1460">
        <v>927</v>
      </c>
      <c r="C1460">
        <v>2008</v>
      </c>
      <c r="D1460">
        <v>1272</v>
      </c>
      <c r="E1460">
        <v>65</v>
      </c>
      <c r="F1460">
        <v>275</v>
      </c>
      <c r="G1460">
        <v>9</v>
      </c>
      <c r="H1460">
        <f>SUMIFS($F$2:F1460,$C$2:C1460,C1460)</f>
        <v>7899</v>
      </c>
      <c r="I1460" s="8">
        <f>STAMP_Escapement_Data[[#This Row],[DATE]]-DATE(STAMP_Escapement_Data[[#This Row],[YEAR]],8,1)</f>
        <v>57</v>
      </c>
    </row>
    <row r="1461" spans="1:9" x14ac:dyDescent="0.25">
      <c r="A1461" s="1">
        <v>39719</v>
      </c>
      <c r="B1461">
        <v>928</v>
      </c>
      <c r="C1461">
        <v>2008</v>
      </c>
      <c r="D1461">
        <v>1050</v>
      </c>
      <c r="E1461">
        <v>57</v>
      </c>
      <c r="F1461">
        <v>319</v>
      </c>
      <c r="G1461">
        <v>7</v>
      </c>
      <c r="H1461">
        <f>SUMIFS($F$2:F1461,$C$2:C1461,C1461)</f>
        <v>8218</v>
      </c>
      <c r="I1461" s="8">
        <f>STAMP_Escapement_Data[[#This Row],[DATE]]-DATE(STAMP_Escapement_Data[[#This Row],[YEAR]],8,1)</f>
        <v>58</v>
      </c>
    </row>
    <row r="1462" spans="1:9" x14ac:dyDescent="0.25">
      <c r="A1462" s="1">
        <v>39720</v>
      </c>
      <c r="B1462">
        <v>929</v>
      </c>
      <c r="C1462">
        <v>2008</v>
      </c>
      <c r="D1462">
        <v>899</v>
      </c>
      <c r="E1462">
        <v>47</v>
      </c>
      <c r="F1462">
        <v>303</v>
      </c>
      <c r="G1462">
        <v>12</v>
      </c>
      <c r="H1462">
        <f>SUMIFS($F$2:F1462,$C$2:C1462,C1462)</f>
        <v>8521</v>
      </c>
      <c r="I1462" s="8">
        <f>STAMP_Escapement_Data[[#This Row],[DATE]]-DATE(STAMP_Escapement_Data[[#This Row],[YEAR]],8,1)</f>
        <v>59</v>
      </c>
    </row>
    <row r="1463" spans="1:9" x14ac:dyDescent="0.25">
      <c r="A1463" s="1">
        <v>39721</v>
      </c>
      <c r="B1463">
        <v>930</v>
      </c>
      <c r="C1463">
        <v>2008</v>
      </c>
      <c r="D1463">
        <v>992</v>
      </c>
      <c r="E1463">
        <v>40</v>
      </c>
      <c r="F1463">
        <v>376</v>
      </c>
      <c r="G1463">
        <v>20</v>
      </c>
      <c r="H1463">
        <f>SUMIFS($F$2:F1463,$C$2:C1463,C1463)</f>
        <v>8897</v>
      </c>
      <c r="I1463" s="8">
        <f>STAMP_Escapement_Data[[#This Row],[DATE]]-DATE(STAMP_Escapement_Data[[#This Row],[YEAR]],8,1)</f>
        <v>60</v>
      </c>
    </row>
    <row r="1464" spans="1:9" x14ac:dyDescent="0.25">
      <c r="A1464" s="1">
        <v>39722</v>
      </c>
      <c r="B1464">
        <v>1001</v>
      </c>
      <c r="C1464">
        <v>2008</v>
      </c>
      <c r="D1464">
        <v>1090</v>
      </c>
      <c r="E1464">
        <v>44</v>
      </c>
      <c r="F1464">
        <v>411</v>
      </c>
      <c r="G1464">
        <v>25</v>
      </c>
      <c r="H1464">
        <f>SUMIFS($F$2:F1464,$C$2:C1464,C1464)</f>
        <v>9308</v>
      </c>
      <c r="I1464" s="8">
        <f>STAMP_Escapement_Data[[#This Row],[DATE]]-DATE(STAMP_Escapement_Data[[#This Row],[YEAR]],8,1)</f>
        <v>61</v>
      </c>
    </row>
    <row r="1465" spans="1:9" x14ac:dyDescent="0.25">
      <c r="A1465" s="1">
        <v>39723</v>
      </c>
      <c r="B1465">
        <v>1002</v>
      </c>
      <c r="C1465">
        <v>2008</v>
      </c>
      <c r="D1465">
        <v>529</v>
      </c>
      <c r="E1465">
        <v>35</v>
      </c>
      <c r="F1465">
        <v>651</v>
      </c>
      <c r="G1465">
        <v>21</v>
      </c>
      <c r="H1465">
        <f>SUMIFS($F$2:F1465,$C$2:C1465,C1465)</f>
        <v>9959</v>
      </c>
      <c r="I1465" s="8">
        <f>STAMP_Escapement_Data[[#This Row],[DATE]]-DATE(STAMP_Escapement_Data[[#This Row],[YEAR]],8,1)</f>
        <v>62</v>
      </c>
    </row>
    <row r="1466" spans="1:9" x14ac:dyDescent="0.25">
      <c r="A1466" s="1">
        <v>39724</v>
      </c>
      <c r="B1466">
        <v>1003</v>
      </c>
      <c r="C1466">
        <v>2008</v>
      </c>
      <c r="D1466">
        <v>978</v>
      </c>
      <c r="E1466">
        <v>30</v>
      </c>
      <c r="F1466">
        <v>445</v>
      </c>
      <c r="G1466">
        <v>24</v>
      </c>
      <c r="H1466">
        <f>SUMIFS($F$2:F1466,$C$2:C1466,C1466)</f>
        <v>10404</v>
      </c>
      <c r="I1466" s="8">
        <f>STAMP_Escapement_Data[[#This Row],[DATE]]-DATE(STAMP_Escapement_Data[[#This Row],[YEAR]],8,1)</f>
        <v>63</v>
      </c>
    </row>
    <row r="1467" spans="1:9" x14ac:dyDescent="0.25">
      <c r="A1467" s="1">
        <v>39725</v>
      </c>
      <c r="B1467">
        <v>1004</v>
      </c>
      <c r="C1467">
        <v>2008</v>
      </c>
      <c r="D1467">
        <v>729</v>
      </c>
      <c r="E1467">
        <v>36</v>
      </c>
      <c r="F1467">
        <v>551</v>
      </c>
      <c r="G1467">
        <v>28</v>
      </c>
      <c r="H1467">
        <f>SUMIFS($F$2:F1467,$C$2:C1467,C1467)</f>
        <v>10955</v>
      </c>
      <c r="I1467" s="8">
        <f>STAMP_Escapement_Data[[#This Row],[DATE]]-DATE(STAMP_Escapement_Data[[#This Row],[YEAR]],8,1)</f>
        <v>64</v>
      </c>
    </row>
    <row r="1468" spans="1:9" x14ac:dyDescent="0.25">
      <c r="A1468" s="1">
        <v>39726</v>
      </c>
      <c r="B1468">
        <v>1005</v>
      </c>
      <c r="C1468">
        <v>2008</v>
      </c>
      <c r="D1468">
        <v>575</v>
      </c>
      <c r="E1468">
        <v>22</v>
      </c>
      <c r="F1468">
        <v>466</v>
      </c>
      <c r="G1468">
        <v>18</v>
      </c>
      <c r="H1468">
        <f>SUMIFS($F$2:F1468,$C$2:C1468,C1468)</f>
        <v>11421</v>
      </c>
      <c r="I1468" s="8">
        <f>STAMP_Escapement_Data[[#This Row],[DATE]]-DATE(STAMP_Escapement_Data[[#This Row],[YEAR]],8,1)</f>
        <v>65</v>
      </c>
    </row>
    <row r="1469" spans="1:9" x14ac:dyDescent="0.25">
      <c r="A1469" s="1">
        <v>39727</v>
      </c>
      <c r="B1469">
        <v>1006</v>
      </c>
      <c r="C1469">
        <v>2008</v>
      </c>
      <c r="D1469">
        <v>274</v>
      </c>
      <c r="E1469">
        <v>16</v>
      </c>
      <c r="F1469">
        <v>528</v>
      </c>
      <c r="G1469">
        <v>11</v>
      </c>
      <c r="H1469">
        <f>SUMIFS($F$2:F1469,$C$2:C1469,C1469)</f>
        <v>11949</v>
      </c>
      <c r="I1469" s="8">
        <f>STAMP_Escapement_Data[[#This Row],[DATE]]-DATE(STAMP_Escapement_Data[[#This Row],[YEAR]],8,1)</f>
        <v>66</v>
      </c>
    </row>
    <row r="1470" spans="1:9" x14ac:dyDescent="0.25">
      <c r="A1470" s="1">
        <v>39728</v>
      </c>
      <c r="B1470">
        <v>1007</v>
      </c>
      <c r="C1470">
        <v>2008</v>
      </c>
      <c r="D1470">
        <v>992</v>
      </c>
      <c r="E1470">
        <v>31</v>
      </c>
      <c r="F1470">
        <v>1274</v>
      </c>
      <c r="G1470">
        <v>39</v>
      </c>
      <c r="H1470">
        <f>SUMIFS($F$2:F1470,$C$2:C1470,C1470)</f>
        <v>13223</v>
      </c>
      <c r="I1470" s="8">
        <f>STAMP_Escapement_Data[[#This Row],[DATE]]-DATE(STAMP_Escapement_Data[[#This Row],[YEAR]],8,1)</f>
        <v>67</v>
      </c>
    </row>
    <row r="1471" spans="1:9" x14ac:dyDescent="0.25">
      <c r="A1471" s="1">
        <v>39729</v>
      </c>
      <c r="B1471">
        <v>1008</v>
      </c>
      <c r="C1471">
        <v>2008</v>
      </c>
      <c r="D1471">
        <v>596</v>
      </c>
      <c r="E1471">
        <v>28</v>
      </c>
      <c r="F1471">
        <v>274</v>
      </c>
      <c r="G1471">
        <v>10</v>
      </c>
      <c r="H1471">
        <f>SUMIFS($F$2:F1471,$C$2:C1471,C1471)</f>
        <v>13497</v>
      </c>
      <c r="I1471" s="8">
        <f>STAMP_Escapement_Data[[#This Row],[DATE]]-DATE(STAMP_Escapement_Data[[#This Row],[YEAR]],8,1)</f>
        <v>68</v>
      </c>
    </row>
    <row r="1472" spans="1:9" x14ac:dyDescent="0.25">
      <c r="A1472" s="1">
        <v>39730</v>
      </c>
      <c r="B1472">
        <v>1009</v>
      </c>
      <c r="C1472">
        <v>2008</v>
      </c>
      <c r="D1472">
        <v>219</v>
      </c>
      <c r="E1472">
        <v>6</v>
      </c>
      <c r="F1472">
        <v>445</v>
      </c>
      <c r="G1472">
        <v>8</v>
      </c>
      <c r="H1472">
        <f>SUMIFS($F$2:F1472,$C$2:C1472,C1472)</f>
        <v>13942</v>
      </c>
      <c r="I1472" s="8">
        <f>STAMP_Escapement_Data[[#This Row],[DATE]]-DATE(STAMP_Escapement_Data[[#This Row],[YEAR]],8,1)</f>
        <v>69</v>
      </c>
    </row>
    <row r="1473" spans="1:9" x14ac:dyDescent="0.25">
      <c r="A1473" s="1">
        <v>39731</v>
      </c>
      <c r="B1473">
        <v>1010</v>
      </c>
      <c r="C1473">
        <v>2008</v>
      </c>
      <c r="D1473">
        <v>248</v>
      </c>
      <c r="E1473">
        <v>10</v>
      </c>
      <c r="F1473">
        <v>547</v>
      </c>
      <c r="G1473">
        <v>9</v>
      </c>
      <c r="H1473">
        <f>SUMIFS($F$2:F1473,$C$2:C1473,C1473)</f>
        <v>14489</v>
      </c>
      <c r="I1473" s="8">
        <f>STAMP_Escapement_Data[[#This Row],[DATE]]-DATE(STAMP_Escapement_Data[[#This Row],[YEAR]],8,1)</f>
        <v>70</v>
      </c>
    </row>
    <row r="1474" spans="1:9" x14ac:dyDescent="0.25">
      <c r="A1474" s="1">
        <v>39732</v>
      </c>
      <c r="B1474">
        <v>1011</v>
      </c>
      <c r="C1474">
        <v>2008</v>
      </c>
      <c r="D1474">
        <v>353</v>
      </c>
      <c r="E1474">
        <v>13</v>
      </c>
      <c r="F1474">
        <v>510</v>
      </c>
      <c r="G1474">
        <v>12</v>
      </c>
      <c r="H1474">
        <f>SUMIFS($F$2:F1474,$C$2:C1474,C1474)</f>
        <v>14999</v>
      </c>
      <c r="I1474" s="8">
        <f>STAMP_Escapement_Data[[#This Row],[DATE]]-DATE(STAMP_Escapement_Data[[#This Row],[YEAR]],8,1)</f>
        <v>71</v>
      </c>
    </row>
    <row r="1475" spans="1:9" x14ac:dyDescent="0.25">
      <c r="A1475" s="1">
        <v>39733</v>
      </c>
      <c r="B1475">
        <v>1012</v>
      </c>
      <c r="C1475">
        <v>2008</v>
      </c>
      <c r="D1475">
        <v>406</v>
      </c>
      <c r="E1475">
        <v>13</v>
      </c>
      <c r="F1475">
        <v>666</v>
      </c>
      <c r="G1475">
        <v>14</v>
      </c>
      <c r="H1475">
        <f>SUMIFS($F$2:F1475,$C$2:C1475,C1475)</f>
        <v>15665</v>
      </c>
      <c r="I1475" s="8">
        <f>STAMP_Escapement_Data[[#This Row],[DATE]]-DATE(STAMP_Escapement_Data[[#This Row],[YEAR]],8,1)</f>
        <v>72</v>
      </c>
    </row>
    <row r="1476" spans="1:9" x14ac:dyDescent="0.25">
      <c r="A1476" s="1">
        <v>39734</v>
      </c>
      <c r="B1476">
        <v>1013</v>
      </c>
      <c r="C1476">
        <v>2008</v>
      </c>
      <c r="D1476">
        <v>222</v>
      </c>
      <c r="E1476">
        <v>14</v>
      </c>
      <c r="F1476">
        <v>546</v>
      </c>
      <c r="G1476">
        <v>14</v>
      </c>
      <c r="H1476">
        <f>SUMIFS($F$2:F1476,$C$2:C1476,C1476)</f>
        <v>16211</v>
      </c>
      <c r="I1476" s="8">
        <f>STAMP_Escapement_Data[[#This Row],[DATE]]-DATE(STAMP_Escapement_Data[[#This Row],[YEAR]],8,1)</f>
        <v>73</v>
      </c>
    </row>
    <row r="1477" spans="1:9" x14ac:dyDescent="0.25">
      <c r="A1477" s="1">
        <v>39735</v>
      </c>
      <c r="B1477">
        <v>1014</v>
      </c>
      <c r="C1477">
        <v>2008</v>
      </c>
      <c r="D1477">
        <v>162</v>
      </c>
      <c r="E1477">
        <v>12</v>
      </c>
      <c r="F1477">
        <v>418</v>
      </c>
      <c r="G1477">
        <v>8</v>
      </c>
      <c r="H1477">
        <f>SUMIFS($F$2:F1477,$C$2:C1477,C1477)</f>
        <v>16629</v>
      </c>
      <c r="I1477" s="8">
        <f>STAMP_Escapement_Data[[#This Row],[DATE]]-DATE(STAMP_Escapement_Data[[#This Row],[YEAR]],8,1)</f>
        <v>74</v>
      </c>
    </row>
    <row r="1478" spans="1:9" x14ac:dyDescent="0.25">
      <c r="A1478" s="1">
        <v>39736</v>
      </c>
      <c r="B1478">
        <v>1015</v>
      </c>
      <c r="C1478">
        <v>2008</v>
      </c>
      <c r="D1478">
        <v>183</v>
      </c>
      <c r="E1478">
        <v>10</v>
      </c>
      <c r="F1478">
        <v>582</v>
      </c>
      <c r="G1478">
        <v>5</v>
      </c>
      <c r="H1478">
        <f>SUMIFS($F$2:F1478,$C$2:C1478,C1478)</f>
        <v>17211</v>
      </c>
      <c r="I1478" s="8">
        <f>STAMP_Escapement_Data[[#This Row],[DATE]]-DATE(STAMP_Escapement_Data[[#This Row],[YEAR]],8,1)</f>
        <v>75</v>
      </c>
    </row>
    <row r="1479" spans="1:9" x14ac:dyDescent="0.25">
      <c r="A1479" s="1">
        <v>39737</v>
      </c>
      <c r="B1479">
        <v>1016</v>
      </c>
      <c r="C1479">
        <v>2008</v>
      </c>
      <c r="D1479">
        <v>121</v>
      </c>
      <c r="E1479">
        <v>8</v>
      </c>
      <c r="F1479">
        <v>491</v>
      </c>
      <c r="G1479">
        <v>18</v>
      </c>
      <c r="H1479">
        <f>SUMIFS($F$2:F1479,$C$2:C1479,C1479)</f>
        <v>17702</v>
      </c>
      <c r="I1479" s="8">
        <f>STAMP_Escapement_Data[[#This Row],[DATE]]-DATE(STAMP_Escapement_Data[[#This Row],[YEAR]],8,1)</f>
        <v>76</v>
      </c>
    </row>
    <row r="1480" spans="1:9" x14ac:dyDescent="0.25">
      <c r="A1480" s="1">
        <v>39738</v>
      </c>
      <c r="B1480">
        <v>1017</v>
      </c>
      <c r="C1480">
        <v>2008</v>
      </c>
      <c r="D1480">
        <v>7</v>
      </c>
      <c r="E1480">
        <v>2</v>
      </c>
      <c r="F1480">
        <v>27</v>
      </c>
      <c r="G1480">
        <v>0</v>
      </c>
      <c r="H1480">
        <f>SUMIFS($F$2:F1480,$C$2:C1480,C1480)</f>
        <v>17729</v>
      </c>
      <c r="I1480" s="8">
        <f>STAMP_Escapement_Data[[#This Row],[DATE]]-DATE(STAMP_Escapement_Data[[#This Row],[YEAR]],8,1)</f>
        <v>77</v>
      </c>
    </row>
    <row r="1481" spans="1:9" x14ac:dyDescent="0.25">
      <c r="A1481" s="1">
        <v>39739</v>
      </c>
      <c r="B1481">
        <v>1018</v>
      </c>
      <c r="C1481">
        <v>2008</v>
      </c>
      <c r="D1481">
        <v>144</v>
      </c>
      <c r="E1481">
        <v>3</v>
      </c>
      <c r="F1481">
        <v>217</v>
      </c>
      <c r="G1481">
        <v>6</v>
      </c>
      <c r="H1481">
        <f>SUMIFS($F$2:F1481,$C$2:C1481,C1481)</f>
        <v>17946</v>
      </c>
      <c r="I1481" s="8">
        <f>STAMP_Escapement_Data[[#This Row],[DATE]]-DATE(STAMP_Escapement_Data[[#This Row],[YEAR]],8,1)</f>
        <v>78</v>
      </c>
    </row>
    <row r="1482" spans="1:9" x14ac:dyDescent="0.25">
      <c r="A1482" s="1">
        <v>39740</v>
      </c>
      <c r="B1482">
        <v>1019</v>
      </c>
      <c r="C1482">
        <v>2008</v>
      </c>
      <c r="D1482">
        <v>102</v>
      </c>
      <c r="E1482">
        <v>6</v>
      </c>
      <c r="F1482">
        <v>472</v>
      </c>
      <c r="G1482">
        <v>18</v>
      </c>
      <c r="H1482">
        <f>SUMIFS($F$2:F1482,$C$2:C1482,C1482)</f>
        <v>18418</v>
      </c>
      <c r="I1482" s="8">
        <f>STAMP_Escapement_Data[[#This Row],[DATE]]-DATE(STAMP_Escapement_Data[[#This Row],[YEAR]],8,1)</f>
        <v>79</v>
      </c>
    </row>
    <row r="1483" spans="1:9" x14ac:dyDescent="0.25">
      <c r="A1483" s="1">
        <v>39741</v>
      </c>
      <c r="B1483">
        <v>1020</v>
      </c>
      <c r="C1483">
        <v>2008</v>
      </c>
      <c r="D1483">
        <v>123</v>
      </c>
      <c r="E1483">
        <v>17</v>
      </c>
      <c r="F1483">
        <v>691</v>
      </c>
      <c r="G1483">
        <v>9</v>
      </c>
      <c r="H1483">
        <f>SUMIFS($F$2:F1483,$C$2:C1483,C1483)</f>
        <v>19109</v>
      </c>
      <c r="I1483" s="8">
        <f>STAMP_Escapement_Data[[#This Row],[DATE]]-DATE(STAMP_Escapement_Data[[#This Row],[YEAR]],8,1)</f>
        <v>80</v>
      </c>
    </row>
    <row r="1484" spans="1:9" x14ac:dyDescent="0.25">
      <c r="A1484" s="1">
        <v>39742</v>
      </c>
      <c r="B1484">
        <v>1021</v>
      </c>
      <c r="C1484">
        <v>2008</v>
      </c>
      <c r="D1484">
        <v>136</v>
      </c>
      <c r="E1484">
        <v>7</v>
      </c>
      <c r="F1484">
        <v>386</v>
      </c>
      <c r="G1484">
        <v>6</v>
      </c>
      <c r="H1484">
        <f>SUMIFS($F$2:F1484,$C$2:C1484,C1484)</f>
        <v>19495</v>
      </c>
      <c r="I1484" s="8">
        <f>STAMP_Escapement_Data[[#This Row],[DATE]]-DATE(STAMP_Escapement_Data[[#This Row],[YEAR]],8,1)</f>
        <v>81</v>
      </c>
    </row>
    <row r="1485" spans="1:9" x14ac:dyDescent="0.25">
      <c r="A1485" s="1">
        <v>39743</v>
      </c>
      <c r="B1485">
        <v>1022</v>
      </c>
      <c r="C1485">
        <v>2008</v>
      </c>
      <c r="D1485">
        <v>122</v>
      </c>
      <c r="E1485">
        <v>9</v>
      </c>
      <c r="F1485">
        <v>367</v>
      </c>
      <c r="G1485">
        <v>12</v>
      </c>
      <c r="H1485">
        <f>SUMIFS($F$2:F1485,$C$2:C1485,C1485)</f>
        <v>19862</v>
      </c>
      <c r="I1485" s="8">
        <f>STAMP_Escapement_Data[[#This Row],[DATE]]-DATE(STAMP_Escapement_Data[[#This Row],[YEAR]],8,1)</f>
        <v>82</v>
      </c>
    </row>
    <row r="1486" spans="1:9" x14ac:dyDescent="0.25">
      <c r="A1486" s="1">
        <v>39744</v>
      </c>
      <c r="B1486">
        <v>1023</v>
      </c>
      <c r="C1486">
        <v>2008</v>
      </c>
      <c r="D1486">
        <v>104</v>
      </c>
      <c r="E1486">
        <v>9</v>
      </c>
      <c r="F1486">
        <v>367</v>
      </c>
      <c r="G1486">
        <v>16</v>
      </c>
      <c r="H1486">
        <f>SUMIFS($F$2:F1486,$C$2:C1486,C1486)</f>
        <v>20229</v>
      </c>
      <c r="I1486" s="8">
        <f>STAMP_Escapement_Data[[#This Row],[DATE]]-DATE(STAMP_Escapement_Data[[#This Row],[YEAR]],8,1)</f>
        <v>83</v>
      </c>
    </row>
    <row r="1487" spans="1:9" x14ac:dyDescent="0.25">
      <c r="A1487" s="1">
        <v>39745</v>
      </c>
      <c r="B1487">
        <v>1024</v>
      </c>
      <c r="C1487">
        <v>2008</v>
      </c>
      <c r="D1487">
        <v>71</v>
      </c>
      <c r="E1487">
        <v>4</v>
      </c>
      <c r="F1487">
        <v>161</v>
      </c>
      <c r="G1487">
        <v>8</v>
      </c>
      <c r="H1487">
        <f>SUMIFS($F$2:F1487,$C$2:C1487,C1487)</f>
        <v>20390</v>
      </c>
      <c r="I1487" s="8">
        <f>STAMP_Escapement_Data[[#This Row],[DATE]]-DATE(STAMP_Escapement_Data[[#This Row],[YEAR]],8,1)</f>
        <v>84</v>
      </c>
    </row>
    <row r="1488" spans="1:9" x14ac:dyDescent="0.25">
      <c r="A1488" s="1">
        <v>39746</v>
      </c>
      <c r="B1488">
        <v>1025</v>
      </c>
      <c r="C1488">
        <v>2008</v>
      </c>
      <c r="D1488">
        <v>62</v>
      </c>
      <c r="E1488">
        <v>0</v>
      </c>
      <c r="F1488">
        <v>156</v>
      </c>
      <c r="G1488">
        <v>5</v>
      </c>
      <c r="H1488">
        <f>SUMIFS($F$2:F1488,$C$2:C1488,C1488)</f>
        <v>20546</v>
      </c>
      <c r="I1488" s="8">
        <f>STAMP_Escapement_Data[[#This Row],[DATE]]-DATE(STAMP_Escapement_Data[[#This Row],[YEAR]],8,1)</f>
        <v>85</v>
      </c>
    </row>
    <row r="1489" spans="1:9" x14ac:dyDescent="0.25">
      <c r="A1489" s="1">
        <v>39747</v>
      </c>
      <c r="B1489">
        <v>1026</v>
      </c>
      <c r="C1489">
        <v>2008</v>
      </c>
      <c r="D1489">
        <v>15</v>
      </c>
      <c r="E1489">
        <v>0</v>
      </c>
      <c r="F1489">
        <v>68</v>
      </c>
      <c r="G1489">
        <v>0</v>
      </c>
      <c r="H1489">
        <f>SUMIFS($F$2:F1489,$C$2:C1489,C1489)</f>
        <v>20614</v>
      </c>
      <c r="I1489" s="8">
        <f>STAMP_Escapement_Data[[#This Row],[DATE]]-DATE(STAMP_Escapement_Data[[#This Row],[YEAR]],8,1)</f>
        <v>86</v>
      </c>
    </row>
    <row r="1490" spans="1:9" x14ac:dyDescent="0.25">
      <c r="A1490" s="1">
        <v>39748</v>
      </c>
      <c r="B1490">
        <v>1027</v>
      </c>
      <c r="C1490">
        <v>2008</v>
      </c>
      <c r="D1490">
        <v>48</v>
      </c>
      <c r="E1490">
        <v>5</v>
      </c>
      <c r="F1490">
        <v>98</v>
      </c>
      <c r="G1490">
        <v>3</v>
      </c>
      <c r="H1490">
        <f>SUMIFS($F$2:F1490,$C$2:C1490,C1490)</f>
        <v>20712</v>
      </c>
      <c r="I1490" s="8">
        <f>STAMP_Escapement_Data[[#This Row],[DATE]]-DATE(STAMP_Escapement_Data[[#This Row],[YEAR]],8,1)</f>
        <v>87</v>
      </c>
    </row>
    <row r="1491" spans="1:9" x14ac:dyDescent="0.25">
      <c r="A1491" s="1">
        <v>39749</v>
      </c>
      <c r="B1491">
        <v>1028</v>
      </c>
      <c r="C1491">
        <v>2008</v>
      </c>
      <c r="D1491">
        <v>59</v>
      </c>
      <c r="E1491">
        <v>2</v>
      </c>
      <c r="F1491">
        <v>83</v>
      </c>
      <c r="G1491">
        <v>2</v>
      </c>
      <c r="H1491">
        <f>SUMIFS($F$2:F1491,$C$2:C1491,C1491)</f>
        <v>20795</v>
      </c>
      <c r="I1491" s="8">
        <f>STAMP_Escapement_Data[[#This Row],[DATE]]-DATE(STAMP_Escapement_Data[[#This Row],[YEAR]],8,1)</f>
        <v>88</v>
      </c>
    </row>
    <row r="1492" spans="1:9" x14ac:dyDescent="0.25">
      <c r="A1492" s="1">
        <v>39750</v>
      </c>
      <c r="B1492">
        <v>1029</v>
      </c>
      <c r="C1492">
        <v>2008</v>
      </c>
      <c r="D1492">
        <v>56</v>
      </c>
      <c r="E1492">
        <v>89</v>
      </c>
      <c r="F1492">
        <v>93</v>
      </c>
      <c r="G1492">
        <v>3</v>
      </c>
      <c r="H1492">
        <f>SUMIFS($F$2:F1492,$C$2:C1492,C1492)</f>
        <v>20888</v>
      </c>
      <c r="I1492" s="8">
        <f>STAMP_Escapement_Data[[#This Row],[DATE]]-DATE(STAMP_Escapement_Data[[#This Row],[YEAR]],8,1)</f>
        <v>89</v>
      </c>
    </row>
    <row r="1493" spans="1:9" x14ac:dyDescent="0.25">
      <c r="A1493" s="1">
        <v>39751</v>
      </c>
      <c r="B1493">
        <v>1030</v>
      </c>
      <c r="C1493">
        <v>2008</v>
      </c>
      <c r="D1493">
        <v>157</v>
      </c>
      <c r="E1493">
        <v>71</v>
      </c>
      <c r="F1493">
        <v>74</v>
      </c>
      <c r="G1493">
        <v>3</v>
      </c>
      <c r="H1493">
        <f>SUMIFS($F$2:F1493,$C$2:C1493,C1493)</f>
        <v>20962</v>
      </c>
      <c r="I1493" s="8">
        <f>STAMP_Escapement_Data[[#This Row],[DATE]]-DATE(STAMP_Escapement_Data[[#This Row],[YEAR]],8,1)</f>
        <v>90</v>
      </c>
    </row>
    <row r="1494" spans="1:9" x14ac:dyDescent="0.25">
      <c r="A1494" s="1">
        <v>39752</v>
      </c>
      <c r="B1494">
        <v>1031</v>
      </c>
      <c r="C1494">
        <v>2008</v>
      </c>
      <c r="D1494">
        <v>411</v>
      </c>
      <c r="E1494">
        <v>55</v>
      </c>
      <c r="F1494">
        <v>73</v>
      </c>
      <c r="G1494">
        <v>2</v>
      </c>
      <c r="H1494">
        <f>SUMIFS($F$2:F1494,$C$2:C1494,C1494)</f>
        <v>21035</v>
      </c>
      <c r="I1494" s="8">
        <f>STAMP_Escapement_Data[[#This Row],[DATE]]-DATE(STAMP_Escapement_Data[[#This Row],[YEAR]],8,1)</f>
        <v>91</v>
      </c>
    </row>
    <row r="1495" spans="1:9" x14ac:dyDescent="0.25">
      <c r="A1495" s="1">
        <v>39753</v>
      </c>
      <c r="B1495">
        <v>1101</v>
      </c>
      <c r="C1495">
        <v>2008</v>
      </c>
      <c r="D1495">
        <v>740</v>
      </c>
      <c r="E1495">
        <v>25</v>
      </c>
      <c r="F1495">
        <v>21</v>
      </c>
      <c r="G1495">
        <v>2</v>
      </c>
      <c r="H1495">
        <f>SUMIFS($F$2:F1495,$C$2:C1495,C1495)</f>
        <v>21056</v>
      </c>
      <c r="I1495" s="8">
        <f>STAMP_Escapement_Data[[#This Row],[DATE]]-DATE(STAMP_Escapement_Data[[#This Row],[YEAR]],8,1)</f>
        <v>92</v>
      </c>
    </row>
    <row r="1496" spans="1:9" x14ac:dyDescent="0.25">
      <c r="A1496" s="1">
        <v>39754</v>
      </c>
      <c r="B1496">
        <v>1102</v>
      </c>
      <c r="C1496">
        <v>2008</v>
      </c>
      <c r="D1496">
        <v>0</v>
      </c>
      <c r="E1496">
        <v>0</v>
      </c>
      <c r="F1496">
        <v>0</v>
      </c>
      <c r="G1496">
        <v>0</v>
      </c>
      <c r="H1496">
        <f>SUMIFS($F$2:F1496,$C$2:C1496,C1496)</f>
        <v>21056</v>
      </c>
      <c r="I1496" s="8">
        <f>STAMP_Escapement_Data[[#This Row],[DATE]]-DATE(STAMP_Escapement_Data[[#This Row],[YEAR]],8,1)</f>
        <v>93</v>
      </c>
    </row>
    <row r="1497" spans="1:9" x14ac:dyDescent="0.25">
      <c r="A1497" s="1">
        <v>39755</v>
      </c>
      <c r="B1497">
        <v>1103</v>
      </c>
      <c r="C1497">
        <v>2008</v>
      </c>
      <c r="D1497">
        <v>0</v>
      </c>
      <c r="E1497">
        <v>0</v>
      </c>
      <c r="F1497">
        <v>0</v>
      </c>
      <c r="G1497">
        <v>0</v>
      </c>
      <c r="H1497">
        <f>SUMIFS($F$2:F1497,$C$2:C1497,C1497)</f>
        <v>21056</v>
      </c>
      <c r="I1497" s="8">
        <f>STAMP_Escapement_Data[[#This Row],[DATE]]-DATE(STAMP_Escapement_Data[[#This Row],[YEAR]],8,1)</f>
        <v>94</v>
      </c>
    </row>
    <row r="1498" spans="1:9" x14ac:dyDescent="0.25">
      <c r="A1498" s="1">
        <v>39756</v>
      </c>
      <c r="B1498">
        <v>1104</v>
      </c>
      <c r="C1498">
        <v>2008</v>
      </c>
      <c r="D1498">
        <v>424</v>
      </c>
      <c r="E1498">
        <v>8</v>
      </c>
      <c r="F1498">
        <v>4</v>
      </c>
      <c r="G1498">
        <v>0</v>
      </c>
      <c r="H1498">
        <f>SUMIFS($F$2:F1498,$C$2:C1498,C1498)</f>
        <v>21060</v>
      </c>
      <c r="I1498" s="8">
        <f>STAMP_Escapement_Data[[#This Row],[DATE]]-DATE(STAMP_Escapement_Data[[#This Row],[YEAR]],8,1)</f>
        <v>95</v>
      </c>
    </row>
    <row r="1499" spans="1:9" x14ac:dyDescent="0.25">
      <c r="A1499" s="1">
        <v>39757</v>
      </c>
      <c r="B1499">
        <v>1105</v>
      </c>
      <c r="C1499">
        <v>2008</v>
      </c>
      <c r="D1499">
        <v>39</v>
      </c>
      <c r="E1499">
        <v>2</v>
      </c>
      <c r="F1499">
        <v>4</v>
      </c>
      <c r="G1499">
        <v>0</v>
      </c>
      <c r="H1499">
        <f>SUMIFS($F$2:F1499,$C$2:C1499,C1499)</f>
        <v>21064</v>
      </c>
      <c r="I1499" s="8">
        <f>STAMP_Escapement_Data[[#This Row],[DATE]]-DATE(STAMP_Escapement_Data[[#This Row],[YEAR]],8,1)</f>
        <v>96</v>
      </c>
    </row>
    <row r="1500" spans="1:9" x14ac:dyDescent="0.25">
      <c r="A1500" s="1">
        <v>39758</v>
      </c>
      <c r="B1500">
        <v>1106</v>
      </c>
      <c r="C1500">
        <v>2008</v>
      </c>
      <c r="D1500">
        <v>73</v>
      </c>
      <c r="E1500">
        <v>16</v>
      </c>
      <c r="F1500">
        <v>7</v>
      </c>
      <c r="G1500">
        <v>1</v>
      </c>
      <c r="H1500">
        <f>SUMIFS($F$2:F1500,$C$2:C1500,C1500)</f>
        <v>21071</v>
      </c>
      <c r="I1500" s="8">
        <f>STAMP_Escapement_Data[[#This Row],[DATE]]-DATE(STAMP_Escapement_Data[[#This Row],[YEAR]],8,1)</f>
        <v>97</v>
      </c>
    </row>
    <row r="1501" spans="1:9" x14ac:dyDescent="0.25">
      <c r="A1501" s="1">
        <v>39759</v>
      </c>
      <c r="B1501">
        <v>1107</v>
      </c>
      <c r="C1501">
        <v>2008</v>
      </c>
      <c r="D1501">
        <v>44</v>
      </c>
      <c r="E1501">
        <v>10</v>
      </c>
      <c r="F1501">
        <v>5</v>
      </c>
      <c r="G1501">
        <v>0</v>
      </c>
      <c r="H1501">
        <f>SUMIFS($F$2:F1501,$C$2:C1501,C1501)</f>
        <v>21076</v>
      </c>
      <c r="I1501" s="8">
        <f>STAMP_Escapement_Data[[#This Row],[DATE]]-DATE(STAMP_Escapement_Data[[#This Row],[YEAR]],8,1)</f>
        <v>98</v>
      </c>
    </row>
    <row r="1502" spans="1:9" x14ac:dyDescent="0.25">
      <c r="A1502" s="1">
        <v>39760</v>
      </c>
      <c r="B1502">
        <v>1108</v>
      </c>
      <c r="C1502">
        <v>2008</v>
      </c>
      <c r="D1502">
        <v>0</v>
      </c>
      <c r="E1502">
        <v>0</v>
      </c>
      <c r="F1502">
        <v>0</v>
      </c>
      <c r="G1502">
        <v>0</v>
      </c>
      <c r="H1502">
        <f>SUMIFS($F$2:F1502,$C$2:C1502,C1502)</f>
        <v>21076</v>
      </c>
      <c r="I1502" s="8">
        <f>STAMP_Escapement_Data[[#This Row],[DATE]]-DATE(STAMP_Escapement_Data[[#This Row],[YEAR]],8,1)</f>
        <v>99</v>
      </c>
    </row>
    <row r="1503" spans="1:9" x14ac:dyDescent="0.25">
      <c r="A1503" s="1">
        <v>39761</v>
      </c>
      <c r="B1503">
        <v>1109</v>
      </c>
      <c r="C1503">
        <v>2008</v>
      </c>
      <c r="D1503">
        <v>0</v>
      </c>
      <c r="E1503">
        <v>0</v>
      </c>
      <c r="F1503">
        <v>0</v>
      </c>
      <c r="G1503">
        <v>0</v>
      </c>
      <c r="H1503">
        <f>SUMIFS($F$2:F1503,$C$2:C1503,C1503)</f>
        <v>21076</v>
      </c>
      <c r="I1503" s="8">
        <f>STAMP_Escapement_Data[[#This Row],[DATE]]-DATE(STAMP_Escapement_Data[[#This Row],[YEAR]],8,1)</f>
        <v>100</v>
      </c>
    </row>
    <row r="1504" spans="1:9" x14ac:dyDescent="0.25">
      <c r="A1504" s="1">
        <v>39762</v>
      </c>
      <c r="B1504">
        <v>1110</v>
      </c>
      <c r="C1504">
        <v>2008</v>
      </c>
      <c r="D1504">
        <v>0</v>
      </c>
      <c r="E1504">
        <v>0</v>
      </c>
      <c r="F1504">
        <v>0</v>
      </c>
      <c r="G1504">
        <v>0</v>
      </c>
      <c r="H1504">
        <f>SUMIFS($F$2:F1504,$C$2:C1504,C1504)</f>
        <v>21076</v>
      </c>
      <c r="I1504" s="8">
        <f>STAMP_Escapement_Data[[#This Row],[DATE]]-DATE(STAMP_Escapement_Data[[#This Row],[YEAR]],8,1)</f>
        <v>101</v>
      </c>
    </row>
    <row r="1505" spans="1:9" x14ac:dyDescent="0.25">
      <c r="A1505" s="1">
        <v>39763</v>
      </c>
      <c r="B1505">
        <v>1111</v>
      </c>
      <c r="C1505">
        <v>2008</v>
      </c>
      <c r="D1505">
        <v>109</v>
      </c>
      <c r="E1505">
        <v>5</v>
      </c>
      <c r="F1505">
        <v>3</v>
      </c>
      <c r="G1505">
        <v>0</v>
      </c>
      <c r="H1505">
        <f>SUMIFS($F$2:F1505,$C$2:C1505,C1505)</f>
        <v>21079</v>
      </c>
      <c r="I1505" s="8">
        <f>STAMP_Escapement_Data[[#This Row],[DATE]]-DATE(STAMP_Escapement_Data[[#This Row],[YEAR]],8,1)</f>
        <v>102</v>
      </c>
    </row>
    <row r="1506" spans="1:9" x14ac:dyDescent="0.25">
      <c r="A1506" s="1">
        <v>39764</v>
      </c>
      <c r="B1506">
        <v>1112</v>
      </c>
      <c r="C1506">
        <v>2008</v>
      </c>
      <c r="D1506">
        <v>34</v>
      </c>
      <c r="E1506">
        <v>0</v>
      </c>
      <c r="F1506">
        <v>1</v>
      </c>
      <c r="G1506">
        <v>0</v>
      </c>
      <c r="H1506">
        <f>SUMIFS($F$2:F1506,$C$2:C1506,C1506)</f>
        <v>21080</v>
      </c>
      <c r="I1506" s="8">
        <f>STAMP_Escapement_Data[[#This Row],[DATE]]-DATE(STAMP_Escapement_Data[[#This Row],[YEAR]],8,1)</f>
        <v>103</v>
      </c>
    </row>
    <row r="1507" spans="1:9" x14ac:dyDescent="0.25">
      <c r="A1507" s="1">
        <v>40059</v>
      </c>
      <c r="B1507">
        <v>903</v>
      </c>
      <c r="C1507">
        <v>2009</v>
      </c>
      <c r="D1507">
        <v>745</v>
      </c>
      <c r="E1507">
        <v>200</v>
      </c>
      <c r="F1507">
        <v>0</v>
      </c>
      <c r="G1507">
        <v>0</v>
      </c>
      <c r="H1507">
        <f>SUMIFS($F$2:F1507,$C$2:C1507,C1507)</f>
        <v>0</v>
      </c>
      <c r="I1507" s="8">
        <f>STAMP_Escapement_Data[[#This Row],[DATE]]-DATE(STAMP_Escapement_Data[[#This Row],[YEAR]],8,1)</f>
        <v>33</v>
      </c>
    </row>
    <row r="1508" spans="1:9" x14ac:dyDescent="0.25">
      <c r="A1508" s="1">
        <v>40059</v>
      </c>
      <c r="B1508">
        <v>903</v>
      </c>
      <c r="C1508">
        <v>2009</v>
      </c>
      <c r="D1508">
        <v>2185</v>
      </c>
      <c r="E1508">
        <v>0</v>
      </c>
      <c r="F1508">
        <v>318</v>
      </c>
      <c r="G1508">
        <v>125</v>
      </c>
      <c r="H1508">
        <f>SUMIFS($F$2:F1508,$C$2:C1508,C1508)</f>
        <v>318</v>
      </c>
      <c r="I1508" s="8">
        <f>STAMP_Escapement_Data[[#This Row],[DATE]]-DATE(STAMP_Escapement_Data[[#This Row],[YEAR]],8,1)</f>
        <v>33</v>
      </c>
    </row>
    <row r="1509" spans="1:9" x14ac:dyDescent="0.25">
      <c r="A1509" s="1">
        <v>40059</v>
      </c>
      <c r="B1509">
        <v>903</v>
      </c>
      <c r="C1509">
        <v>2009</v>
      </c>
      <c r="D1509">
        <v>596</v>
      </c>
      <c r="E1509">
        <v>31</v>
      </c>
      <c r="F1509">
        <v>133</v>
      </c>
      <c r="G1509">
        <v>93</v>
      </c>
      <c r="H1509">
        <f>SUMIFS($F$2:F1509,$C$2:C1509,C1509)</f>
        <v>451</v>
      </c>
      <c r="I1509" s="8">
        <f>STAMP_Escapement_Data[[#This Row],[DATE]]-DATE(STAMP_Escapement_Data[[#This Row],[YEAR]],8,1)</f>
        <v>33</v>
      </c>
    </row>
    <row r="1510" spans="1:9" x14ac:dyDescent="0.25">
      <c r="A1510" s="1">
        <v>40060</v>
      </c>
      <c r="B1510">
        <v>904</v>
      </c>
      <c r="C1510">
        <v>2009</v>
      </c>
      <c r="D1510">
        <v>839</v>
      </c>
      <c r="E1510">
        <v>38</v>
      </c>
      <c r="F1510">
        <v>52</v>
      </c>
      <c r="G1510">
        <v>64</v>
      </c>
      <c r="H1510">
        <f>SUMIFS($F$2:F1510,$C$2:C1510,C1510)</f>
        <v>503</v>
      </c>
      <c r="I1510" s="8">
        <f>STAMP_Escapement_Data[[#This Row],[DATE]]-DATE(STAMP_Escapement_Data[[#This Row],[YEAR]],8,1)</f>
        <v>34</v>
      </c>
    </row>
    <row r="1511" spans="1:9" x14ac:dyDescent="0.25">
      <c r="A1511" s="1">
        <v>40061</v>
      </c>
      <c r="B1511">
        <v>905</v>
      </c>
      <c r="C1511">
        <v>2009</v>
      </c>
      <c r="D1511">
        <v>1099</v>
      </c>
      <c r="E1511">
        <v>17</v>
      </c>
      <c r="F1511">
        <v>217</v>
      </c>
      <c r="G1511">
        <v>86</v>
      </c>
      <c r="H1511">
        <f>SUMIFS($F$2:F1511,$C$2:C1511,C1511)</f>
        <v>720</v>
      </c>
      <c r="I1511" s="8">
        <f>STAMP_Escapement_Data[[#This Row],[DATE]]-DATE(STAMP_Escapement_Data[[#This Row],[YEAR]],8,1)</f>
        <v>35</v>
      </c>
    </row>
    <row r="1512" spans="1:9" x14ac:dyDescent="0.25">
      <c r="A1512" s="1">
        <v>40062</v>
      </c>
      <c r="B1512">
        <v>906</v>
      </c>
      <c r="C1512">
        <v>2009</v>
      </c>
      <c r="D1512">
        <v>1254</v>
      </c>
      <c r="E1512">
        <v>34</v>
      </c>
      <c r="F1512">
        <v>152</v>
      </c>
      <c r="G1512">
        <v>33</v>
      </c>
      <c r="H1512">
        <f>SUMIFS($F$2:F1512,$C$2:C1512,C1512)</f>
        <v>872</v>
      </c>
      <c r="I1512" s="8">
        <f>STAMP_Escapement_Data[[#This Row],[DATE]]-DATE(STAMP_Escapement_Data[[#This Row],[YEAR]],8,1)</f>
        <v>36</v>
      </c>
    </row>
    <row r="1513" spans="1:9" x14ac:dyDescent="0.25">
      <c r="A1513" s="1">
        <v>40063</v>
      </c>
      <c r="B1513">
        <v>907</v>
      </c>
      <c r="C1513">
        <v>2009</v>
      </c>
      <c r="D1513">
        <v>1068</v>
      </c>
      <c r="E1513">
        <v>40</v>
      </c>
      <c r="F1513">
        <v>132</v>
      </c>
      <c r="G1513">
        <v>38</v>
      </c>
      <c r="H1513">
        <f>SUMIFS($F$2:F1513,$C$2:C1513,C1513)</f>
        <v>1004</v>
      </c>
      <c r="I1513" s="8">
        <f>STAMP_Escapement_Data[[#This Row],[DATE]]-DATE(STAMP_Escapement_Data[[#This Row],[YEAR]],8,1)</f>
        <v>37</v>
      </c>
    </row>
    <row r="1514" spans="1:9" x14ac:dyDescent="0.25">
      <c r="A1514" s="1">
        <v>40064</v>
      </c>
      <c r="B1514">
        <v>908</v>
      </c>
      <c r="C1514">
        <v>2009</v>
      </c>
      <c r="D1514">
        <v>1297</v>
      </c>
      <c r="E1514">
        <v>53</v>
      </c>
      <c r="F1514">
        <v>126</v>
      </c>
      <c r="G1514">
        <v>45</v>
      </c>
      <c r="H1514">
        <f>SUMIFS($F$2:F1514,$C$2:C1514,C1514)</f>
        <v>1130</v>
      </c>
      <c r="I1514" s="8">
        <f>STAMP_Escapement_Data[[#This Row],[DATE]]-DATE(STAMP_Escapement_Data[[#This Row],[YEAR]],8,1)</f>
        <v>38</v>
      </c>
    </row>
    <row r="1515" spans="1:9" x14ac:dyDescent="0.25">
      <c r="A1515" s="1">
        <v>40065</v>
      </c>
      <c r="B1515">
        <v>909</v>
      </c>
      <c r="C1515">
        <v>2009</v>
      </c>
      <c r="D1515">
        <v>734</v>
      </c>
      <c r="E1515">
        <v>18</v>
      </c>
      <c r="F1515">
        <v>68</v>
      </c>
      <c r="G1515">
        <v>16</v>
      </c>
      <c r="H1515">
        <f>SUMIFS($F$2:F1515,$C$2:C1515,C1515)</f>
        <v>1198</v>
      </c>
      <c r="I1515" s="8">
        <f>STAMP_Escapement_Data[[#This Row],[DATE]]-DATE(STAMP_Escapement_Data[[#This Row],[YEAR]],8,1)</f>
        <v>39</v>
      </c>
    </row>
    <row r="1516" spans="1:9" x14ac:dyDescent="0.25">
      <c r="A1516" s="1">
        <v>40066</v>
      </c>
      <c r="B1516">
        <v>910</v>
      </c>
      <c r="C1516">
        <v>2009</v>
      </c>
      <c r="D1516">
        <v>960</v>
      </c>
      <c r="E1516">
        <v>13</v>
      </c>
      <c r="F1516">
        <v>45</v>
      </c>
      <c r="G1516">
        <v>21</v>
      </c>
      <c r="H1516">
        <f>SUMIFS($F$2:F1516,$C$2:C1516,C1516)</f>
        <v>1243</v>
      </c>
      <c r="I1516" s="8">
        <f>STAMP_Escapement_Data[[#This Row],[DATE]]-DATE(STAMP_Escapement_Data[[#This Row],[YEAR]],8,1)</f>
        <v>40</v>
      </c>
    </row>
    <row r="1517" spans="1:9" x14ac:dyDescent="0.25">
      <c r="A1517" s="1">
        <v>40067</v>
      </c>
      <c r="B1517">
        <v>911</v>
      </c>
      <c r="C1517">
        <v>2009</v>
      </c>
      <c r="D1517">
        <v>777</v>
      </c>
      <c r="E1517">
        <v>16</v>
      </c>
      <c r="F1517">
        <v>48</v>
      </c>
      <c r="G1517">
        <v>25</v>
      </c>
      <c r="H1517">
        <f>SUMIFS($F$2:F1517,$C$2:C1517,C1517)</f>
        <v>1291</v>
      </c>
      <c r="I1517" s="8">
        <f>STAMP_Escapement_Data[[#This Row],[DATE]]-DATE(STAMP_Escapement_Data[[#This Row],[YEAR]],8,1)</f>
        <v>41</v>
      </c>
    </row>
    <row r="1518" spans="1:9" x14ac:dyDescent="0.25">
      <c r="A1518" s="1">
        <v>40068</v>
      </c>
      <c r="B1518">
        <v>912</v>
      </c>
      <c r="C1518">
        <v>2009</v>
      </c>
      <c r="D1518">
        <v>631</v>
      </c>
      <c r="E1518">
        <v>26</v>
      </c>
      <c r="F1518">
        <v>55</v>
      </c>
      <c r="G1518">
        <v>31</v>
      </c>
      <c r="H1518">
        <f>SUMIFS($F$2:F1518,$C$2:C1518,C1518)</f>
        <v>1346</v>
      </c>
      <c r="I1518" s="8">
        <f>STAMP_Escapement_Data[[#This Row],[DATE]]-DATE(STAMP_Escapement_Data[[#This Row],[YEAR]],8,1)</f>
        <v>42</v>
      </c>
    </row>
    <row r="1519" spans="1:9" x14ac:dyDescent="0.25">
      <c r="A1519" s="1">
        <v>40069</v>
      </c>
      <c r="B1519">
        <v>913</v>
      </c>
      <c r="C1519">
        <v>2009</v>
      </c>
      <c r="D1519">
        <v>640</v>
      </c>
      <c r="E1519">
        <v>33</v>
      </c>
      <c r="F1519">
        <v>33</v>
      </c>
      <c r="G1519">
        <v>23</v>
      </c>
      <c r="H1519">
        <f>SUMIFS($F$2:F1519,$C$2:C1519,C1519)</f>
        <v>1379</v>
      </c>
      <c r="I1519" s="8">
        <f>STAMP_Escapement_Data[[#This Row],[DATE]]-DATE(STAMP_Escapement_Data[[#This Row],[YEAR]],8,1)</f>
        <v>43</v>
      </c>
    </row>
    <row r="1520" spans="1:9" x14ac:dyDescent="0.25">
      <c r="A1520" s="1">
        <v>40070</v>
      </c>
      <c r="B1520">
        <v>914</v>
      </c>
      <c r="C1520">
        <v>2009</v>
      </c>
      <c r="D1520">
        <v>1066</v>
      </c>
      <c r="E1520">
        <v>63</v>
      </c>
      <c r="F1520">
        <v>37</v>
      </c>
      <c r="G1520">
        <v>35</v>
      </c>
      <c r="H1520">
        <f>SUMIFS($F$2:F1520,$C$2:C1520,C1520)</f>
        <v>1416</v>
      </c>
      <c r="I1520" s="8">
        <f>STAMP_Escapement_Data[[#This Row],[DATE]]-DATE(STAMP_Escapement_Data[[#This Row],[YEAR]],8,1)</f>
        <v>44</v>
      </c>
    </row>
    <row r="1521" spans="1:9" x14ac:dyDescent="0.25">
      <c r="A1521" s="1">
        <v>40071</v>
      </c>
      <c r="B1521">
        <v>915</v>
      </c>
      <c r="C1521">
        <v>2009</v>
      </c>
      <c r="D1521">
        <v>254</v>
      </c>
      <c r="E1521">
        <v>24</v>
      </c>
      <c r="F1521">
        <v>19</v>
      </c>
      <c r="G1521">
        <v>23</v>
      </c>
      <c r="H1521">
        <f>SUMIFS($F$2:F1521,$C$2:C1521,C1521)</f>
        <v>1435</v>
      </c>
      <c r="I1521" s="8">
        <f>STAMP_Escapement_Data[[#This Row],[DATE]]-DATE(STAMP_Escapement_Data[[#This Row],[YEAR]],8,1)</f>
        <v>45</v>
      </c>
    </row>
    <row r="1522" spans="1:9" x14ac:dyDescent="0.25">
      <c r="A1522" s="1">
        <v>40072</v>
      </c>
      <c r="B1522">
        <v>916</v>
      </c>
      <c r="C1522">
        <v>2009</v>
      </c>
      <c r="D1522">
        <v>2071</v>
      </c>
      <c r="E1522">
        <v>88</v>
      </c>
      <c r="F1522">
        <v>94</v>
      </c>
      <c r="G1522">
        <v>111</v>
      </c>
      <c r="H1522">
        <f>SUMIFS($F$2:F1522,$C$2:C1522,C1522)</f>
        <v>1529</v>
      </c>
      <c r="I1522" s="8">
        <f>STAMP_Escapement_Data[[#This Row],[DATE]]-DATE(STAMP_Escapement_Data[[#This Row],[YEAR]],8,1)</f>
        <v>46</v>
      </c>
    </row>
    <row r="1523" spans="1:9" x14ac:dyDescent="0.25">
      <c r="A1523" s="1">
        <v>40073</v>
      </c>
      <c r="B1523">
        <v>917</v>
      </c>
      <c r="C1523">
        <v>2009</v>
      </c>
      <c r="D1523">
        <v>1668</v>
      </c>
      <c r="E1523">
        <v>17</v>
      </c>
      <c r="F1523">
        <v>73</v>
      </c>
      <c r="G1523">
        <v>56</v>
      </c>
      <c r="H1523">
        <f>SUMIFS($F$2:F1523,$C$2:C1523,C1523)</f>
        <v>1602</v>
      </c>
      <c r="I1523" s="8">
        <f>STAMP_Escapement_Data[[#This Row],[DATE]]-DATE(STAMP_Escapement_Data[[#This Row],[YEAR]],8,1)</f>
        <v>47</v>
      </c>
    </row>
    <row r="1524" spans="1:9" x14ac:dyDescent="0.25">
      <c r="A1524" s="1">
        <v>40074</v>
      </c>
      <c r="B1524">
        <v>918</v>
      </c>
      <c r="C1524">
        <v>2009</v>
      </c>
      <c r="D1524">
        <v>1707</v>
      </c>
      <c r="E1524">
        <v>32</v>
      </c>
      <c r="F1524">
        <v>65</v>
      </c>
      <c r="G1524">
        <v>87</v>
      </c>
      <c r="H1524">
        <f>SUMIFS($F$2:F1524,$C$2:C1524,C1524)</f>
        <v>1667</v>
      </c>
      <c r="I1524" s="8">
        <f>STAMP_Escapement_Data[[#This Row],[DATE]]-DATE(STAMP_Escapement_Data[[#This Row],[YEAR]],8,1)</f>
        <v>48</v>
      </c>
    </row>
    <row r="1525" spans="1:9" x14ac:dyDescent="0.25">
      <c r="A1525" s="1">
        <v>40075</v>
      </c>
      <c r="B1525">
        <v>919</v>
      </c>
      <c r="C1525">
        <v>2009</v>
      </c>
      <c r="D1525">
        <v>1573</v>
      </c>
      <c r="E1525">
        <v>44</v>
      </c>
      <c r="F1525">
        <v>99</v>
      </c>
      <c r="G1525">
        <v>112</v>
      </c>
      <c r="H1525">
        <f>SUMIFS($F$2:F1525,$C$2:C1525,C1525)</f>
        <v>1766</v>
      </c>
      <c r="I1525" s="8">
        <f>STAMP_Escapement_Data[[#This Row],[DATE]]-DATE(STAMP_Escapement_Data[[#This Row],[YEAR]],8,1)</f>
        <v>49</v>
      </c>
    </row>
    <row r="1526" spans="1:9" x14ac:dyDescent="0.25">
      <c r="A1526" s="1">
        <v>40076</v>
      </c>
      <c r="B1526">
        <v>920</v>
      </c>
      <c r="C1526">
        <v>2009</v>
      </c>
      <c r="D1526">
        <v>1471</v>
      </c>
      <c r="E1526">
        <v>43</v>
      </c>
      <c r="F1526">
        <v>176</v>
      </c>
      <c r="G1526">
        <v>75</v>
      </c>
      <c r="H1526">
        <f>SUMIFS($F$2:F1526,$C$2:C1526,C1526)</f>
        <v>1942</v>
      </c>
      <c r="I1526" s="8">
        <f>STAMP_Escapement_Data[[#This Row],[DATE]]-DATE(STAMP_Escapement_Data[[#This Row],[YEAR]],8,1)</f>
        <v>50</v>
      </c>
    </row>
    <row r="1527" spans="1:9" x14ac:dyDescent="0.25">
      <c r="A1527" s="1">
        <v>40077</v>
      </c>
      <c r="B1527">
        <v>921</v>
      </c>
      <c r="C1527">
        <v>2009</v>
      </c>
      <c r="D1527">
        <v>1564</v>
      </c>
      <c r="E1527">
        <v>54</v>
      </c>
      <c r="F1527">
        <v>77</v>
      </c>
      <c r="G1527">
        <v>66</v>
      </c>
      <c r="H1527">
        <f>SUMIFS($F$2:F1527,$C$2:C1527,C1527)</f>
        <v>2019</v>
      </c>
      <c r="I1527" s="8">
        <f>STAMP_Escapement_Data[[#This Row],[DATE]]-DATE(STAMP_Escapement_Data[[#This Row],[YEAR]],8,1)</f>
        <v>51</v>
      </c>
    </row>
    <row r="1528" spans="1:9" x14ac:dyDescent="0.25">
      <c r="A1528" s="1">
        <v>40078</v>
      </c>
      <c r="B1528">
        <v>922</v>
      </c>
      <c r="C1528">
        <v>2009</v>
      </c>
      <c r="D1528">
        <v>1391</v>
      </c>
      <c r="E1528">
        <v>49</v>
      </c>
      <c r="F1528">
        <v>56</v>
      </c>
      <c r="G1528">
        <v>46</v>
      </c>
      <c r="H1528">
        <f>SUMIFS($F$2:F1528,$C$2:C1528,C1528)</f>
        <v>2075</v>
      </c>
      <c r="I1528" s="8">
        <f>STAMP_Escapement_Data[[#This Row],[DATE]]-DATE(STAMP_Escapement_Data[[#This Row],[YEAR]],8,1)</f>
        <v>52</v>
      </c>
    </row>
    <row r="1529" spans="1:9" x14ac:dyDescent="0.25">
      <c r="A1529" s="1">
        <v>40079</v>
      </c>
      <c r="B1529">
        <v>923</v>
      </c>
      <c r="C1529">
        <v>2009</v>
      </c>
      <c r="D1529">
        <v>1487</v>
      </c>
      <c r="E1529">
        <v>48</v>
      </c>
      <c r="F1529">
        <v>78</v>
      </c>
      <c r="G1529">
        <v>83</v>
      </c>
      <c r="H1529">
        <f>SUMIFS($F$2:F1529,$C$2:C1529,C1529)</f>
        <v>2153</v>
      </c>
      <c r="I1529" s="8">
        <f>STAMP_Escapement_Data[[#This Row],[DATE]]-DATE(STAMP_Escapement_Data[[#This Row],[YEAR]],8,1)</f>
        <v>53</v>
      </c>
    </row>
    <row r="1530" spans="1:9" x14ac:dyDescent="0.25">
      <c r="A1530" s="1">
        <v>40080</v>
      </c>
      <c r="B1530">
        <v>924</v>
      </c>
      <c r="C1530">
        <v>2009</v>
      </c>
      <c r="D1530">
        <v>1919</v>
      </c>
      <c r="E1530">
        <v>64</v>
      </c>
      <c r="F1530">
        <v>90</v>
      </c>
      <c r="G1530">
        <v>105</v>
      </c>
      <c r="H1530">
        <f>SUMIFS($F$2:F1530,$C$2:C1530,C1530)</f>
        <v>2243</v>
      </c>
      <c r="I1530" s="8">
        <f>STAMP_Escapement_Data[[#This Row],[DATE]]-DATE(STAMP_Escapement_Data[[#This Row],[YEAR]],8,1)</f>
        <v>54</v>
      </c>
    </row>
    <row r="1531" spans="1:9" x14ac:dyDescent="0.25">
      <c r="A1531" s="1">
        <v>40081</v>
      </c>
      <c r="B1531">
        <v>925</v>
      </c>
      <c r="C1531">
        <v>2009</v>
      </c>
      <c r="D1531">
        <v>1783</v>
      </c>
      <c r="E1531">
        <v>44</v>
      </c>
      <c r="F1531">
        <v>98</v>
      </c>
      <c r="G1531">
        <v>94</v>
      </c>
      <c r="H1531">
        <f>SUMIFS($F$2:F1531,$C$2:C1531,C1531)</f>
        <v>2341</v>
      </c>
      <c r="I1531" s="8">
        <f>STAMP_Escapement_Data[[#This Row],[DATE]]-DATE(STAMP_Escapement_Data[[#This Row],[YEAR]],8,1)</f>
        <v>55</v>
      </c>
    </row>
    <row r="1532" spans="1:9" x14ac:dyDescent="0.25">
      <c r="A1532" s="1">
        <v>40082</v>
      </c>
      <c r="B1532">
        <v>926</v>
      </c>
      <c r="C1532">
        <v>2009</v>
      </c>
      <c r="D1532">
        <v>2136</v>
      </c>
      <c r="E1532">
        <v>52</v>
      </c>
      <c r="F1532">
        <v>142</v>
      </c>
      <c r="G1532">
        <v>106</v>
      </c>
      <c r="H1532">
        <f>SUMIFS($F$2:F1532,$C$2:C1532,C1532)</f>
        <v>2483</v>
      </c>
      <c r="I1532" s="8">
        <f>STAMP_Escapement_Data[[#This Row],[DATE]]-DATE(STAMP_Escapement_Data[[#This Row],[YEAR]],8,1)</f>
        <v>56</v>
      </c>
    </row>
    <row r="1533" spans="1:9" x14ac:dyDescent="0.25">
      <c r="A1533" s="1">
        <v>40083</v>
      </c>
      <c r="B1533">
        <v>927</v>
      </c>
      <c r="C1533">
        <v>2009</v>
      </c>
      <c r="D1533">
        <v>2131</v>
      </c>
      <c r="E1533">
        <v>64</v>
      </c>
      <c r="F1533">
        <v>131</v>
      </c>
      <c r="G1533">
        <v>114</v>
      </c>
      <c r="H1533">
        <f>SUMIFS($F$2:F1533,$C$2:C1533,C1533)</f>
        <v>2614</v>
      </c>
      <c r="I1533" s="8">
        <f>STAMP_Escapement_Data[[#This Row],[DATE]]-DATE(STAMP_Escapement_Data[[#This Row],[YEAR]],8,1)</f>
        <v>57</v>
      </c>
    </row>
    <row r="1534" spans="1:9" x14ac:dyDescent="0.25">
      <c r="A1534" s="1">
        <v>40084</v>
      </c>
      <c r="B1534">
        <v>928</v>
      </c>
      <c r="C1534">
        <v>2009</v>
      </c>
      <c r="D1534">
        <v>2212</v>
      </c>
      <c r="E1534">
        <v>76</v>
      </c>
      <c r="F1534">
        <v>192</v>
      </c>
      <c r="G1534">
        <v>119</v>
      </c>
      <c r="H1534">
        <f>SUMIFS($F$2:F1534,$C$2:C1534,C1534)</f>
        <v>2806</v>
      </c>
      <c r="I1534" s="8">
        <f>STAMP_Escapement_Data[[#This Row],[DATE]]-DATE(STAMP_Escapement_Data[[#This Row],[YEAR]],8,1)</f>
        <v>58</v>
      </c>
    </row>
    <row r="1535" spans="1:9" x14ac:dyDescent="0.25">
      <c r="A1535" s="1">
        <v>40085</v>
      </c>
      <c r="B1535">
        <v>929</v>
      </c>
      <c r="C1535">
        <v>2009</v>
      </c>
      <c r="D1535">
        <v>1956</v>
      </c>
      <c r="E1535">
        <v>50</v>
      </c>
      <c r="F1535">
        <v>256</v>
      </c>
      <c r="G1535">
        <v>76</v>
      </c>
      <c r="H1535">
        <f>SUMIFS($F$2:F1535,$C$2:C1535,C1535)</f>
        <v>3062</v>
      </c>
      <c r="I1535" s="8">
        <f>STAMP_Escapement_Data[[#This Row],[DATE]]-DATE(STAMP_Escapement_Data[[#This Row],[YEAR]],8,1)</f>
        <v>59</v>
      </c>
    </row>
    <row r="1536" spans="1:9" x14ac:dyDescent="0.25">
      <c r="A1536" s="1">
        <v>40086</v>
      </c>
      <c r="B1536">
        <v>930</v>
      </c>
      <c r="C1536">
        <v>2009</v>
      </c>
      <c r="D1536">
        <v>1760</v>
      </c>
      <c r="E1536">
        <v>71</v>
      </c>
      <c r="F1536">
        <v>228</v>
      </c>
      <c r="G1536">
        <v>76</v>
      </c>
      <c r="H1536">
        <f>SUMIFS($F$2:F1536,$C$2:C1536,C1536)</f>
        <v>3290</v>
      </c>
      <c r="I1536" s="8">
        <f>STAMP_Escapement_Data[[#This Row],[DATE]]-DATE(STAMP_Escapement_Data[[#This Row],[YEAR]],8,1)</f>
        <v>60</v>
      </c>
    </row>
    <row r="1537" spans="1:9" x14ac:dyDescent="0.25">
      <c r="A1537" s="1">
        <v>40087</v>
      </c>
      <c r="B1537">
        <v>1001</v>
      </c>
      <c r="C1537">
        <v>2009</v>
      </c>
      <c r="D1537">
        <v>1906</v>
      </c>
      <c r="E1537">
        <v>47</v>
      </c>
      <c r="F1537">
        <v>243</v>
      </c>
      <c r="G1537">
        <v>112</v>
      </c>
      <c r="H1537">
        <f>SUMIFS($F$2:F1537,$C$2:C1537,C1537)</f>
        <v>3533</v>
      </c>
      <c r="I1537" s="8">
        <f>STAMP_Escapement_Data[[#This Row],[DATE]]-DATE(STAMP_Escapement_Data[[#This Row],[YEAR]],8,1)</f>
        <v>61</v>
      </c>
    </row>
    <row r="1538" spans="1:9" x14ac:dyDescent="0.25">
      <c r="A1538" s="1">
        <v>40088</v>
      </c>
      <c r="B1538">
        <v>1002</v>
      </c>
      <c r="C1538">
        <v>2009</v>
      </c>
      <c r="D1538">
        <v>1540</v>
      </c>
      <c r="E1538">
        <v>40</v>
      </c>
      <c r="F1538">
        <v>228</v>
      </c>
      <c r="G1538">
        <v>105</v>
      </c>
      <c r="H1538">
        <f>SUMIFS($F$2:F1538,$C$2:C1538,C1538)</f>
        <v>3761</v>
      </c>
      <c r="I1538" s="8">
        <f>STAMP_Escapement_Data[[#This Row],[DATE]]-DATE(STAMP_Escapement_Data[[#This Row],[YEAR]],8,1)</f>
        <v>62</v>
      </c>
    </row>
    <row r="1539" spans="1:9" x14ac:dyDescent="0.25">
      <c r="A1539" s="1">
        <v>40089</v>
      </c>
      <c r="B1539">
        <v>1003</v>
      </c>
      <c r="C1539">
        <v>2009</v>
      </c>
      <c r="D1539">
        <v>1376</v>
      </c>
      <c r="E1539">
        <v>21</v>
      </c>
      <c r="F1539">
        <v>208</v>
      </c>
      <c r="G1539">
        <v>99</v>
      </c>
      <c r="H1539">
        <f>SUMIFS($F$2:F1539,$C$2:C1539,C1539)</f>
        <v>3969</v>
      </c>
      <c r="I1539" s="8">
        <f>STAMP_Escapement_Data[[#This Row],[DATE]]-DATE(STAMP_Escapement_Data[[#This Row],[YEAR]],8,1)</f>
        <v>63</v>
      </c>
    </row>
    <row r="1540" spans="1:9" x14ac:dyDescent="0.25">
      <c r="A1540" s="1">
        <v>40090</v>
      </c>
      <c r="B1540">
        <v>1004</v>
      </c>
      <c r="C1540">
        <v>2009</v>
      </c>
      <c r="D1540">
        <v>1673</v>
      </c>
      <c r="E1540">
        <v>24</v>
      </c>
      <c r="F1540">
        <v>264</v>
      </c>
      <c r="G1540">
        <v>109</v>
      </c>
      <c r="H1540">
        <f>SUMIFS($F$2:F1540,$C$2:C1540,C1540)</f>
        <v>4233</v>
      </c>
      <c r="I1540" s="8">
        <f>STAMP_Escapement_Data[[#This Row],[DATE]]-DATE(STAMP_Escapement_Data[[#This Row],[YEAR]],8,1)</f>
        <v>64</v>
      </c>
    </row>
    <row r="1541" spans="1:9" x14ac:dyDescent="0.25">
      <c r="A1541" s="1">
        <v>40091</v>
      </c>
      <c r="B1541">
        <v>1005</v>
      </c>
      <c r="C1541">
        <v>2009</v>
      </c>
      <c r="D1541">
        <v>1323</v>
      </c>
      <c r="E1541">
        <v>15</v>
      </c>
      <c r="F1541">
        <v>154</v>
      </c>
      <c r="G1541">
        <v>66</v>
      </c>
      <c r="H1541">
        <f>SUMIFS($F$2:F1541,$C$2:C1541,C1541)</f>
        <v>4387</v>
      </c>
      <c r="I1541" s="8">
        <f>STAMP_Escapement_Data[[#This Row],[DATE]]-DATE(STAMP_Escapement_Data[[#This Row],[YEAR]],8,1)</f>
        <v>65</v>
      </c>
    </row>
    <row r="1542" spans="1:9" x14ac:dyDescent="0.25">
      <c r="A1542" s="1">
        <v>40092</v>
      </c>
      <c r="B1542">
        <v>1006</v>
      </c>
      <c r="C1542">
        <v>2009</v>
      </c>
      <c r="D1542">
        <v>2017</v>
      </c>
      <c r="E1542">
        <v>25</v>
      </c>
      <c r="F1542">
        <v>334</v>
      </c>
      <c r="G1542">
        <v>101</v>
      </c>
      <c r="H1542">
        <f>SUMIFS($F$2:F1542,$C$2:C1542,C1542)</f>
        <v>4721</v>
      </c>
      <c r="I1542" s="8">
        <f>STAMP_Escapement_Data[[#This Row],[DATE]]-DATE(STAMP_Escapement_Data[[#This Row],[YEAR]],8,1)</f>
        <v>66</v>
      </c>
    </row>
    <row r="1543" spans="1:9" x14ac:dyDescent="0.25">
      <c r="A1543" s="1">
        <v>40093</v>
      </c>
      <c r="B1543">
        <v>1007</v>
      </c>
      <c r="C1543">
        <v>2009</v>
      </c>
      <c r="D1543">
        <v>1662</v>
      </c>
      <c r="E1543">
        <v>38</v>
      </c>
      <c r="F1543">
        <v>467</v>
      </c>
      <c r="G1543">
        <v>110</v>
      </c>
      <c r="H1543">
        <f>SUMIFS($F$2:F1543,$C$2:C1543,C1543)</f>
        <v>5188</v>
      </c>
      <c r="I1543" s="8">
        <f>STAMP_Escapement_Data[[#This Row],[DATE]]-DATE(STAMP_Escapement_Data[[#This Row],[YEAR]],8,1)</f>
        <v>67</v>
      </c>
    </row>
    <row r="1544" spans="1:9" x14ac:dyDescent="0.25">
      <c r="A1544" s="1">
        <v>40094</v>
      </c>
      <c r="B1544">
        <v>1008</v>
      </c>
      <c r="C1544">
        <v>2009</v>
      </c>
      <c r="D1544">
        <v>1262</v>
      </c>
      <c r="E1544">
        <v>24</v>
      </c>
      <c r="F1544">
        <v>397</v>
      </c>
      <c r="G1544">
        <v>85</v>
      </c>
      <c r="H1544">
        <f>SUMIFS($F$2:F1544,$C$2:C1544,C1544)</f>
        <v>5585</v>
      </c>
      <c r="I1544" s="8">
        <f>STAMP_Escapement_Data[[#This Row],[DATE]]-DATE(STAMP_Escapement_Data[[#This Row],[YEAR]],8,1)</f>
        <v>68</v>
      </c>
    </row>
    <row r="1545" spans="1:9" x14ac:dyDescent="0.25">
      <c r="A1545" s="1">
        <v>40095</v>
      </c>
      <c r="B1545">
        <v>1009</v>
      </c>
      <c r="C1545">
        <v>2009</v>
      </c>
      <c r="D1545">
        <v>431</v>
      </c>
      <c r="E1545">
        <v>11</v>
      </c>
      <c r="F1545">
        <v>172</v>
      </c>
      <c r="G1545">
        <v>31</v>
      </c>
      <c r="H1545">
        <f>SUMIFS($F$2:F1545,$C$2:C1545,C1545)</f>
        <v>5757</v>
      </c>
      <c r="I1545" s="8">
        <f>STAMP_Escapement_Data[[#This Row],[DATE]]-DATE(STAMP_Escapement_Data[[#This Row],[YEAR]],8,1)</f>
        <v>69</v>
      </c>
    </row>
    <row r="1546" spans="1:9" x14ac:dyDescent="0.25">
      <c r="A1546" s="1">
        <v>40096</v>
      </c>
      <c r="B1546">
        <v>1010</v>
      </c>
      <c r="C1546">
        <v>2009</v>
      </c>
      <c r="D1546">
        <v>893</v>
      </c>
      <c r="E1546">
        <v>14</v>
      </c>
      <c r="F1546">
        <v>434</v>
      </c>
      <c r="G1546">
        <v>85</v>
      </c>
      <c r="H1546">
        <f>SUMIFS($F$2:F1546,$C$2:C1546,C1546)</f>
        <v>6191</v>
      </c>
      <c r="I1546" s="8">
        <f>STAMP_Escapement_Data[[#This Row],[DATE]]-DATE(STAMP_Escapement_Data[[#This Row],[YEAR]],8,1)</f>
        <v>70</v>
      </c>
    </row>
    <row r="1547" spans="1:9" x14ac:dyDescent="0.25">
      <c r="A1547" s="1">
        <v>40097</v>
      </c>
      <c r="B1547">
        <v>1011</v>
      </c>
      <c r="C1547">
        <v>2009</v>
      </c>
      <c r="D1547">
        <v>727</v>
      </c>
      <c r="E1547">
        <v>19</v>
      </c>
      <c r="F1547">
        <v>668</v>
      </c>
      <c r="G1547">
        <v>132</v>
      </c>
      <c r="H1547">
        <f>SUMIFS($F$2:F1547,$C$2:C1547,C1547)</f>
        <v>6859</v>
      </c>
      <c r="I1547" s="8">
        <f>STAMP_Escapement_Data[[#This Row],[DATE]]-DATE(STAMP_Escapement_Data[[#This Row],[YEAR]],8,1)</f>
        <v>71</v>
      </c>
    </row>
    <row r="1548" spans="1:9" x14ac:dyDescent="0.25">
      <c r="A1548" s="1">
        <v>40098</v>
      </c>
      <c r="B1548">
        <v>1012</v>
      </c>
      <c r="C1548">
        <v>2009</v>
      </c>
      <c r="D1548">
        <v>447</v>
      </c>
      <c r="E1548">
        <v>8</v>
      </c>
      <c r="F1548">
        <v>648</v>
      </c>
      <c r="G1548">
        <v>111</v>
      </c>
      <c r="H1548">
        <f>SUMIFS($F$2:F1548,$C$2:C1548,C1548)</f>
        <v>7507</v>
      </c>
      <c r="I1548" s="8">
        <f>STAMP_Escapement_Data[[#This Row],[DATE]]-DATE(STAMP_Escapement_Data[[#This Row],[YEAR]],8,1)</f>
        <v>72</v>
      </c>
    </row>
    <row r="1549" spans="1:9" x14ac:dyDescent="0.25">
      <c r="A1549" s="1">
        <v>40099</v>
      </c>
      <c r="B1549">
        <v>1013</v>
      </c>
      <c r="C1549">
        <v>2009</v>
      </c>
      <c r="D1549">
        <v>357</v>
      </c>
      <c r="E1549">
        <v>12</v>
      </c>
      <c r="F1549">
        <v>677</v>
      </c>
      <c r="G1549">
        <v>130</v>
      </c>
      <c r="H1549">
        <f>SUMIFS($F$2:F1549,$C$2:C1549,C1549)</f>
        <v>8184</v>
      </c>
      <c r="I1549" s="8">
        <f>STAMP_Escapement_Data[[#This Row],[DATE]]-DATE(STAMP_Escapement_Data[[#This Row],[YEAR]],8,1)</f>
        <v>73</v>
      </c>
    </row>
    <row r="1550" spans="1:9" x14ac:dyDescent="0.25">
      <c r="A1550" s="1">
        <v>40100</v>
      </c>
      <c r="B1550">
        <v>1014</v>
      </c>
      <c r="C1550">
        <v>2009</v>
      </c>
      <c r="D1550">
        <v>1051</v>
      </c>
      <c r="E1550">
        <v>14</v>
      </c>
      <c r="F1550">
        <v>529</v>
      </c>
      <c r="G1550">
        <v>111</v>
      </c>
      <c r="H1550">
        <f>SUMIFS($F$2:F1550,$C$2:C1550,C1550)</f>
        <v>8713</v>
      </c>
      <c r="I1550" s="8">
        <f>STAMP_Escapement_Data[[#This Row],[DATE]]-DATE(STAMP_Escapement_Data[[#This Row],[YEAR]],8,1)</f>
        <v>74</v>
      </c>
    </row>
    <row r="1551" spans="1:9" x14ac:dyDescent="0.25">
      <c r="A1551" s="1">
        <v>40101</v>
      </c>
      <c r="B1551">
        <v>1015</v>
      </c>
      <c r="C1551">
        <v>2009</v>
      </c>
      <c r="D1551">
        <v>1047</v>
      </c>
      <c r="E1551">
        <v>19</v>
      </c>
      <c r="F1551">
        <v>352</v>
      </c>
      <c r="G1551">
        <v>103</v>
      </c>
      <c r="H1551">
        <f>SUMIFS($F$2:F1551,$C$2:C1551,C1551)</f>
        <v>9065</v>
      </c>
      <c r="I1551" s="8">
        <f>STAMP_Escapement_Data[[#This Row],[DATE]]-DATE(STAMP_Escapement_Data[[#This Row],[YEAR]],8,1)</f>
        <v>75</v>
      </c>
    </row>
    <row r="1552" spans="1:9" x14ac:dyDescent="0.25">
      <c r="A1552" s="1">
        <v>40102</v>
      </c>
      <c r="B1552">
        <v>1016</v>
      </c>
      <c r="C1552">
        <v>2009</v>
      </c>
      <c r="D1552">
        <v>76</v>
      </c>
      <c r="E1552">
        <v>1</v>
      </c>
      <c r="F1552">
        <v>41</v>
      </c>
      <c r="G1552">
        <v>15</v>
      </c>
      <c r="H1552">
        <f>SUMIFS($F$2:F1552,$C$2:C1552,C1552)</f>
        <v>9106</v>
      </c>
      <c r="I1552" s="8">
        <f>STAMP_Escapement_Data[[#This Row],[DATE]]-DATE(STAMP_Escapement_Data[[#This Row],[YEAR]],8,1)</f>
        <v>76</v>
      </c>
    </row>
    <row r="1553" spans="1:9" x14ac:dyDescent="0.25">
      <c r="A1553" s="1">
        <v>40103</v>
      </c>
      <c r="B1553">
        <v>1017</v>
      </c>
      <c r="C1553">
        <v>2009</v>
      </c>
      <c r="D1553">
        <v>0</v>
      </c>
      <c r="E1553">
        <v>0</v>
      </c>
      <c r="F1553">
        <v>0</v>
      </c>
      <c r="G1553">
        <v>0</v>
      </c>
      <c r="H1553">
        <f>SUMIFS($F$2:F1553,$C$2:C1553,C1553)</f>
        <v>9106</v>
      </c>
      <c r="I1553" s="8">
        <f>STAMP_Escapement_Data[[#This Row],[DATE]]-DATE(STAMP_Escapement_Data[[#This Row],[YEAR]],8,1)</f>
        <v>77</v>
      </c>
    </row>
    <row r="1554" spans="1:9" x14ac:dyDescent="0.25">
      <c r="A1554" s="1">
        <v>40104</v>
      </c>
      <c r="B1554">
        <v>1018</v>
      </c>
      <c r="C1554">
        <v>2009</v>
      </c>
      <c r="D1554">
        <v>0</v>
      </c>
      <c r="E1554">
        <v>0</v>
      </c>
      <c r="F1554">
        <v>0</v>
      </c>
      <c r="G1554">
        <v>0</v>
      </c>
      <c r="H1554">
        <f>SUMIFS($F$2:F1554,$C$2:C1554,C1554)</f>
        <v>9106</v>
      </c>
      <c r="I1554" s="8">
        <f>STAMP_Escapement_Data[[#This Row],[DATE]]-DATE(STAMP_Escapement_Data[[#This Row],[YEAR]],8,1)</f>
        <v>78</v>
      </c>
    </row>
    <row r="1555" spans="1:9" x14ac:dyDescent="0.25">
      <c r="A1555" s="1">
        <v>40105</v>
      </c>
      <c r="B1555">
        <v>1019</v>
      </c>
      <c r="C1555">
        <v>2009</v>
      </c>
      <c r="D1555">
        <v>1264</v>
      </c>
      <c r="E1555">
        <v>3</v>
      </c>
      <c r="F1555">
        <v>406</v>
      </c>
      <c r="G1555">
        <v>84</v>
      </c>
      <c r="H1555">
        <f>SUMIFS($F$2:F1555,$C$2:C1555,C1555)</f>
        <v>9512</v>
      </c>
      <c r="I1555" s="8">
        <f>STAMP_Escapement_Data[[#This Row],[DATE]]-DATE(STAMP_Escapement_Data[[#This Row],[YEAR]],8,1)</f>
        <v>79</v>
      </c>
    </row>
    <row r="1556" spans="1:9" x14ac:dyDescent="0.25">
      <c r="A1556" s="1">
        <v>40106</v>
      </c>
      <c r="B1556">
        <v>1020</v>
      </c>
      <c r="C1556">
        <v>2009</v>
      </c>
      <c r="D1556">
        <v>935</v>
      </c>
      <c r="E1556">
        <v>9</v>
      </c>
      <c r="F1556">
        <v>775</v>
      </c>
      <c r="G1556">
        <v>71</v>
      </c>
      <c r="H1556">
        <f>SUMIFS($F$2:F1556,$C$2:C1556,C1556)</f>
        <v>10287</v>
      </c>
      <c r="I1556" s="8">
        <f>STAMP_Escapement_Data[[#This Row],[DATE]]-DATE(STAMP_Escapement_Data[[#This Row],[YEAR]],8,1)</f>
        <v>80</v>
      </c>
    </row>
    <row r="1557" spans="1:9" x14ac:dyDescent="0.25">
      <c r="A1557" s="1">
        <v>40107</v>
      </c>
      <c r="B1557">
        <v>1021</v>
      </c>
      <c r="C1557">
        <v>2009</v>
      </c>
      <c r="D1557">
        <v>488</v>
      </c>
      <c r="E1557">
        <v>3</v>
      </c>
      <c r="F1557">
        <v>393</v>
      </c>
      <c r="G1557">
        <v>46</v>
      </c>
      <c r="H1557">
        <f>SUMIFS($F$2:F1557,$C$2:C1557,C1557)</f>
        <v>10680</v>
      </c>
      <c r="I1557" s="8">
        <f>STAMP_Escapement_Data[[#This Row],[DATE]]-DATE(STAMP_Escapement_Data[[#This Row],[YEAR]],8,1)</f>
        <v>81</v>
      </c>
    </row>
    <row r="1558" spans="1:9" x14ac:dyDescent="0.25">
      <c r="A1558" s="1">
        <v>40108</v>
      </c>
      <c r="B1558">
        <v>1022</v>
      </c>
      <c r="C1558">
        <v>2009</v>
      </c>
      <c r="D1558">
        <v>545</v>
      </c>
      <c r="E1558">
        <v>2</v>
      </c>
      <c r="F1558">
        <v>172</v>
      </c>
      <c r="G1558">
        <v>20</v>
      </c>
      <c r="H1558">
        <f>SUMIFS($F$2:F1558,$C$2:C1558,C1558)</f>
        <v>10852</v>
      </c>
      <c r="I1558" s="8">
        <f>STAMP_Escapement_Data[[#This Row],[DATE]]-DATE(STAMP_Escapement_Data[[#This Row],[YEAR]],8,1)</f>
        <v>82</v>
      </c>
    </row>
    <row r="1559" spans="1:9" x14ac:dyDescent="0.25">
      <c r="A1559" s="1">
        <v>40109</v>
      </c>
      <c r="B1559">
        <v>1023</v>
      </c>
      <c r="C1559">
        <v>2009</v>
      </c>
      <c r="D1559">
        <v>457</v>
      </c>
      <c r="E1559">
        <v>4</v>
      </c>
      <c r="F1559">
        <v>232</v>
      </c>
      <c r="G1559">
        <v>26</v>
      </c>
      <c r="H1559">
        <f>SUMIFS($F$2:F1559,$C$2:C1559,C1559)</f>
        <v>11084</v>
      </c>
      <c r="I1559" s="8">
        <f>STAMP_Escapement_Data[[#This Row],[DATE]]-DATE(STAMP_Escapement_Data[[#This Row],[YEAR]],8,1)</f>
        <v>83</v>
      </c>
    </row>
    <row r="1560" spans="1:9" x14ac:dyDescent="0.25">
      <c r="A1560" s="1">
        <v>40110</v>
      </c>
      <c r="B1560">
        <v>1024</v>
      </c>
      <c r="C1560">
        <v>2009</v>
      </c>
      <c r="D1560">
        <v>246</v>
      </c>
      <c r="E1560">
        <v>5</v>
      </c>
      <c r="F1560">
        <v>120</v>
      </c>
      <c r="G1560">
        <v>21</v>
      </c>
      <c r="H1560">
        <f>SUMIFS($F$2:F1560,$C$2:C1560,C1560)</f>
        <v>11204</v>
      </c>
      <c r="I1560" s="8">
        <f>STAMP_Escapement_Data[[#This Row],[DATE]]-DATE(STAMP_Escapement_Data[[#This Row],[YEAR]],8,1)</f>
        <v>84</v>
      </c>
    </row>
    <row r="1561" spans="1:9" x14ac:dyDescent="0.25">
      <c r="A1561" s="1">
        <v>40111</v>
      </c>
      <c r="B1561">
        <v>1025</v>
      </c>
      <c r="C1561">
        <v>2009</v>
      </c>
      <c r="D1561">
        <v>83</v>
      </c>
      <c r="E1561">
        <v>0</v>
      </c>
      <c r="F1561">
        <v>116</v>
      </c>
      <c r="G1561">
        <v>11</v>
      </c>
      <c r="H1561">
        <f>SUMIFS($F$2:F1561,$C$2:C1561,C1561)</f>
        <v>11320</v>
      </c>
      <c r="I1561" s="8">
        <f>STAMP_Escapement_Data[[#This Row],[DATE]]-DATE(STAMP_Escapement_Data[[#This Row],[YEAR]],8,1)</f>
        <v>85</v>
      </c>
    </row>
    <row r="1562" spans="1:9" x14ac:dyDescent="0.25">
      <c r="A1562" s="1">
        <v>40112</v>
      </c>
      <c r="B1562">
        <v>1026</v>
      </c>
      <c r="C1562">
        <v>2009</v>
      </c>
      <c r="D1562">
        <v>126</v>
      </c>
      <c r="E1562">
        <v>2</v>
      </c>
      <c r="F1562">
        <v>96</v>
      </c>
      <c r="G1562">
        <v>11</v>
      </c>
      <c r="H1562">
        <f>SUMIFS($F$2:F1562,$C$2:C1562,C1562)</f>
        <v>11416</v>
      </c>
      <c r="I1562" s="8">
        <f>STAMP_Escapement_Data[[#This Row],[DATE]]-DATE(STAMP_Escapement_Data[[#This Row],[YEAR]],8,1)</f>
        <v>86</v>
      </c>
    </row>
    <row r="1563" spans="1:9" x14ac:dyDescent="0.25">
      <c r="A1563" s="1">
        <v>40113</v>
      </c>
      <c r="B1563">
        <v>1027</v>
      </c>
      <c r="C1563">
        <v>2009</v>
      </c>
      <c r="D1563">
        <v>236</v>
      </c>
      <c r="E1563">
        <v>5</v>
      </c>
      <c r="F1563">
        <v>66</v>
      </c>
      <c r="G1563">
        <v>10</v>
      </c>
      <c r="H1563">
        <f>SUMIFS($F$2:F1563,$C$2:C1563,C1563)</f>
        <v>11482</v>
      </c>
      <c r="I1563" s="8">
        <f>STAMP_Escapement_Data[[#This Row],[DATE]]-DATE(STAMP_Escapement_Data[[#This Row],[YEAR]],8,1)</f>
        <v>87</v>
      </c>
    </row>
    <row r="1564" spans="1:9" x14ac:dyDescent="0.25">
      <c r="A1564" s="1">
        <v>40114</v>
      </c>
      <c r="B1564">
        <v>1028</v>
      </c>
      <c r="C1564">
        <v>2009</v>
      </c>
      <c r="D1564">
        <v>151</v>
      </c>
      <c r="E1564">
        <v>3</v>
      </c>
      <c r="F1564">
        <v>58</v>
      </c>
      <c r="G1564">
        <v>11</v>
      </c>
      <c r="H1564">
        <f>SUMIFS($F$2:F1564,$C$2:C1564,C1564)</f>
        <v>11540</v>
      </c>
      <c r="I1564" s="8">
        <f>STAMP_Escapement_Data[[#This Row],[DATE]]-DATE(STAMP_Escapement_Data[[#This Row],[YEAR]],8,1)</f>
        <v>88</v>
      </c>
    </row>
    <row r="1565" spans="1:9" x14ac:dyDescent="0.25">
      <c r="A1565" s="1">
        <v>40115</v>
      </c>
      <c r="B1565">
        <v>1029</v>
      </c>
      <c r="C1565">
        <v>2009</v>
      </c>
      <c r="D1565">
        <v>71</v>
      </c>
      <c r="E1565">
        <v>9</v>
      </c>
      <c r="F1565">
        <v>19</v>
      </c>
      <c r="G1565">
        <v>8</v>
      </c>
      <c r="H1565">
        <f>SUMIFS($F$2:F1565,$C$2:C1565,C1565)</f>
        <v>11559</v>
      </c>
      <c r="I1565" s="8">
        <f>STAMP_Escapement_Data[[#This Row],[DATE]]-DATE(STAMP_Escapement_Data[[#This Row],[YEAR]],8,1)</f>
        <v>89</v>
      </c>
    </row>
    <row r="1566" spans="1:9" x14ac:dyDescent="0.25">
      <c r="A1566" s="1">
        <v>40116</v>
      </c>
      <c r="B1566">
        <v>1030</v>
      </c>
      <c r="C1566">
        <v>2009</v>
      </c>
      <c r="D1566">
        <v>72</v>
      </c>
      <c r="E1566">
        <v>6</v>
      </c>
      <c r="F1566">
        <v>49</v>
      </c>
      <c r="G1566">
        <v>13</v>
      </c>
      <c r="H1566">
        <f>SUMIFS($F$2:F1566,$C$2:C1566,C1566)</f>
        <v>11608</v>
      </c>
      <c r="I1566" s="8">
        <f>STAMP_Escapement_Data[[#This Row],[DATE]]-DATE(STAMP_Escapement_Data[[#This Row],[YEAR]],8,1)</f>
        <v>90</v>
      </c>
    </row>
    <row r="1567" spans="1:9" x14ac:dyDescent="0.25">
      <c r="A1567" s="1">
        <v>40117</v>
      </c>
      <c r="B1567">
        <v>1031</v>
      </c>
      <c r="C1567">
        <v>2009</v>
      </c>
      <c r="D1567">
        <v>0</v>
      </c>
      <c r="E1567">
        <v>0</v>
      </c>
      <c r="F1567">
        <v>0</v>
      </c>
      <c r="G1567">
        <v>0</v>
      </c>
      <c r="H1567">
        <f>SUMIFS($F$2:F1567,$C$2:C1567,C1567)</f>
        <v>11608</v>
      </c>
      <c r="I1567" s="8">
        <f>STAMP_Escapement_Data[[#This Row],[DATE]]-DATE(STAMP_Escapement_Data[[#This Row],[YEAR]],8,1)</f>
        <v>91</v>
      </c>
    </row>
    <row r="1568" spans="1:9" x14ac:dyDescent="0.25">
      <c r="A1568" s="1">
        <v>40118</v>
      </c>
      <c r="B1568">
        <v>1101</v>
      </c>
      <c r="C1568">
        <v>2009</v>
      </c>
      <c r="D1568">
        <v>0</v>
      </c>
      <c r="E1568">
        <v>0</v>
      </c>
      <c r="F1568">
        <v>0</v>
      </c>
      <c r="G1568">
        <v>0</v>
      </c>
      <c r="H1568">
        <f>SUMIFS($F$2:F1568,$C$2:C1568,C1568)</f>
        <v>11608</v>
      </c>
      <c r="I1568" s="8">
        <f>STAMP_Escapement_Data[[#This Row],[DATE]]-DATE(STAMP_Escapement_Data[[#This Row],[YEAR]],8,1)</f>
        <v>92</v>
      </c>
    </row>
    <row r="1569" spans="1:9" x14ac:dyDescent="0.25">
      <c r="A1569" s="1">
        <v>40119</v>
      </c>
      <c r="B1569">
        <v>1102</v>
      </c>
      <c r="C1569">
        <v>2009</v>
      </c>
      <c r="D1569">
        <v>0</v>
      </c>
      <c r="E1569">
        <v>0</v>
      </c>
      <c r="F1569">
        <v>0</v>
      </c>
      <c r="G1569">
        <v>0</v>
      </c>
      <c r="H1569">
        <f>SUMIFS($F$2:F1569,$C$2:C1569,C1569)</f>
        <v>11608</v>
      </c>
      <c r="I1569" s="8">
        <f>STAMP_Escapement_Data[[#This Row],[DATE]]-DATE(STAMP_Escapement_Data[[#This Row],[YEAR]],8,1)</f>
        <v>93</v>
      </c>
    </row>
    <row r="1570" spans="1:9" x14ac:dyDescent="0.25">
      <c r="A1570" s="1">
        <v>40120</v>
      </c>
      <c r="B1570">
        <v>1103</v>
      </c>
      <c r="C1570">
        <v>2009</v>
      </c>
      <c r="D1570">
        <v>443</v>
      </c>
      <c r="E1570">
        <v>10</v>
      </c>
      <c r="F1570">
        <v>13</v>
      </c>
      <c r="G1570">
        <v>9</v>
      </c>
      <c r="H1570">
        <f>SUMIFS($F$2:F1570,$C$2:C1570,C1570)</f>
        <v>11621</v>
      </c>
      <c r="I1570" s="8">
        <f>STAMP_Escapement_Data[[#This Row],[DATE]]-DATE(STAMP_Escapement_Data[[#This Row],[YEAR]],8,1)</f>
        <v>94</v>
      </c>
    </row>
    <row r="1571" spans="1:9" x14ac:dyDescent="0.25">
      <c r="A1571" s="1">
        <v>40121</v>
      </c>
      <c r="B1571">
        <v>1104</v>
      </c>
      <c r="C1571">
        <v>2009</v>
      </c>
      <c r="D1571">
        <v>200</v>
      </c>
      <c r="E1571">
        <v>10</v>
      </c>
      <c r="F1571">
        <v>11</v>
      </c>
      <c r="G1571">
        <v>5</v>
      </c>
      <c r="H1571">
        <f>SUMIFS($F$2:F1571,$C$2:C1571,C1571)</f>
        <v>11632</v>
      </c>
      <c r="I1571" s="8">
        <f>STAMP_Escapement_Data[[#This Row],[DATE]]-DATE(STAMP_Escapement_Data[[#This Row],[YEAR]],8,1)</f>
        <v>95</v>
      </c>
    </row>
    <row r="1572" spans="1:9" x14ac:dyDescent="0.25">
      <c r="A1572" s="1">
        <v>40122</v>
      </c>
      <c r="B1572">
        <v>1105</v>
      </c>
      <c r="C1572">
        <v>2009</v>
      </c>
      <c r="D1572">
        <v>217</v>
      </c>
      <c r="E1572">
        <v>10</v>
      </c>
      <c r="F1572">
        <v>10</v>
      </c>
      <c r="G1572">
        <v>4</v>
      </c>
      <c r="H1572">
        <f>SUMIFS($F$2:F1572,$C$2:C1572,C1572)</f>
        <v>11642</v>
      </c>
      <c r="I1572" s="8">
        <f>STAMP_Escapement_Data[[#This Row],[DATE]]-DATE(STAMP_Escapement_Data[[#This Row],[YEAR]],8,1)</f>
        <v>96</v>
      </c>
    </row>
    <row r="1573" spans="1:9" x14ac:dyDescent="0.25">
      <c r="A1573" s="1">
        <v>40123</v>
      </c>
      <c r="B1573">
        <v>1106</v>
      </c>
      <c r="C1573">
        <v>2009</v>
      </c>
      <c r="D1573">
        <v>0</v>
      </c>
      <c r="E1573">
        <v>0</v>
      </c>
      <c r="F1573">
        <v>0</v>
      </c>
      <c r="G1573">
        <v>0</v>
      </c>
      <c r="H1573">
        <f>SUMIFS($F$2:F1573,$C$2:C1573,C1573)</f>
        <v>11642</v>
      </c>
      <c r="I1573" s="8">
        <f>STAMP_Escapement_Data[[#This Row],[DATE]]-DATE(STAMP_Escapement_Data[[#This Row],[YEAR]],8,1)</f>
        <v>97</v>
      </c>
    </row>
    <row r="1574" spans="1:9" x14ac:dyDescent="0.25">
      <c r="A1574" s="1">
        <v>40124</v>
      </c>
      <c r="B1574">
        <v>1107</v>
      </c>
      <c r="C1574">
        <v>2009</v>
      </c>
      <c r="D1574">
        <v>0</v>
      </c>
      <c r="E1574">
        <v>0</v>
      </c>
      <c r="F1574">
        <v>0</v>
      </c>
      <c r="G1574">
        <v>0</v>
      </c>
      <c r="H1574">
        <f>SUMIFS($F$2:F1574,$C$2:C1574,C1574)</f>
        <v>11642</v>
      </c>
      <c r="I1574" s="8">
        <f>STAMP_Escapement_Data[[#This Row],[DATE]]-DATE(STAMP_Escapement_Data[[#This Row],[YEAR]],8,1)</f>
        <v>98</v>
      </c>
    </row>
    <row r="1575" spans="1:9" x14ac:dyDescent="0.25">
      <c r="A1575" s="1">
        <v>40125</v>
      </c>
      <c r="B1575">
        <v>1108</v>
      </c>
      <c r="C1575">
        <v>2009</v>
      </c>
      <c r="D1575">
        <v>299</v>
      </c>
      <c r="E1575">
        <v>0</v>
      </c>
      <c r="F1575">
        <v>4</v>
      </c>
      <c r="G1575">
        <v>0</v>
      </c>
      <c r="H1575">
        <f>SUMIFS($F$2:F1575,$C$2:C1575,C1575)</f>
        <v>11646</v>
      </c>
      <c r="I1575" s="8">
        <f>STAMP_Escapement_Data[[#This Row],[DATE]]-DATE(STAMP_Escapement_Data[[#This Row],[YEAR]],8,1)</f>
        <v>99</v>
      </c>
    </row>
    <row r="1576" spans="1:9" x14ac:dyDescent="0.25">
      <c r="A1576" s="1">
        <v>40126</v>
      </c>
      <c r="B1576">
        <v>1109</v>
      </c>
      <c r="C1576">
        <v>2009</v>
      </c>
      <c r="D1576">
        <v>0</v>
      </c>
      <c r="E1576">
        <v>0</v>
      </c>
      <c r="F1576">
        <v>0</v>
      </c>
      <c r="G1576">
        <v>0</v>
      </c>
      <c r="H1576">
        <f>SUMIFS($F$2:F1576,$C$2:C1576,C1576)</f>
        <v>11646</v>
      </c>
      <c r="I1576" s="8">
        <f>STAMP_Escapement_Data[[#This Row],[DATE]]-DATE(STAMP_Escapement_Data[[#This Row],[YEAR]],8,1)</f>
        <v>100</v>
      </c>
    </row>
    <row r="1577" spans="1:9" x14ac:dyDescent="0.25">
      <c r="A1577" s="1">
        <v>40127</v>
      </c>
      <c r="B1577">
        <v>1110</v>
      </c>
      <c r="C1577">
        <v>2009</v>
      </c>
      <c r="D1577">
        <v>0</v>
      </c>
      <c r="E1577">
        <v>0</v>
      </c>
      <c r="F1577">
        <v>0</v>
      </c>
      <c r="G1577">
        <v>0</v>
      </c>
      <c r="H1577">
        <f>SUMIFS($F$2:F1577,$C$2:C1577,C1577)</f>
        <v>11646</v>
      </c>
      <c r="I1577" s="8">
        <f>STAMP_Escapement_Data[[#This Row],[DATE]]-DATE(STAMP_Escapement_Data[[#This Row],[YEAR]],8,1)</f>
        <v>101</v>
      </c>
    </row>
    <row r="1578" spans="1:9" x14ac:dyDescent="0.25">
      <c r="A1578" s="1">
        <v>40128</v>
      </c>
      <c r="B1578">
        <v>1111</v>
      </c>
      <c r="C1578">
        <v>2009</v>
      </c>
      <c r="D1578">
        <v>0</v>
      </c>
      <c r="E1578">
        <v>0</v>
      </c>
      <c r="F1578">
        <v>0</v>
      </c>
      <c r="G1578">
        <v>0</v>
      </c>
      <c r="H1578">
        <f>SUMIFS($F$2:F1578,$C$2:C1578,C1578)</f>
        <v>11646</v>
      </c>
      <c r="I1578" s="8">
        <f>STAMP_Escapement_Data[[#This Row],[DATE]]-DATE(STAMP_Escapement_Data[[#This Row],[YEAR]],8,1)</f>
        <v>102</v>
      </c>
    </row>
    <row r="1579" spans="1:9" x14ac:dyDescent="0.25">
      <c r="A1579" s="1">
        <v>40129</v>
      </c>
      <c r="B1579">
        <v>1112</v>
      </c>
      <c r="C1579">
        <v>2009</v>
      </c>
      <c r="D1579">
        <v>0</v>
      </c>
      <c r="E1579">
        <v>0</v>
      </c>
      <c r="F1579">
        <v>0</v>
      </c>
      <c r="G1579">
        <v>0</v>
      </c>
      <c r="H1579">
        <f>SUMIFS($F$2:F1579,$C$2:C1579,C1579)</f>
        <v>11646</v>
      </c>
      <c r="I1579" s="8">
        <f>STAMP_Escapement_Data[[#This Row],[DATE]]-DATE(STAMP_Escapement_Data[[#This Row],[YEAR]],8,1)</f>
        <v>103</v>
      </c>
    </row>
    <row r="1580" spans="1:9" x14ac:dyDescent="0.25">
      <c r="A1580" s="1">
        <v>40422</v>
      </c>
      <c r="B1580">
        <v>901</v>
      </c>
      <c r="C1580">
        <v>2010</v>
      </c>
      <c r="D1580">
        <v>604</v>
      </c>
      <c r="E1580">
        <v>1</v>
      </c>
      <c r="F1580">
        <v>0</v>
      </c>
      <c r="G1580">
        <v>0</v>
      </c>
      <c r="H1580">
        <f>SUMIFS($F$2:F1580,$C$2:C1580,C1580)</f>
        <v>0</v>
      </c>
      <c r="I1580" s="8">
        <f>STAMP_Escapement_Data[[#This Row],[DATE]]-DATE(STAMP_Escapement_Data[[#This Row],[YEAR]],8,1)</f>
        <v>31</v>
      </c>
    </row>
    <row r="1581" spans="1:9" x14ac:dyDescent="0.25">
      <c r="A1581" s="1">
        <v>40423</v>
      </c>
      <c r="B1581">
        <v>902</v>
      </c>
      <c r="C1581">
        <v>2010</v>
      </c>
      <c r="D1581">
        <v>1726</v>
      </c>
      <c r="E1581">
        <v>0</v>
      </c>
      <c r="F1581">
        <v>1128</v>
      </c>
      <c r="G1581">
        <v>44</v>
      </c>
      <c r="H1581">
        <f>SUMIFS($F$2:F1581,$C$2:C1581,C1581)</f>
        <v>1128</v>
      </c>
      <c r="I1581" s="8">
        <f>STAMP_Escapement_Data[[#This Row],[DATE]]-DATE(STAMP_Escapement_Data[[#This Row],[YEAR]],8,1)</f>
        <v>32</v>
      </c>
    </row>
    <row r="1582" spans="1:9" x14ac:dyDescent="0.25">
      <c r="A1582" s="1">
        <v>40423</v>
      </c>
      <c r="B1582">
        <v>902</v>
      </c>
      <c r="C1582">
        <v>2010</v>
      </c>
      <c r="D1582">
        <v>55</v>
      </c>
      <c r="E1582">
        <v>10</v>
      </c>
      <c r="F1582">
        <v>141</v>
      </c>
      <c r="G1582">
        <v>7</v>
      </c>
      <c r="H1582">
        <f>SUMIFS($F$2:F1582,$C$2:C1582,C1582)</f>
        <v>1269</v>
      </c>
      <c r="I1582" s="8">
        <f>STAMP_Escapement_Data[[#This Row],[DATE]]-DATE(STAMP_Escapement_Data[[#This Row],[YEAR]],8,1)</f>
        <v>32</v>
      </c>
    </row>
    <row r="1583" spans="1:9" x14ac:dyDescent="0.25">
      <c r="A1583" s="1">
        <v>40424</v>
      </c>
      <c r="B1583">
        <v>903</v>
      </c>
      <c r="C1583">
        <v>2010</v>
      </c>
      <c r="D1583">
        <v>258</v>
      </c>
      <c r="E1583">
        <v>47</v>
      </c>
      <c r="F1583">
        <v>176</v>
      </c>
      <c r="G1583">
        <v>11</v>
      </c>
      <c r="H1583">
        <f>SUMIFS($F$2:F1583,$C$2:C1583,C1583)</f>
        <v>1445</v>
      </c>
      <c r="I1583" s="8">
        <f>STAMP_Escapement_Data[[#This Row],[DATE]]-DATE(STAMP_Escapement_Data[[#This Row],[YEAR]],8,1)</f>
        <v>33</v>
      </c>
    </row>
    <row r="1584" spans="1:9" x14ac:dyDescent="0.25">
      <c r="A1584" s="1">
        <v>40425</v>
      </c>
      <c r="B1584">
        <v>904</v>
      </c>
      <c r="C1584">
        <v>2010</v>
      </c>
      <c r="D1584">
        <v>249</v>
      </c>
      <c r="E1584">
        <v>39</v>
      </c>
      <c r="F1584">
        <v>215</v>
      </c>
      <c r="G1584">
        <v>8</v>
      </c>
      <c r="H1584">
        <f>SUMIFS($F$2:F1584,$C$2:C1584,C1584)</f>
        <v>1660</v>
      </c>
      <c r="I1584" s="8">
        <f>STAMP_Escapement_Data[[#This Row],[DATE]]-DATE(STAMP_Escapement_Data[[#This Row],[YEAR]],8,1)</f>
        <v>34</v>
      </c>
    </row>
    <row r="1585" spans="1:9" x14ac:dyDescent="0.25">
      <c r="A1585" s="1">
        <v>40426</v>
      </c>
      <c r="B1585">
        <v>905</v>
      </c>
      <c r="C1585">
        <v>2010</v>
      </c>
      <c r="D1585">
        <v>416</v>
      </c>
      <c r="E1585">
        <v>78</v>
      </c>
      <c r="F1585">
        <v>247</v>
      </c>
      <c r="G1585">
        <v>26</v>
      </c>
      <c r="H1585">
        <f>SUMIFS($F$2:F1585,$C$2:C1585,C1585)</f>
        <v>1907</v>
      </c>
      <c r="I1585" s="8">
        <f>STAMP_Escapement_Data[[#This Row],[DATE]]-DATE(STAMP_Escapement_Data[[#This Row],[YEAR]],8,1)</f>
        <v>35</v>
      </c>
    </row>
    <row r="1586" spans="1:9" x14ac:dyDescent="0.25">
      <c r="A1586" s="1">
        <v>40427</v>
      </c>
      <c r="B1586">
        <v>906</v>
      </c>
      <c r="C1586">
        <v>2010</v>
      </c>
      <c r="D1586">
        <v>355</v>
      </c>
      <c r="E1586">
        <v>65</v>
      </c>
      <c r="F1586">
        <v>186</v>
      </c>
      <c r="G1586">
        <v>36</v>
      </c>
      <c r="H1586">
        <f>SUMIFS($F$2:F1586,$C$2:C1586,C1586)</f>
        <v>2093</v>
      </c>
      <c r="I1586" s="8">
        <f>STAMP_Escapement_Data[[#This Row],[DATE]]-DATE(STAMP_Escapement_Data[[#This Row],[YEAR]],8,1)</f>
        <v>36</v>
      </c>
    </row>
    <row r="1587" spans="1:9" x14ac:dyDescent="0.25">
      <c r="A1587" s="1">
        <v>40428</v>
      </c>
      <c r="B1587">
        <v>907</v>
      </c>
      <c r="C1587">
        <v>2010</v>
      </c>
      <c r="D1587">
        <v>668</v>
      </c>
      <c r="E1587">
        <v>104</v>
      </c>
      <c r="F1587">
        <v>371</v>
      </c>
      <c r="G1587">
        <v>53</v>
      </c>
      <c r="H1587">
        <f>SUMIFS($F$2:F1587,$C$2:C1587,C1587)</f>
        <v>2464</v>
      </c>
      <c r="I1587" s="8">
        <f>STAMP_Escapement_Data[[#This Row],[DATE]]-DATE(STAMP_Escapement_Data[[#This Row],[YEAR]],8,1)</f>
        <v>37</v>
      </c>
    </row>
    <row r="1588" spans="1:9" x14ac:dyDescent="0.25">
      <c r="A1588" s="1">
        <v>40429</v>
      </c>
      <c r="B1588">
        <v>908</v>
      </c>
      <c r="C1588">
        <v>2010</v>
      </c>
      <c r="D1588">
        <v>698</v>
      </c>
      <c r="E1588">
        <v>124</v>
      </c>
      <c r="F1588">
        <v>582</v>
      </c>
      <c r="G1588">
        <v>72</v>
      </c>
      <c r="H1588">
        <f>SUMIFS($F$2:F1588,$C$2:C1588,C1588)</f>
        <v>3046</v>
      </c>
      <c r="I1588" s="8">
        <f>STAMP_Escapement_Data[[#This Row],[DATE]]-DATE(STAMP_Escapement_Data[[#This Row],[YEAR]],8,1)</f>
        <v>38</v>
      </c>
    </row>
    <row r="1589" spans="1:9" x14ac:dyDescent="0.25">
      <c r="A1589" s="1">
        <v>40430</v>
      </c>
      <c r="B1589">
        <v>909</v>
      </c>
      <c r="C1589">
        <v>2010</v>
      </c>
      <c r="D1589">
        <v>664</v>
      </c>
      <c r="E1589">
        <v>71</v>
      </c>
      <c r="F1589">
        <v>389</v>
      </c>
      <c r="G1589">
        <v>32</v>
      </c>
      <c r="H1589">
        <f>SUMIFS($F$2:F1589,$C$2:C1589,C1589)</f>
        <v>3435</v>
      </c>
      <c r="I1589" s="8">
        <f>STAMP_Escapement_Data[[#This Row],[DATE]]-DATE(STAMP_Escapement_Data[[#This Row],[YEAR]],8,1)</f>
        <v>39</v>
      </c>
    </row>
    <row r="1590" spans="1:9" x14ac:dyDescent="0.25">
      <c r="A1590" s="1">
        <v>40431</v>
      </c>
      <c r="B1590">
        <v>910</v>
      </c>
      <c r="C1590">
        <v>2010</v>
      </c>
      <c r="D1590">
        <v>642</v>
      </c>
      <c r="E1590">
        <v>67</v>
      </c>
      <c r="F1590">
        <v>335</v>
      </c>
      <c r="G1590">
        <v>15</v>
      </c>
      <c r="H1590">
        <f>SUMIFS($F$2:F1590,$C$2:C1590,C1590)</f>
        <v>3770</v>
      </c>
      <c r="I1590" s="8">
        <f>STAMP_Escapement_Data[[#This Row],[DATE]]-DATE(STAMP_Escapement_Data[[#This Row],[YEAR]],8,1)</f>
        <v>40</v>
      </c>
    </row>
    <row r="1591" spans="1:9" x14ac:dyDescent="0.25">
      <c r="A1591" s="1">
        <v>40432</v>
      </c>
      <c r="B1591">
        <v>911</v>
      </c>
      <c r="C1591">
        <v>2010</v>
      </c>
      <c r="D1591">
        <v>857</v>
      </c>
      <c r="E1591">
        <v>74</v>
      </c>
      <c r="F1591">
        <v>417</v>
      </c>
      <c r="G1591">
        <v>26</v>
      </c>
      <c r="H1591">
        <f>SUMIFS($F$2:F1591,$C$2:C1591,C1591)</f>
        <v>4187</v>
      </c>
      <c r="I1591" s="8">
        <f>STAMP_Escapement_Data[[#This Row],[DATE]]-DATE(STAMP_Escapement_Data[[#This Row],[YEAR]],8,1)</f>
        <v>41</v>
      </c>
    </row>
    <row r="1592" spans="1:9" x14ac:dyDescent="0.25">
      <c r="A1592" s="1">
        <v>40433</v>
      </c>
      <c r="B1592">
        <v>912</v>
      </c>
      <c r="C1592">
        <v>2010</v>
      </c>
      <c r="D1592">
        <v>700</v>
      </c>
      <c r="E1592">
        <v>89</v>
      </c>
      <c r="F1592">
        <v>312</v>
      </c>
      <c r="G1592">
        <v>30</v>
      </c>
      <c r="H1592">
        <f>SUMIFS($F$2:F1592,$C$2:C1592,C1592)</f>
        <v>4499</v>
      </c>
      <c r="I1592" s="8">
        <f>STAMP_Escapement_Data[[#This Row],[DATE]]-DATE(STAMP_Escapement_Data[[#This Row],[YEAR]],8,1)</f>
        <v>42</v>
      </c>
    </row>
    <row r="1593" spans="1:9" x14ac:dyDescent="0.25">
      <c r="A1593" s="1">
        <v>40434</v>
      </c>
      <c r="B1593">
        <v>913</v>
      </c>
      <c r="C1593">
        <v>2010</v>
      </c>
      <c r="D1593">
        <v>621</v>
      </c>
      <c r="E1593">
        <v>76</v>
      </c>
      <c r="F1593">
        <v>281</v>
      </c>
      <c r="G1593">
        <v>38</v>
      </c>
      <c r="H1593">
        <f>SUMIFS($F$2:F1593,$C$2:C1593,C1593)</f>
        <v>4780</v>
      </c>
      <c r="I1593" s="8">
        <f>STAMP_Escapement_Data[[#This Row],[DATE]]-DATE(STAMP_Escapement_Data[[#This Row],[YEAR]],8,1)</f>
        <v>43</v>
      </c>
    </row>
    <row r="1594" spans="1:9" x14ac:dyDescent="0.25">
      <c r="A1594" s="1">
        <v>40435</v>
      </c>
      <c r="B1594">
        <v>914</v>
      </c>
      <c r="C1594">
        <v>2010</v>
      </c>
      <c r="D1594">
        <v>512</v>
      </c>
      <c r="E1594">
        <v>79</v>
      </c>
      <c r="F1594">
        <v>320</v>
      </c>
      <c r="G1594">
        <v>37</v>
      </c>
      <c r="H1594">
        <f>SUMIFS($F$2:F1594,$C$2:C1594,C1594)</f>
        <v>5100</v>
      </c>
      <c r="I1594" s="8">
        <f>STAMP_Escapement_Data[[#This Row],[DATE]]-DATE(STAMP_Escapement_Data[[#This Row],[YEAR]],8,1)</f>
        <v>44</v>
      </c>
    </row>
    <row r="1595" spans="1:9" x14ac:dyDescent="0.25">
      <c r="A1595" s="1">
        <v>40436</v>
      </c>
      <c r="B1595">
        <v>915</v>
      </c>
      <c r="C1595">
        <v>2010</v>
      </c>
      <c r="D1595">
        <v>598</v>
      </c>
      <c r="E1595">
        <v>105</v>
      </c>
      <c r="F1595">
        <v>370</v>
      </c>
      <c r="G1595">
        <v>36</v>
      </c>
      <c r="H1595">
        <f>SUMIFS($F$2:F1595,$C$2:C1595,C1595)</f>
        <v>5470</v>
      </c>
      <c r="I1595" s="8">
        <f>STAMP_Escapement_Data[[#This Row],[DATE]]-DATE(STAMP_Escapement_Data[[#This Row],[YEAR]],8,1)</f>
        <v>45</v>
      </c>
    </row>
    <row r="1596" spans="1:9" x14ac:dyDescent="0.25">
      <c r="A1596" s="1">
        <v>40437</v>
      </c>
      <c r="B1596">
        <v>916</v>
      </c>
      <c r="C1596">
        <v>2010</v>
      </c>
      <c r="D1596">
        <v>661</v>
      </c>
      <c r="E1596">
        <v>164</v>
      </c>
      <c r="F1596">
        <v>545</v>
      </c>
      <c r="G1596">
        <v>37</v>
      </c>
      <c r="H1596">
        <f>SUMIFS($F$2:F1596,$C$2:C1596,C1596)</f>
        <v>6015</v>
      </c>
      <c r="I1596" s="8">
        <f>STAMP_Escapement_Data[[#This Row],[DATE]]-DATE(STAMP_Escapement_Data[[#This Row],[YEAR]],8,1)</f>
        <v>46</v>
      </c>
    </row>
    <row r="1597" spans="1:9" x14ac:dyDescent="0.25">
      <c r="A1597" s="1">
        <v>40438</v>
      </c>
      <c r="B1597">
        <v>917</v>
      </c>
      <c r="C1597">
        <v>2010</v>
      </c>
      <c r="D1597">
        <v>925</v>
      </c>
      <c r="E1597">
        <v>241</v>
      </c>
      <c r="F1597">
        <v>867</v>
      </c>
      <c r="G1597">
        <v>87</v>
      </c>
      <c r="H1597">
        <f>SUMIFS($F$2:F1597,$C$2:C1597,C1597)</f>
        <v>6882</v>
      </c>
      <c r="I1597" s="8">
        <f>STAMP_Escapement_Data[[#This Row],[DATE]]-DATE(STAMP_Escapement_Data[[#This Row],[YEAR]],8,1)</f>
        <v>47</v>
      </c>
    </row>
    <row r="1598" spans="1:9" x14ac:dyDescent="0.25">
      <c r="A1598" s="1">
        <v>40439</v>
      </c>
      <c r="B1598">
        <v>918</v>
      </c>
      <c r="C1598">
        <v>2010</v>
      </c>
      <c r="D1598">
        <v>741</v>
      </c>
      <c r="E1598">
        <v>174</v>
      </c>
      <c r="F1598">
        <v>914</v>
      </c>
      <c r="G1598">
        <v>71</v>
      </c>
      <c r="H1598">
        <f>SUMIFS($F$2:F1598,$C$2:C1598,C1598)</f>
        <v>7796</v>
      </c>
      <c r="I1598" s="8">
        <f>STAMP_Escapement_Data[[#This Row],[DATE]]-DATE(STAMP_Escapement_Data[[#This Row],[YEAR]],8,1)</f>
        <v>48</v>
      </c>
    </row>
    <row r="1599" spans="1:9" x14ac:dyDescent="0.25">
      <c r="A1599" s="1">
        <v>40440</v>
      </c>
      <c r="B1599">
        <v>919</v>
      </c>
      <c r="C1599">
        <v>2010</v>
      </c>
      <c r="D1599">
        <v>531</v>
      </c>
      <c r="E1599">
        <v>203</v>
      </c>
      <c r="F1599">
        <v>752</v>
      </c>
      <c r="G1599">
        <v>70</v>
      </c>
      <c r="H1599">
        <f>SUMIFS($F$2:F1599,$C$2:C1599,C1599)</f>
        <v>8548</v>
      </c>
      <c r="I1599" s="8">
        <f>STAMP_Escapement_Data[[#This Row],[DATE]]-DATE(STAMP_Escapement_Data[[#This Row],[YEAR]],8,1)</f>
        <v>49</v>
      </c>
    </row>
    <row r="1600" spans="1:9" x14ac:dyDescent="0.25">
      <c r="A1600" s="1">
        <v>40441</v>
      </c>
      <c r="B1600">
        <v>920</v>
      </c>
      <c r="C1600">
        <v>2010</v>
      </c>
      <c r="D1600">
        <v>416</v>
      </c>
      <c r="E1600">
        <v>141</v>
      </c>
      <c r="F1600">
        <v>762</v>
      </c>
      <c r="G1600">
        <v>33</v>
      </c>
      <c r="H1600">
        <f>SUMIFS($F$2:F1600,$C$2:C1600,C1600)</f>
        <v>9310</v>
      </c>
      <c r="I1600" s="8">
        <f>STAMP_Escapement_Data[[#This Row],[DATE]]-DATE(STAMP_Escapement_Data[[#This Row],[YEAR]],8,1)</f>
        <v>50</v>
      </c>
    </row>
    <row r="1601" spans="1:9" x14ac:dyDescent="0.25">
      <c r="A1601" s="1">
        <v>40442</v>
      </c>
      <c r="B1601">
        <v>921</v>
      </c>
      <c r="C1601">
        <v>2010</v>
      </c>
      <c r="D1601">
        <v>347</v>
      </c>
      <c r="E1601">
        <v>112</v>
      </c>
      <c r="F1601">
        <v>589</v>
      </c>
      <c r="G1601">
        <v>21</v>
      </c>
      <c r="H1601">
        <f>SUMIFS($F$2:F1601,$C$2:C1601,C1601)</f>
        <v>9899</v>
      </c>
      <c r="I1601" s="8">
        <f>STAMP_Escapement_Data[[#This Row],[DATE]]-DATE(STAMP_Escapement_Data[[#This Row],[YEAR]],8,1)</f>
        <v>51</v>
      </c>
    </row>
    <row r="1602" spans="1:9" x14ac:dyDescent="0.25">
      <c r="A1602" s="1">
        <v>40443</v>
      </c>
      <c r="B1602">
        <v>922</v>
      </c>
      <c r="C1602">
        <v>2010</v>
      </c>
      <c r="D1602">
        <v>234</v>
      </c>
      <c r="E1602">
        <v>108</v>
      </c>
      <c r="F1602">
        <v>537</v>
      </c>
      <c r="G1602">
        <v>21</v>
      </c>
      <c r="H1602">
        <f>SUMIFS($F$2:F1602,$C$2:C1602,C1602)</f>
        <v>10436</v>
      </c>
      <c r="I1602" s="8">
        <f>STAMP_Escapement_Data[[#This Row],[DATE]]-DATE(STAMP_Escapement_Data[[#This Row],[YEAR]],8,1)</f>
        <v>52</v>
      </c>
    </row>
    <row r="1603" spans="1:9" x14ac:dyDescent="0.25">
      <c r="A1603" s="1">
        <v>40444</v>
      </c>
      <c r="B1603">
        <v>923</v>
      </c>
      <c r="C1603">
        <v>2010</v>
      </c>
      <c r="D1603">
        <v>249</v>
      </c>
      <c r="E1603">
        <v>94</v>
      </c>
      <c r="F1603">
        <v>778</v>
      </c>
      <c r="G1603">
        <v>30</v>
      </c>
      <c r="H1603">
        <f>SUMIFS($F$2:F1603,$C$2:C1603,C1603)</f>
        <v>11214</v>
      </c>
      <c r="I1603" s="8">
        <f>STAMP_Escapement_Data[[#This Row],[DATE]]-DATE(STAMP_Escapement_Data[[#This Row],[YEAR]],8,1)</f>
        <v>53</v>
      </c>
    </row>
    <row r="1604" spans="1:9" x14ac:dyDescent="0.25">
      <c r="A1604" s="1">
        <v>40445</v>
      </c>
      <c r="B1604">
        <v>924</v>
      </c>
      <c r="C1604">
        <v>2010</v>
      </c>
      <c r="D1604">
        <v>414</v>
      </c>
      <c r="E1604">
        <v>99</v>
      </c>
      <c r="F1604">
        <v>629</v>
      </c>
      <c r="G1604">
        <v>16</v>
      </c>
      <c r="H1604">
        <f>SUMIFS($F$2:F1604,$C$2:C1604,C1604)</f>
        <v>11843</v>
      </c>
      <c r="I1604" s="8">
        <f>STAMP_Escapement_Data[[#This Row],[DATE]]-DATE(STAMP_Escapement_Data[[#This Row],[YEAR]],8,1)</f>
        <v>54</v>
      </c>
    </row>
    <row r="1605" spans="1:9" x14ac:dyDescent="0.25">
      <c r="A1605" s="1">
        <v>40446</v>
      </c>
      <c r="B1605">
        <v>925</v>
      </c>
      <c r="C1605">
        <v>2010</v>
      </c>
      <c r="D1605">
        <v>536</v>
      </c>
      <c r="E1605">
        <v>96</v>
      </c>
      <c r="F1605">
        <v>725</v>
      </c>
      <c r="G1605">
        <v>21</v>
      </c>
      <c r="H1605">
        <f>SUMIFS($F$2:F1605,$C$2:C1605,C1605)</f>
        <v>12568</v>
      </c>
      <c r="I1605" s="8">
        <f>STAMP_Escapement_Data[[#This Row],[DATE]]-DATE(STAMP_Escapement_Data[[#This Row],[YEAR]],8,1)</f>
        <v>55</v>
      </c>
    </row>
    <row r="1606" spans="1:9" x14ac:dyDescent="0.25">
      <c r="A1606" s="1">
        <v>40447</v>
      </c>
      <c r="B1606">
        <v>926</v>
      </c>
      <c r="C1606">
        <v>2010</v>
      </c>
      <c r="D1606">
        <v>689</v>
      </c>
      <c r="E1606">
        <v>141</v>
      </c>
      <c r="F1606">
        <v>624</v>
      </c>
      <c r="G1606">
        <v>23</v>
      </c>
      <c r="H1606">
        <f>SUMIFS($F$2:F1606,$C$2:C1606,C1606)</f>
        <v>13192</v>
      </c>
      <c r="I1606" s="8">
        <f>STAMP_Escapement_Data[[#This Row],[DATE]]-DATE(STAMP_Escapement_Data[[#This Row],[YEAR]],8,1)</f>
        <v>56</v>
      </c>
    </row>
    <row r="1607" spans="1:9" x14ac:dyDescent="0.25">
      <c r="A1607" s="1">
        <v>40448</v>
      </c>
      <c r="B1607">
        <v>927</v>
      </c>
      <c r="C1607">
        <v>2010</v>
      </c>
      <c r="D1607">
        <v>459</v>
      </c>
      <c r="E1607">
        <v>127</v>
      </c>
      <c r="F1607">
        <v>747</v>
      </c>
      <c r="G1607">
        <v>31</v>
      </c>
      <c r="H1607">
        <f>SUMIFS($F$2:F1607,$C$2:C1607,C1607)</f>
        <v>13939</v>
      </c>
      <c r="I1607" s="8">
        <f>STAMP_Escapement_Data[[#This Row],[DATE]]-DATE(STAMP_Escapement_Data[[#This Row],[YEAR]],8,1)</f>
        <v>57</v>
      </c>
    </row>
    <row r="1608" spans="1:9" x14ac:dyDescent="0.25">
      <c r="A1608" s="1">
        <v>40449</v>
      </c>
      <c r="B1608">
        <v>928</v>
      </c>
      <c r="C1608">
        <v>2010</v>
      </c>
      <c r="D1608">
        <v>625</v>
      </c>
      <c r="E1608">
        <v>171</v>
      </c>
      <c r="F1608">
        <v>625</v>
      </c>
      <c r="G1608">
        <v>33</v>
      </c>
      <c r="H1608">
        <f>SUMIFS($F$2:F1608,$C$2:C1608,C1608)</f>
        <v>14564</v>
      </c>
      <c r="I1608" s="8">
        <f>STAMP_Escapement_Data[[#This Row],[DATE]]-DATE(STAMP_Escapement_Data[[#This Row],[YEAR]],8,1)</f>
        <v>58</v>
      </c>
    </row>
    <row r="1609" spans="1:9" x14ac:dyDescent="0.25">
      <c r="A1609" s="1">
        <v>40450</v>
      </c>
      <c r="B1609">
        <v>929</v>
      </c>
      <c r="C1609">
        <v>2010</v>
      </c>
      <c r="D1609">
        <v>365</v>
      </c>
      <c r="E1609">
        <v>102</v>
      </c>
      <c r="F1609">
        <v>282</v>
      </c>
      <c r="G1609">
        <v>12</v>
      </c>
      <c r="H1609">
        <f>SUMIFS($F$2:F1609,$C$2:C1609,C1609)</f>
        <v>14846</v>
      </c>
      <c r="I1609" s="8">
        <f>STAMP_Escapement_Data[[#This Row],[DATE]]-DATE(STAMP_Escapement_Data[[#This Row],[YEAR]],8,1)</f>
        <v>59</v>
      </c>
    </row>
    <row r="1610" spans="1:9" x14ac:dyDescent="0.25">
      <c r="A1610" s="1">
        <v>40451</v>
      </c>
      <c r="B1610">
        <v>930</v>
      </c>
      <c r="C1610">
        <v>2010</v>
      </c>
      <c r="D1610">
        <v>357</v>
      </c>
      <c r="E1610">
        <v>79</v>
      </c>
      <c r="F1610">
        <v>325</v>
      </c>
      <c r="G1610">
        <v>12</v>
      </c>
      <c r="H1610">
        <f>SUMIFS($F$2:F1610,$C$2:C1610,C1610)</f>
        <v>15171</v>
      </c>
      <c r="I1610" s="8">
        <f>STAMP_Escapement_Data[[#This Row],[DATE]]-DATE(STAMP_Escapement_Data[[#This Row],[YEAR]],8,1)</f>
        <v>60</v>
      </c>
    </row>
    <row r="1611" spans="1:9" x14ac:dyDescent="0.25">
      <c r="A1611" s="1">
        <v>40452</v>
      </c>
      <c r="B1611">
        <v>1001</v>
      </c>
      <c r="C1611">
        <v>2010</v>
      </c>
      <c r="D1611">
        <v>426</v>
      </c>
      <c r="E1611">
        <v>106</v>
      </c>
      <c r="F1611">
        <v>399</v>
      </c>
      <c r="G1611">
        <v>15</v>
      </c>
      <c r="H1611">
        <f>SUMIFS($F$2:F1611,$C$2:C1611,C1611)</f>
        <v>15570</v>
      </c>
      <c r="I1611" s="8">
        <f>STAMP_Escapement_Data[[#This Row],[DATE]]-DATE(STAMP_Escapement_Data[[#This Row],[YEAR]],8,1)</f>
        <v>61</v>
      </c>
    </row>
    <row r="1612" spans="1:9" x14ac:dyDescent="0.25">
      <c r="A1612" s="1">
        <v>40453</v>
      </c>
      <c r="B1612">
        <v>1002</v>
      </c>
      <c r="C1612">
        <v>2010</v>
      </c>
      <c r="D1612">
        <v>490</v>
      </c>
      <c r="E1612">
        <v>88</v>
      </c>
      <c r="F1612">
        <v>603</v>
      </c>
      <c r="G1612">
        <v>28</v>
      </c>
      <c r="H1612">
        <f>SUMIFS($F$2:F1612,$C$2:C1612,C1612)</f>
        <v>16173</v>
      </c>
      <c r="I1612" s="8">
        <f>STAMP_Escapement_Data[[#This Row],[DATE]]-DATE(STAMP_Escapement_Data[[#This Row],[YEAR]],8,1)</f>
        <v>62</v>
      </c>
    </row>
    <row r="1613" spans="1:9" x14ac:dyDescent="0.25">
      <c r="A1613" s="1">
        <v>40454</v>
      </c>
      <c r="B1613">
        <v>1003</v>
      </c>
      <c r="C1613">
        <v>2010</v>
      </c>
      <c r="D1613">
        <v>388</v>
      </c>
      <c r="E1613">
        <v>84</v>
      </c>
      <c r="F1613">
        <v>770</v>
      </c>
      <c r="G1613">
        <v>28</v>
      </c>
      <c r="H1613">
        <f>SUMIFS($F$2:F1613,$C$2:C1613,C1613)</f>
        <v>16943</v>
      </c>
      <c r="I1613" s="8">
        <f>STAMP_Escapement_Data[[#This Row],[DATE]]-DATE(STAMP_Escapement_Data[[#This Row],[YEAR]],8,1)</f>
        <v>63</v>
      </c>
    </row>
    <row r="1614" spans="1:9" x14ac:dyDescent="0.25">
      <c r="A1614" s="1">
        <v>40455</v>
      </c>
      <c r="B1614">
        <v>1004</v>
      </c>
      <c r="C1614">
        <v>2010</v>
      </c>
      <c r="D1614">
        <v>343</v>
      </c>
      <c r="E1614">
        <v>96</v>
      </c>
      <c r="F1614">
        <v>800</v>
      </c>
      <c r="G1614">
        <v>33</v>
      </c>
      <c r="H1614">
        <f>SUMIFS($F$2:F1614,$C$2:C1614,C1614)</f>
        <v>17743</v>
      </c>
      <c r="I1614" s="8">
        <f>STAMP_Escapement_Data[[#This Row],[DATE]]-DATE(STAMP_Escapement_Data[[#This Row],[YEAR]],8,1)</f>
        <v>64</v>
      </c>
    </row>
    <row r="1615" spans="1:9" x14ac:dyDescent="0.25">
      <c r="A1615" s="1">
        <v>40456</v>
      </c>
      <c r="B1615">
        <v>1005</v>
      </c>
      <c r="C1615">
        <v>2010</v>
      </c>
      <c r="D1615">
        <v>260</v>
      </c>
      <c r="E1615">
        <v>61</v>
      </c>
      <c r="F1615">
        <v>844</v>
      </c>
      <c r="G1615">
        <v>34</v>
      </c>
      <c r="H1615">
        <f>SUMIFS($F$2:F1615,$C$2:C1615,C1615)</f>
        <v>18587</v>
      </c>
      <c r="I1615" s="8">
        <f>STAMP_Escapement_Data[[#This Row],[DATE]]-DATE(STAMP_Escapement_Data[[#This Row],[YEAR]],8,1)</f>
        <v>65</v>
      </c>
    </row>
    <row r="1616" spans="1:9" x14ac:dyDescent="0.25">
      <c r="A1616" s="1">
        <v>40457</v>
      </c>
      <c r="B1616">
        <v>1006</v>
      </c>
      <c r="C1616">
        <v>2010</v>
      </c>
      <c r="D1616">
        <v>263</v>
      </c>
      <c r="E1616">
        <v>69</v>
      </c>
      <c r="F1616">
        <v>521</v>
      </c>
      <c r="G1616">
        <v>29</v>
      </c>
      <c r="H1616">
        <f>SUMIFS($F$2:F1616,$C$2:C1616,C1616)</f>
        <v>19108</v>
      </c>
      <c r="I1616" s="8">
        <f>STAMP_Escapement_Data[[#This Row],[DATE]]-DATE(STAMP_Escapement_Data[[#This Row],[YEAR]],8,1)</f>
        <v>66</v>
      </c>
    </row>
    <row r="1617" spans="1:9" x14ac:dyDescent="0.25">
      <c r="A1617" s="1">
        <v>40458</v>
      </c>
      <c r="B1617">
        <v>1007</v>
      </c>
      <c r="C1617">
        <v>2010</v>
      </c>
      <c r="D1617">
        <v>293</v>
      </c>
      <c r="E1617">
        <v>57</v>
      </c>
      <c r="F1617">
        <v>576</v>
      </c>
      <c r="G1617">
        <v>15</v>
      </c>
      <c r="H1617">
        <f>SUMIFS($F$2:F1617,$C$2:C1617,C1617)</f>
        <v>19684</v>
      </c>
      <c r="I1617" s="8">
        <f>STAMP_Escapement_Data[[#This Row],[DATE]]-DATE(STAMP_Escapement_Data[[#This Row],[YEAR]],8,1)</f>
        <v>67</v>
      </c>
    </row>
    <row r="1618" spans="1:9" x14ac:dyDescent="0.25">
      <c r="A1618" s="1">
        <v>40459</v>
      </c>
      <c r="B1618">
        <v>1008</v>
      </c>
      <c r="C1618">
        <v>2010</v>
      </c>
      <c r="D1618">
        <v>237</v>
      </c>
      <c r="E1618">
        <v>47</v>
      </c>
      <c r="F1618">
        <v>646</v>
      </c>
      <c r="G1618">
        <v>25</v>
      </c>
      <c r="H1618">
        <f>SUMIFS($F$2:F1618,$C$2:C1618,C1618)</f>
        <v>20330</v>
      </c>
      <c r="I1618" s="8">
        <f>STAMP_Escapement_Data[[#This Row],[DATE]]-DATE(STAMP_Escapement_Data[[#This Row],[YEAR]],8,1)</f>
        <v>68</v>
      </c>
    </row>
    <row r="1619" spans="1:9" x14ac:dyDescent="0.25">
      <c r="A1619" s="1">
        <v>40460</v>
      </c>
      <c r="B1619">
        <v>1009</v>
      </c>
      <c r="C1619">
        <v>2010</v>
      </c>
      <c r="D1619">
        <v>317</v>
      </c>
      <c r="E1619">
        <v>46</v>
      </c>
      <c r="F1619">
        <v>392</v>
      </c>
      <c r="G1619">
        <v>10</v>
      </c>
      <c r="H1619">
        <f>SUMIFS($F$2:F1619,$C$2:C1619,C1619)</f>
        <v>20722</v>
      </c>
      <c r="I1619" s="8">
        <f>STAMP_Escapement_Data[[#This Row],[DATE]]-DATE(STAMP_Escapement_Data[[#This Row],[YEAR]],8,1)</f>
        <v>69</v>
      </c>
    </row>
    <row r="1620" spans="1:9" x14ac:dyDescent="0.25">
      <c r="A1620" s="1">
        <v>40461</v>
      </c>
      <c r="B1620">
        <v>1010</v>
      </c>
      <c r="C1620">
        <v>2010</v>
      </c>
      <c r="D1620">
        <v>390</v>
      </c>
      <c r="E1620">
        <v>31</v>
      </c>
      <c r="F1620">
        <v>524</v>
      </c>
      <c r="G1620">
        <v>17</v>
      </c>
      <c r="H1620">
        <f>SUMIFS($F$2:F1620,$C$2:C1620,C1620)</f>
        <v>21246</v>
      </c>
      <c r="I1620" s="8">
        <f>STAMP_Escapement_Data[[#This Row],[DATE]]-DATE(STAMP_Escapement_Data[[#This Row],[YEAR]],8,1)</f>
        <v>70</v>
      </c>
    </row>
    <row r="1621" spans="1:9" x14ac:dyDescent="0.25">
      <c r="A1621" s="1">
        <v>40462</v>
      </c>
      <c r="B1621">
        <v>1011</v>
      </c>
      <c r="C1621">
        <v>2010</v>
      </c>
      <c r="D1621">
        <v>244</v>
      </c>
      <c r="E1621">
        <v>22</v>
      </c>
      <c r="F1621">
        <v>323</v>
      </c>
      <c r="G1621">
        <v>12</v>
      </c>
      <c r="H1621">
        <f>SUMIFS($F$2:F1621,$C$2:C1621,C1621)</f>
        <v>21569</v>
      </c>
      <c r="I1621" s="8">
        <f>STAMP_Escapement_Data[[#This Row],[DATE]]-DATE(STAMP_Escapement_Data[[#This Row],[YEAR]],8,1)</f>
        <v>71</v>
      </c>
    </row>
    <row r="1622" spans="1:9" x14ac:dyDescent="0.25">
      <c r="A1622" s="1">
        <v>40463</v>
      </c>
      <c r="B1622">
        <v>1012</v>
      </c>
      <c r="C1622">
        <v>2010</v>
      </c>
      <c r="D1622">
        <v>168</v>
      </c>
      <c r="E1622">
        <v>15</v>
      </c>
      <c r="F1622">
        <v>304</v>
      </c>
      <c r="G1622">
        <v>11</v>
      </c>
      <c r="H1622">
        <f>SUMIFS($F$2:F1622,$C$2:C1622,C1622)</f>
        <v>21873</v>
      </c>
      <c r="I1622" s="8">
        <f>STAMP_Escapement_Data[[#This Row],[DATE]]-DATE(STAMP_Escapement_Data[[#This Row],[YEAR]],8,1)</f>
        <v>72</v>
      </c>
    </row>
    <row r="1623" spans="1:9" x14ac:dyDescent="0.25">
      <c r="A1623" s="1">
        <v>40464</v>
      </c>
      <c r="B1623">
        <v>1013</v>
      </c>
      <c r="C1623">
        <v>2010</v>
      </c>
      <c r="D1623">
        <v>85</v>
      </c>
      <c r="E1623">
        <v>11</v>
      </c>
      <c r="F1623">
        <v>283</v>
      </c>
      <c r="G1623">
        <v>10</v>
      </c>
      <c r="H1623">
        <f>SUMIFS($F$2:F1623,$C$2:C1623,C1623)</f>
        <v>22156</v>
      </c>
      <c r="I1623" s="8">
        <f>STAMP_Escapement_Data[[#This Row],[DATE]]-DATE(STAMP_Escapement_Data[[#This Row],[YEAR]],8,1)</f>
        <v>73</v>
      </c>
    </row>
    <row r="1624" spans="1:9" x14ac:dyDescent="0.25">
      <c r="A1624" s="1">
        <v>40465</v>
      </c>
      <c r="B1624">
        <v>1014</v>
      </c>
      <c r="C1624">
        <v>2010</v>
      </c>
      <c r="D1624">
        <v>59</v>
      </c>
      <c r="E1624">
        <v>10</v>
      </c>
      <c r="F1624">
        <v>277</v>
      </c>
      <c r="G1624">
        <v>13</v>
      </c>
      <c r="H1624">
        <f>SUMIFS($F$2:F1624,$C$2:C1624,C1624)</f>
        <v>22433</v>
      </c>
      <c r="I1624" s="8">
        <f>STAMP_Escapement_Data[[#This Row],[DATE]]-DATE(STAMP_Escapement_Data[[#This Row],[YEAR]],8,1)</f>
        <v>74</v>
      </c>
    </row>
    <row r="1625" spans="1:9" x14ac:dyDescent="0.25">
      <c r="A1625" s="1">
        <v>40466</v>
      </c>
      <c r="B1625">
        <v>1015</v>
      </c>
      <c r="C1625">
        <v>2010</v>
      </c>
      <c r="D1625">
        <v>37</v>
      </c>
      <c r="E1625">
        <v>4</v>
      </c>
      <c r="F1625">
        <v>180</v>
      </c>
      <c r="G1625">
        <v>9</v>
      </c>
      <c r="H1625">
        <f>SUMIFS($F$2:F1625,$C$2:C1625,C1625)</f>
        <v>22613</v>
      </c>
      <c r="I1625" s="8">
        <f>STAMP_Escapement_Data[[#This Row],[DATE]]-DATE(STAMP_Escapement_Data[[#This Row],[YEAR]],8,1)</f>
        <v>75</v>
      </c>
    </row>
    <row r="1626" spans="1:9" x14ac:dyDescent="0.25">
      <c r="A1626" s="1">
        <v>40467</v>
      </c>
      <c r="B1626">
        <v>1016</v>
      </c>
      <c r="C1626">
        <v>2010</v>
      </c>
      <c r="D1626">
        <v>28</v>
      </c>
      <c r="E1626">
        <v>8</v>
      </c>
      <c r="F1626">
        <v>177</v>
      </c>
      <c r="G1626">
        <v>6</v>
      </c>
      <c r="H1626">
        <f>SUMIFS($F$2:F1626,$C$2:C1626,C1626)</f>
        <v>22790</v>
      </c>
      <c r="I1626" s="8">
        <f>STAMP_Escapement_Data[[#This Row],[DATE]]-DATE(STAMP_Escapement_Data[[#This Row],[YEAR]],8,1)</f>
        <v>76</v>
      </c>
    </row>
    <row r="1627" spans="1:9" x14ac:dyDescent="0.25">
      <c r="A1627" s="1">
        <v>40468</v>
      </c>
      <c r="B1627">
        <v>1017</v>
      </c>
      <c r="C1627">
        <v>2010</v>
      </c>
      <c r="D1627">
        <v>23</v>
      </c>
      <c r="E1627">
        <v>1</v>
      </c>
      <c r="F1627">
        <v>256</v>
      </c>
      <c r="G1627">
        <v>9</v>
      </c>
      <c r="H1627">
        <f>SUMIFS($F$2:F1627,$C$2:C1627,C1627)</f>
        <v>23046</v>
      </c>
      <c r="I1627" s="8">
        <f>STAMP_Escapement_Data[[#This Row],[DATE]]-DATE(STAMP_Escapement_Data[[#This Row],[YEAR]],8,1)</f>
        <v>77</v>
      </c>
    </row>
    <row r="1628" spans="1:9" x14ac:dyDescent="0.25">
      <c r="A1628" s="1">
        <v>40469</v>
      </c>
      <c r="B1628">
        <v>1018</v>
      </c>
      <c r="C1628">
        <v>2010</v>
      </c>
      <c r="D1628">
        <v>24</v>
      </c>
      <c r="E1628">
        <v>3</v>
      </c>
      <c r="F1628">
        <v>307</v>
      </c>
      <c r="G1628">
        <v>6</v>
      </c>
      <c r="H1628">
        <f>SUMIFS($F$2:F1628,$C$2:C1628,C1628)</f>
        <v>23353</v>
      </c>
      <c r="I1628" s="8">
        <f>STAMP_Escapement_Data[[#This Row],[DATE]]-DATE(STAMP_Escapement_Data[[#This Row],[YEAR]],8,1)</f>
        <v>78</v>
      </c>
    </row>
    <row r="1629" spans="1:9" x14ac:dyDescent="0.25">
      <c r="A1629" s="1">
        <v>40470</v>
      </c>
      <c r="B1629">
        <v>1019</v>
      </c>
      <c r="C1629">
        <v>2010</v>
      </c>
      <c r="D1629">
        <v>22</v>
      </c>
      <c r="E1629">
        <v>8</v>
      </c>
      <c r="F1629">
        <v>242</v>
      </c>
      <c r="G1629">
        <v>7</v>
      </c>
      <c r="H1629">
        <f>SUMIFS($F$2:F1629,$C$2:C1629,C1629)</f>
        <v>23595</v>
      </c>
      <c r="I1629" s="8">
        <f>STAMP_Escapement_Data[[#This Row],[DATE]]-DATE(STAMP_Escapement_Data[[#This Row],[YEAR]],8,1)</f>
        <v>79</v>
      </c>
    </row>
    <row r="1630" spans="1:9" x14ac:dyDescent="0.25">
      <c r="A1630" s="1">
        <v>40471</v>
      </c>
      <c r="B1630">
        <v>1020</v>
      </c>
      <c r="C1630">
        <v>2010</v>
      </c>
      <c r="D1630">
        <v>40</v>
      </c>
      <c r="E1630">
        <v>4</v>
      </c>
      <c r="F1630">
        <v>373</v>
      </c>
      <c r="G1630">
        <v>16</v>
      </c>
      <c r="H1630">
        <f>SUMIFS($F$2:F1630,$C$2:C1630,C1630)</f>
        <v>23968</v>
      </c>
      <c r="I1630" s="8">
        <f>STAMP_Escapement_Data[[#This Row],[DATE]]-DATE(STAMP_Escapement_Data[[#This Row],[YEAR]],8,1)</f>
        <v>80</v>
      </c>
    </row>
    <row r="1631" spans="1:9" x14ac:dyDescent="0.25">
      <c r="A1631" s="1">
        <v>40472</v>
      </c>
      <c r="B1631">
        <v>1021</v>
      </c>
      <c r="C1631">
        <v>2010</v>
      </c>
      <c r="D1631">
        <v>30</v>
      </c>
      <c r="E1631">
        <v>3</v>
      </c>
      <c r="F1631">
        <v>304</v>
      </c>
      <c r="G1631">
        <v>16</v>
      </c>
      <c r="H1631">
        <f>SUMIFS($F$2:F1631,$C$2:C1631,C1631)</f>
        <v>24272</v>
      </c>
      <c r="I1631" s="8">
        <f>STAMP_Escapement_Data[[#This Row],[DATE]]-DATE(STAMP_Escapement_Data[[#This Row],[YEAR]],8,1)</f>
        <v>81</v>
      </c>
    </row>
    <row r="1632" spans="1:9" x14ac:dyDescent="0.25">
      <c r="A1632" s="1">
        <v>40473</v>
      </c>
      <c r="B1632">
        <v>1022</v>
      </c>
      <c r="C1632">
        <v>2010</v>
      </c>
      <c r="D1632">
        <v>19</v>
      </c>
      <c r="E1632">
        <v>9</v>
      </c>
      <c r="F1632">
        <v>348</v>
      </c>
      <c r="G1632">
        <v>10</v>
      </c>
      <c r="H1632">
        <f>SUMIFS($F$2:F1632,$C$2:C1632,C1632)</f>
        <v>24620</v>
      </c>
      <c r="I1632" s="8">
        <f>STAMP_Escapement_Data[[#This Row],[DATE]]-DATE(STAMP_Escapement_Data[[#This Row],[YEAR]],8,1)</f>
        <v>82</v>
      </c>
    </row>
    <row r="1633" spans="1:9" x14ac:dyDescent="0.25">
      <c r="A1633" s="1">
        <v>40474</v>
      </c>
      <c r="B1633">
        <v>1023</v>
      </c>
      <c r="C1633">
        <v>2010</v>
      </c>
      <c r="D1633">
        <v>15</v>
      </c>
      <c r="E1633">
        <v>6</v>
      </c>
      <c r="F1633">
        <v>56</v>
      </c>
      <c r="G1633">
        <v>4</v>
      </c>
      <c r="H1633">
        <f>SUMIFS($F$2:F1633,$C$2:C1633,C1633)</f>
        <v>24676</v>
      </c>
      <c r="I1633" s="8">
        <f>STAMP_Escapement_Data[[#This Row],[DATE]]-DATE(STAMP_Escapement_Data[[#This Row],[YEAR]],8,1)</f>
        <v>83</v>
      </c>
    </row>
    <row r="1634" spans="1:9" x14ac:dyDescent="0.25">
      <c r="A1634" s="1">
        <v>40475</v>
      </c>
      <c r="B1634">
        <v>1024</v>
      </c>
      <c r="C1634">
        <v>2010</v>
      </c>
      <c r="D1634">
        <v>0</v>
      </c>
      <c r="E1634">
        <v>0</v>
      </c>
      <c r="F1634">
        <v>0</v>
      </c>
      <c r="G1634">
        <v>0</v>
      </c>
      <c r="H1634">
        <f>SUMIFS($F$2:F1634,$C$2:C1634,C1634)</f>
        <v>24676</v>
      </c>
      <c r="I1634" s="8">
        <f>STAMP_Escapement_Data[[#This Row],[DATE]]-DATE(STAMP_Escapement_Data[[#This Row],[YEAR]],8,1)</f>
        <v>84</v>
      </c>
    </row>
    <row r="1635" spans="1:9" x14ac:dyDescent="0.25">
      <c r="A1635" s="1">
        <v>40476</v>
      </c>
      <c r="B1635">
        <v>1025</v>
      </c>
      <c r="C1635">
        <v>2010</v>
      </c>
      <c r="D1635">
        <v>0</v>
      </c>
      <c r="E1635">
        <v>0</v>
      </c>
      <c r="F1635">
        <v>0</v>
      </c>
      <c r="G1635">
        <v>0</v>
      </c>
      <c r="H1635">
        <f>SUMIFS($F$2:F1635,$C$2:C1635,C1635)</f>
        <v>24676</v>
      </c>
      <c r="I1635" s="8">
        <f>STAMP_Escapement_Data[[#This Row],[DATE]]-DATE(STAMP_Escapement_Data[[#This Row],[YEAR]],8,1)</f>
        <v>85</v>
      </c>
    </row>
    <row r="1636" spans="1:9" x14ac:dyDescent="0.25">
      <c r="A1636" s="1">
        <v>40477</v>
      </c>
      <c r="B1636">
        <v>1026</v>
      </c>
      <c r="C1636">
        <v>2010</v>
      </c>
      <c r="D1636">
        <v>0</v>
      </c>
      <c r="E1636">
        <v>0</v>
      </c>
      <c r="F1636">
        <v>0</v>
      </c>
      <c r="G1636">
        <v>0</v>
      </c>
      <c r="H1636">
        <f>SUMIFS($F$2:F1636,$C$2:C1636,C1636)</f>
        <v>24676</v>
      </c>
      <c r="I1636" s="8">
        <f>STAMP_Escapement_Data[[#This Row],[DATE]]-DATE(STAMP_Escapement_Data[[#This Row],[YEAR]],8,1)</f>
        <v>86</v>
      </c>
    </row>
    <row r="1637" spans="1:9" x14ac:dyDescent="0.25">
      <c r="A1637" s="1">
        <v>40478</v>
      </c>
      <c r="B1637">
        <v>1027</v>
      </c>
      <c r="C1637">
        <v>2010</v>
      </c>
      <c r="D1637">
        <v>40</v>
      </c>
      <c r="E1637">
        <v>2</v>
      </c>
      <c r="F1637">
        <v>74</v>
      </c>
      <c r="G1637">
        <v>4</v>
      </c>
      <c r="H1637">
        <f>SUMIFS($F$2:F1637,$C$2:C1637,C1637)</f>
        <v>24750</v>
      </c>
      <c r="I1637" s="8">
        <f>STAMP_Escapement_Data[[#This Row],[DATE]]-DATE(STAMP_Escapement_Data[[#This Row],[YEAR]],8,1)</f>
        <v>87</v>
      </c>
    </row>
    <row r="1638" spans="1:9" x14ac:dyDescent="0.25">
      <c r="A1638" s="1">
        <v>40479</v>
      </c>
      <c r="B1638">
        <v>1028</v>
      </c>
      <c r="C1638">
        <v>2010</v>
      </c>
      <c r="D1638">
        <v>42</v>
      </c>
      <c r="E1638">
        <v>10</v>
      </c>
      <c r="F1638">
        <v>82</v>
      </c>
      <c r="G1638">
        <v>6</v>
      </c>
      <c r="H1638">
        <f>SUMIFS($F$2:F1638,$C$2:C1638,C1638)</f>
        <v>24832</v>
      </c>
      <c r="I1638" s="8">
        <f>STAMP_Escapement_Data[[#This Row],[DATE]]-DATE(STAMP_Escapement_Data[[#This Row],[YEAR]],8,1)</f>
        <v>88</v>
      </c>
    </row>
    <row r="1639" spans="1:9" x14ac:dyDescent="0.25">
      <c r="A1639" s="1">
        <v>40480</v>
      </c>
      <c r="B1639">
        <v>1029</v>
      </c>
      <c r="C1639">
        <v>2010</v>
      </c>
      <c r="D1639">
        <v>20</v>
      </c>
      <c r="E1639">
        <v>4</v>
      </c>
      <c r="F1639">
        <v>45</v>
      </c>
      <c r="G1639">
        <v>2</v>
      </c>
      <c r="H1639">
        <f>SUMIFS($F$2:F1639,$C$2:C1639,C1639)</f>
        <v>24877</v>
      </c>
      <c r="I1639" s="8">
        <f>STAMP_Escapement_Data[[#This Row],[DATE]]-DATE(STAMP_Escapement_Data[[#This Row],[YEAR]],8,1)</f>
        <v>89</v>
      </c>
    </row>
    <row r="1640" spans="1:9" x14ac:dyDescent="0.25">
      <c r="A1640" s="1">
        <v>40481</v>
      </c>
      <c r="B1640">
        <v>1030</v>
      </c>
      <c r="C1640">
        <v>2010</v>
      </c>
      <c r="D1640">
        <v>24</v>
      </c>
      <c r="E1640">
        <v>2</v>
      </c>
      <c r="F1640">
        <v>32</v>
      </c>
      <c r="G1640">
        <v>3</v>
      </c>
      <c r="H1640">
        <f>SUMIFS($F$2:F1640,$C$2:C1640,C1640)</f>
        <v>24909</v>
      </c>
      <c r="I1640" s="8">
        <f>STAMP_Escapement_Data[[#This Row],[DATE]]-DATE(STAMP_Escapement_Data[[#This Row],[YEAR]],8,1)</f>
        <v>90</v>
      </c>
    </row>
    <row r="1641" spans="1:9" x14ac:dyDescent="0.25">
      <c r="A1641" s="1">
        <v>40482</v>
      </c>
      <c r="B1641">
        <v>1031</v>
      </c>
      <c r="C1641">
        <v>2010</v>
      </c>
      <c r="D1641">
        <v>0</v>
      </c>
      <c r="E1641">
        <v>0</v>
      </c>
      <c r="F1641">
        <v>0</v>
      </c>
      <c r="G1641">
        <v>0</v>
      </c>
      <c r="H1641">
        <f>SUMIFS($F$2:F1641,$C$2:C1641,C1641)</f>
        <v>24909</v>
      </c>
      <c r="I1641" s="8">
        <f>STAMP_Escapement_Data[[#This Row],[DATE]]-DATE(STAMP_Escapement_Data[[#This Row],[YEAR]],8,1)</f>
        <v>91</v>
      </c>
    </row>
    <row r="1642" spans="1:9" x14ac:dyDescent="0.25">
      <c r="A1642" s="1">
        <v>40483</v>
      </c>
      <c r="B1642">
        <v>1101</v>
      </c>
      <c r="C1642">
        <v>2010</v>
      </c>
      <c r="D1642">
        <v>0</v>
      </c>
      <c r="E1642">
        <v>0</v>
      </c>
      <c r="F1642">
        <v>0</v>
      </c>
      <c r="G1642">
        <v>0</v>
      </c>
      <c r="H1642">
        <f>SUMIFS($F$2:F1642,$C$2:C1642,C1642)</f>
        <v>24909</v>
      </c>
      <c r="I1642" s="8">
        <f>STAMP_Escapement_Data[[#This Row],[DATE]]-DATE(STAMP_Escapement_Data[[#This Row],[YEAR]],8,1)</f>
        <v>92</v>
      </c>
    </row>
    <row r="1643" spans="1:9" x14ac:dyDescent="0.25">
      <c r="A1643" s="1">
        <v>40484</v>
      </c>
      <c r="B1643">
        <v>1102</v>
      </c>
      <c r="C1643">
        <v>2010</v>
      </c>
      <c r="D1643">
        <v>0</v>
      </c>
      <c r="E1643">
        <v>0</v>
      </c>
      <c r="F1643">
        <v>0</v>
      </c>
      <c r="G1643">
        <v>0</v>
      </c>
      <c r="H1643">
        <f>SUMIFS($F$2:F1643,$C$2:C1643,C1643)</f>
        <v>24909</v>
      </c>
      <c r="I1643" s="8">
        <f>STAMP_Escapement_Data[[#This Row],[DATE]]-DATE(STAMP_Escapement_Data[[#This Row],[YEAR]],8,1)</f>
        <v>93</v>
      </c>
    </row>
    <row r="1644" spans="1:9" x14ac:dyDescent="0.25">
      <c r="A1644" s="1">
        <v>40485</v>
      </c>
      <c r="B1644">
        <v>1103</v>
      </c>
      <c r="C1644">
        <v>2010</v>
      </c>
      <c r="D1644">
        <v>0</v>
      </c>
      <c r="E1644">
        <v>0</v>
      </c>
      <c r="F1644">
        <v>0</v>
      </c>
      <c r="G1644">
        <v>0</v>
      </c>
      <c r="H1644">
        <f>SUMIFS($F$2:F1644,$C$2:C1644,C1644)</f>
        <v>24909</v>
      </c>
      <c r="I1644" s="8">
        <f>STAMP_Escapement_Data[[#This Row],[DATE]]-DATE(STAMP_Escapement_Data[[#This Row],[YEAR]],8,1)</f>
        <v>94</v>
      </c>
    </row>
    <row r="1645" spans="1:9" x14ac:dyDescent="0.25">
      <c r="A1645" s="1">
        <v>40486</v>
      </c>
      <c r="B1645">
        <v>1104</v>
      </c>
      <c r="C1645">
        <v>2010</v>
      </c>
      <c r="D1645">
        <v>19</v>
      </c>
      <c r="E1645">
        <v>1</v>
      </c>
      <c r="F1645">
        <v>9</v>
      </c>
      <c r="G1645">
        <v>1</v>
      </c>
      <c r="H1645">
        <f>SUMIFS($F$2:F1645,$C$2:C1645,C1645)</f>
        <v>24918</v>
      </c>
      <c r="I1645" s="8">
        <f>STAMP_Escapement_Data[[#This Row],[DATE]]-DATE(STAMP_Escapement_Data[[#This Row],[YEAR]],8,1)</f>
        <v>95</v>
      </c>
    </row>
    <row r="1646" spans="1:9" x14ac:dyDescent="0.25">
      <c r="A1646" s="1">
        <v>40487</v>
      </c>
      <c r="B1646">
        <v>1105</v>
      </c>
      <c r="C1646">
        <v>2010</v>
      </c>
      <c r="D1646">
        <v>68</v>
      </c>
      <c r="E1646">
        <v>3</v>
      </c>
      <c r="F1646">
        <v>18</v>
      </c>
      <c r="G1646">
        <v>1</v>
      </c>
      <c r="H1646">
        <f>SUMIFS($F$2:F1646,$C$2:C1646,C1646)</f>
        <v>24936</v>
      </c>
      <c r="I1646" s="8">
        <f>STAMP_Escapement_Data[[#This Row],[DATE]]-DATE(STAMP_Escapement_Data[[#This Row],[YEAR]],8,1)</f>
        <v>96</v>
      </c>
    </row>
    <row r="1647" spans="1:9" x14ac:dyDescent="0.25">
      <c r="A1647" s="1">
        <v>40488</v>
      </c>
      <c r="B1647">
        <v>1106</v>
      </c>
      <c r="C1647">
        <v>2010</v>
      </c>
      <c r="D1647">
        <v>24</v>
      </c>
      <c r="E1647">
        <v>1</v>
      </c>
      <c r="F1647">
        <v>6</v>
      </c>
      <c r="G1647">
        <v>0</v>
      </c>
      <c r="H1647">
        <f>SUMIFS($F$2:F1647,$C$2:C1647,C1647)</f>
        <v>24942</v>
      </c>
      <c r="I1647" s="8">
        <f>STAMP_Escapement_Data[[#This Row],[DATE]]-DATE(STAMP_Escapement_Data[[#This Row],[YEAR]],8,1)</f>
        <v>97</v>
      </c>
    </row>
    <row r="1648" spans="1:9" x14ac:dyDescent="0.25">
      <c r="A1648" s="1">
        <v>40786</v>
      </c>
      <c r="B1648">
        <v>831</v>
      </c>
      <c r="C1648">
        <v>2011</v>
      </c>
      <c r="D1648">
        <v>0</v>
      </c>
      <c r="E1648">
        <v>0</v>
      </c>
      <c r="F1648">
        <v>0</v>
      </c>
      <c r="G1648">
        <v>0</v>
      </c>
      <c r="H1648">
        <f>SUMIFS($F$2:F1648,$C$2:C1648,C1648)</f>
        <v>0</v>
      </c>
      <c r="I1648" s="8">
        <f>STAMP_Escapement_Data[[#This Row],[DATE]]-DATE(STAMP_Escapement_Data[[#This Row],[YEAR]],8,1)</f>
        <v>30</v>
      </c>
    </row>
    <row r="1649" spans="1:9" x14ac:dyDescent="0.25">
      <c r="A1649" s="1">
        <v>40787</v>
      </c>
      <c r="B1649">
        <v>901</v>
      </c>
      <c r="C1649">
        <v>2011</v>
      </c>
      <c r="D1649">
        <v>1310</v>
      </c>
      <c r="E1649">
        <v>0</v>
      </c>
      <c r="F1649">
        <v>1010</v>
      </c>
      <c r="G1649">
        <v>3</v>
      </c>
      <c r="H1649">
        <f>SUMIFS($F$2:F1649,$C$2:C1649,C1649)</f>
        <v>1010</v>
      </c>
      <c r="I1649" s="8">
        <f>STAMP_Escapement_Data[[#This Row],[DATE]]-DATE(STAMP_Escapement_Data[[#This Row],[YEAR]],8,1)</f>
        <v>31</v>
      </c>
    </row>
    <row r="1650" spans="1:9" x14ac:dyDescent="0.25">
      <c r="A1650" s="1">
        <v>40787</v>
      </c>
      <c r="B1650">
        <v>901</v>
      </c>
      <c r="C1650">
        <v>2011</v>
      </c>
      <c r="D1650">
        <v>22</v>
      </c>
      <c r="E1650">
        <v>0</v>
      </c>
      <c r="F1650">
        <v>345</v>
      </c>
      <c r="G1650">
        <v>0</v>
      </c>
      <c r="H1650">
        <f>SUMIFS($F$2:F1650,$C$2:C1650,C1650)</f>
        <v>1355</v>
      </c>
      <c r="I1650" s="8">
        <f>STAMP_Escapement_Data[[#This Row],[DATE]]-DATE(STAMP_Escapement_Data[[#This Row],[YEAR]],8,1)</f>
        <v>31</v>
      </c>
    </row>
    <row r="1651" spans="1:9" x14ac:dyDescent="0.25">
      <c r="A1651" s="1">
        <v>40787</v>
      </c>
      <c r="B1651">
        <v>901</v>
      </c>
      <c r="C1651">
        <v>2011</v>
      </c>
      <c r="D1651">
        <v>458</v>
      </c>
      <c r="E1651">
        <v>36</v>
      </c>
      <c r="F1651">
        <v>598</v>
      </c>
      <c r="G1651">
        <v>12</v>
      </c>
      <c r="H1651">
        <f>SUMIFS($F$2:F1651,$C$2:C1651,C1651)</f>
        <v>1953</v>
      </c>
      <c r="I1651" s="8">
        <f>STAMP_Escapement_Data[[#This Row],[DATE]]-DATE(STAMP_Escapement_Data[[#This Row],[YEAR]],8,1)</f>
        <v>31</v>
      </c>
    </row>
    <row r="1652" spans="1:9" x14ac:dyDescent="0.25">
      <c r="A1652" s="1">
        <v>40788</v>
      </c>
      <c r="B1652">
        <v>902</v>
      </c>
      <c r="C1652">
        <v>2011</v>
      </c>
      <c r="D1652">
        <v>644</v>
      </c>
      <c r="E1652">
        <v>41</v>
      </c>
      <c r="F1652">
        <v>314</v>
      </c>
      <c r="G1652">
        <v>15</v>
      </c>
      <c r="H1652">
        <f>SUMIFS($F$2:F1652,$C$2:C1652,C1652)</f>
        <v>2267</v>
      </c>
      <c r="I1652" s="8">
        <f>STAMP_Escapement_Data[[#This Row],[DATE]]-DATE(STAMP_Escapement_Data[[#This Row],[YEAR]],8,1)</f>
        <v>32</v>
      </c>
    </row>
    <row r="1653" spans="1:9" x14ac:dyDescent="0.25">
      <c r="A1653" s="1">
        <v>40789</v>
      </c>
      <c r="B1653">
        <v>903</v>
      </c>
      <c r="C1653">
        <v>2011</v>
      </c>
      <c r="D1653">
        <v>262</v>
      </c>
      <c r="E1653">
        <v>18</v>
      </c>
      <c r="F1653">
        <v>548</v>
      </c>
      <c r="G1653">
        <v>3</v>
      </c>
      <c r="H1653">
        <f>SUMIFS($F$2:F1653,$C$2:C1653,C1653)</f>
        <v>2815</v>
      </c>
      <c r="I1653" s="8">
        <f>STAMP_Escapement_Data[[#This Row],[DATE]]-DATE(STAMP_Escapement_Data[[#This Row],[YEAR]],8,1)</f>
        <v>33</v>
      </c>
    </row>
    <row r="1654" spans="1:9" x14ac:dyDescent="0.25">
      <c r="A1654" s="1">
        <v>40790</v>
      </c>
      <c r="B1654">
        <v>904</v>
      </c>
      <c r="C1654">
        <v>2011</v>
      </c>
      <c r="D1654">
        <v>283</v>
      </c>
      <c r="E1654">
        <v>21</v>
      </c>
      <c r="F1654">
        <v>576</v>
      </c>
      <c r="G1654">
        <v>8</v>
      </c>
      <c r="H1654">
        <f>SUMIFS($F$2:F1654,$C$2:C1654,C1654)</f>
        <v>3391</v>
      </c>
      <c r="I1654" s="8">
        <f>STAMP_Escapement_Data[[#This Row],[DATE]]-DATE(STAMP_Escapement_Data[[#This Row],[YEAR]],8,1)</f>
        <v>34</v>
      </c>
    </row>
    <row r="1655" spans="1:9" x14ac:dyDescent="0.25">
      <c r="A1655" s="1">
        <v>40791</v>
      </c>
      <c r="B1655">
        <v>905</v>
      </c>
      <c r="C1655">
        <v>2011</v>
      </c>
      <c r="D1655">
        <v>552</v>
      </c>
      <c r="E1655">
        <v>61</v>
      </c>
      <c r="F1655">
        <v>519</v>
      </c>
      <c r="G1655">
        <v>10</v>
      </c>
      <c r="H1655">
        <f>SUMIFS($F$2:F1655,$C$2:C1655,C1655)</f>
        <v>3910</v>
      </c>
      <c r="I1655" s="8">
        <f>STAMP_Escapement_Data[[#This Row],[DATE]]-DATE(STAMP_Escapement_Data[[#This Row],[YEAR]],8,1)</f>
        <v>35</v>
      </c>
    </row>
    <row r="1656" spans="1:9" x14ac:dyDescent="0.25">
      <c r="A1656" s="1">
        <v>40792</v>
      </c>
      <c r="B1656">
        <v>906</v>
      </c>
      <c r="C1656">
        <v>2011</v>
      </c>
      <c r="D1656">
        <v>487</v>
      </c>
      <c r="E1656">
        <v>67</v>
      </c>
      <c r="F1656">
        <v>386</v>
      </c>
      <c r="G1656">
        <v>16</v>
      </c>
      <c r="H1656">
        <f>SUMIFS($F$2:F1656,$C$2:C1656,C1656)</f>
        <v>4296</v>
      </c>
      <c r="I1656" s="8">
        <f>STAMP_Escapement_Data[[#This Row],[DATE]]-DATE(STAMP_Escapement_Data[[#This Row],[YEAR]],8,1)</f>
        <v>36</v>
      </c>
    </row>
    <row r="1657" spans="1:9" x14ac:dyDescent="0.25">
      <c r="A1657" s="1">
        <v>40793</v>
      </c>
      <c r="B1657">
        <v>907</v>
      </c>
      <c r="C1657">
        <v>2011</v>
      </c>
      <c r="D1657">
        <v>699</v>
      </c>
      <c r="E1657">
        <v>71</v>
      </c>
      <c r="F1657">
        <v>434</v>
      </c>
      <c r="G1657">
        <v>17</v>
      </c>
      <c r="H1657">
        <f>SUMIFS($F$2:F1657,$C$2:C1657,C1657)</f>
        <v>4730</v>
      </c>
      <c r="I1657" s="8">
        <f>STAMP_Escapement_Data[[#This Row],[DATE]]-DATE(STAMP_Escapement_Data[[#This Row],[YEAR]],8,1)</f>
        <v>37</v>
      </c>
    </row>
    <row r="1658" spans="1:9" x14ac:dyDescent="0.25">
      <c r="A1658" s="1">
        <v>40794</v>
      </c>
      <c r="B1658">
        <v>908</v>
      </c>
      <c r="C1658">
        <v>2011</v>
      </c>
      <c r="D1658">
        <v>503</v>
      </c>
      <c r="E1658">
        <v>61</v>
      </c>
      <c r="F1658">
        <v>452</v>
      </c>
      <c r="G1658">
        <v>24</v>
      </c>
      <c r="H1658">
        <f>SUMIFS($F$2:F1658,$C$2:C1658,C1658)</f>
        <v>5182</v>
      </c>
      <c r="I1658" s="8">
        <f>STAMP_Escapement_Data[[#This Row],[DATE]]-DATE(STAMP_Escapement_Data[[#This Row],[YEAR]],8,1)</f>
        <v>38</v>
      </c>
    </row>
    <row r="1659" spans="1:9" x14ac:dyDescent="0.25">
      <c r="A1659" s="1">
        <v>40795</v>
      </c>
      <c r="B1659">
        <v>909</v>
      </c>
      <c r="C1659">
        <v>2011</v>
      </c>
      <c r="D1659">
        <v>539</v>
      </c>
      <c r="E1659">
        <v>59</v>
      </c>
      <c r="F1659">
        <v>499</v>
      </c>
      <c r="G1659">
        <v>21</v>
      </c>
      <c r="H1659">
        <f>SUMIFS($F$2:F1659,$C$2:C1659,C1659)</f>
        <v>5681</v>
      </c>
      <c r="I1659" s="8">
        <f>STAMP_Escapement_Data[[#This Row],[DATE]]-DATE(STAMP_Escapement_Data[[#This Row],[YEAR]],8,1)</f>
        <v>39</v>
      </c>
    </row>
    <row r="1660" spans="1:9" x14ac:dyDescent="0.25">
      <c r="A1660" s="1">
        <v>40796</v>
      </c>
      <c r="B1660">
        <v>910</v>
      </c>
      <c r="C1660">
        <v>2011</v>
      </c>
      <c r="D1660">
        <v>516</v>
      </c>
      <c r="E1660">
        <v>96</v>
      </c>
      <c r="F1660">
        <v>579</v>
      </c>
      <c r="G1660">
        <v>37</v>
      </c>
      <c r="H1660">
        <f>SUMIFS($F$2:F1660,$C$2:C1660,C1660)</f>
        <v>6260</v>
      </c>
      <c r="I1660" s="8">
        <f>STAMP_Escapement_Data[[#This Row],[DATE]]-DATE(STAMP_Escapement_Data[[#This Row],[YEAR]],8,1)</f>
        <v>40</v>
      </c>
    </row>
    <row r="1661" spans="1:9" x14ac:dyDescent="0.25">
      <c r="A1661" s="1">
        <v>40797</v>
      </c>
      <c r="B1661">
        <v>911</v>
      </c>
      <c r="C1661">
        <v>2011</v>
      </c>
      <c r="D1661">
        <v>494</v>
      </c>
      <c r="E1661">
        <v>78</v>
      </c>
      <c r="F1661">
        <v>557</v>
      </c>
      <c r="G1661">
        <v>18</v>
      </c>
      <c r="H1661">
        <f>SUMIFS($F$2:F1661,$C$2:C1661,C1661)</f>
        <v>6817</v>
      </c>
      <c r="I1661" s="8">
        <f>STAMP_Escapement_Data[[#This Row],[DATE]]-DATE(STAMP_Escapement_Data[[#This Row],[YEAR]],8,1)</f>
        <v>41</v>
      </c>
    </row>
    <row r="1662" spans="1:9" x14ac:dyDescent="0.25">
      <c r="A1662" s="1">
        <v>40798</v>
      </c>
      <c r="B1662">
        <v>912</v>
      </c>
      <c r="C1662">
        <v>2011</v>
      </c>
      <c r="D1662">
        <v>457</v>
      </c>
      <c r="E1662">
        <v>80</v>
      </c>
      <c r="F1662">
        <v>799</v>
      </c>
      <c r="G1662">
        <v>29</v>
      </c>
      <c r="H1662">
        <f>SUMIFS($F$2:F1662,$C$2:C1662,C1662)</f>
        <v>7616</v>
      </c>
      <c r="I1662" s="8">
        <f>STAMP_Escapement_Data[[#This Row],[DATE]]-DATE(STAMP_Escapement_Data[[#This Row],[YEAR]],8,1)</f>
        <v>42</v>
      </c>
    </row>
    <row r="1663" spans="1:9" x14ac:dyDescent="0.25">
      <c r="A1663" s="1">
        <v>40799</v>
      </c>
      <c r="B1663">
        <v>913</v>
      </c>
      <c r="C1663">
        <v>2011</v>
      </c>
      <c r="D1663">
        <v>1281</v>
      </c>
      <c r="E1663">
        <v>81</v>
      </c>
      <c r="F1663">
        <v>447</v>
      </c>
      <c r="G1663">
        <v>28</v>
      </c>
      <c r="H1663">
        <f>SUMIFS($F$2:F1663,$C$2:C1663,C1663)</f>
        <v>8063</v>
      </c>
      <c r="I1663" s="8">
        <f>STAMP_Escapement_Data[[#This Row],[DATE]]-DATE(STAMP_Escapement_Data[[#This Row],[YEAR]],8,1)</f>
        <v>43</v>
      </c>
    </row>
    <row r="1664" spans="1:9" x14ac:dyDescent="0.25">
      <c r="A1664" s="1">
        <v>40800</v>
      </c>
      <c r="B1664">
        <v>914</v>
      </c>
      <c r="C1664">
        <v>2011</v>
      </c>
      <c r="D1664">
        <v>922</v>
      </c>
      <c r="E1664">
        <v>62</v>
      </c>
      <c r="F1664">
        <v>552</v>
      </c>
      <c r="G1664">
        <v>22</v>
      </c>
      <c r="H1664">
        <f>SUMIFS($F$2:F1664,$C$2:C1664,C1664)</f>
        <v>8615</v>
      </c>
      <c r="I1664" s="8">
        <f>STAMP_Escapement_Data[[#This Row],[DATE]]-DATE(STAMP_Escapement_Data[[#This Row],[YEAR]],8,1)</f>
        <v>44</v>
      </c>
    </row>
    <row r="1665" spans="1:9" x14ac:dyDescent="0.25">
      <c r="A1665" s="1">
        <v>40801</v>
      </c>
      <c r="B1665">
        <v>915</v>
      </c>
      <c r="C1665">
        <v>2011</v>
      </c>
      <c r="D1665">
        <v>2003</v>
      </c>
      <c r="E1665">
        <v>84</v>
      </c>
      <c r="F1665">
        <v>823</v>
      </c>
      <c r="G1665">
        <v>22</v>
      </c>
      <c r="H1665">
        <f>SUMIFS($F$2:F1665,$C$2:C1665,C1665)</f>
        <v>9438</v>
      </c>
      <c r="I1665" s="8">
        <f>STAMP_Escapement_Data[[#This Row],[DATE]]-DATE(STAMP_Escapement_Data[[#This Row],[YEAR]],8,1)</f>
        <v>45</v>
      </c>
    </row>
    <row r="1666" spans="1:9" x14ac:dyDescent="0.25">
      <c r="A1666" s="1">
        <v>40802</v>
      </c>
      <c r="B1666">
        <v>916</v>
      </c>
      <c r="C1666">
        <v>2011</v>
      </c>
      <c r="D1666">
        <v>2240</v>
      </c>
      <c r="E1666">
        <v>62</v>
      </c>
      <c r="F1666">
        <v>1056</v>
      </c>
      <c r="G1666">
        <v>4</v>
      </c>
      <c r="H1666">
        <f>SUMIFS($F$2:F1666,$C$2:C1666,C1666)</f>
        <v>10494</v>
      </c>
      <c r="I1666" s="8">
        <f>STAMP_Escapement_Data[[#This Row],[DATE]]-DATE(STAMP_Escapement_Data[[#This Row],[YEAR]],8,1)</f>
        <v>46</v>
      </c>
    </row>
    <row r="1667" spans="1:9" x14ac:dyDescent="0.25">
      <c r="A1667" s="1">
        <v>40803</v>
      </c>
      <c r="B1667">
        <v>917</v>
      </c>
      <c r="C1667">
        <v>2011</v>
      </c>
      <c r="D1667">
        <v>2883</v>
      </c>
      <c r="E1667">
        <v>95</v>
      </c>
      <c r="F1667">
        <v>881</v>
      </c>
      <c r="G1667">
        <v>16</v>
      </c>
      <c r="H1667">
        <f>SUMIFS($F$2:F1667,$C$2:C1667,C1667)</f>
        <v>11375</v>
      </c>
      <c r="I1667" s="8">
        <f>STAMP_Escapement_Data[[#This Row],[DATE]]-DATE(STAMP_Escapement_Data[[#This Row],[YEAR]],8,1)</f>
        <v>47</v>
      </c>
    </row>
    <row r="1668" spans="1:9" x14ac:dyDescent="0.25">
      <c r="A1668" s="1">
        <v>40804</v>
      </c>
      <c r="B1668">
        <v>918</v>
      </c>
      <c r="C1668">
        <v>2011</v>
      </c>
      <c r="D1668">
        <v>2364</v>
      </c>
      <c r="E1668">
        <v>72</v>
      </c>
      <c r="F1668">
        <v>622</v>
      </c>
      <c r="G1668">
        <v>9</v>
      </c>
      <c r="H1668">
        <f>SUMIFS($F$2:F1668,$C$2:C1668,C1668)</f>
        <v>11997</v>
      </c>
      <c r="I1668" s="8">
        <f>STAMP_Escapement_Data[[#This Row],[DATE]]-DATE(STAMP_Escapement_Data[[#This Row],[YEAR]],8,1)</f>
        <v>48</v>
      </c>
    </row>
    <row r="1669" spans="1:9" x14ac:dyDescent="0.25">
      <c r="A1669" s="1">
        <v>40805</v>
      </c>
      <c r="B1669">
        <v>919</v>
      </c>
      <c r="C1669">
        <v>2011</v>
      </c>
      <c r="D1669">
        <v>1282</v>
      </c>
      <c r="E1669">
        <v>46</v>
      </c>
      <c r="F1669">
        <v>255</v>
      </c>
      <c r="G1669">
        <v>4</v>
      </c>
      <c r="H1669">
        <f>SUMIFS($F$2:F1669,$C$2:C1669,C1669)</f>
        <v>12252</v>
      </c>
      <c r="I1669" s="8">
        <f>STAMP_Escapement_Data[[#This Row],[DATE]]-DATE(STAMP_Escapement_Data[[#This Row],[YEAR]],8,1)</f>
        <v>49</v>
      </c>
    </row>
    <row r="1670" spans="1:9" x14ac:dyDescent="0.25">
      <c r="A1670" s="1">
        <v>40806</v>
      </c>
      <c r="B1670">
        <v>920</v>
      </c>
      <c r="C1670">
        <v>2011</v>
      </c>
      <c r="D1670">
        <v>2241</v>
      </c>
      <c r="E1670">
        <v>120</v>
      </c>
      <c r="F1670">
        <v>605</v>
      </c>
      <c r="G1670">
        <v>16</v>
      </c>
      <c r="H1670">
        <f>SUMIFS($F$2:F1670,$C$2:C1670,C1670)</f>
        <v>12857</v>
      </c>
      <c r="I1670" s="8">
        <f>STAMP_Escapement_Data[[#This Row],[DATE]]-DATE(STAMP_Escapement_Data[[#This Row],[YEAR]],8,1)</f>
        <v>50</v>
      </c>
    </row>
    <row r="1671" spans="1:9" x14ac:dyDescent="0.25">
      <c r="A1671" s="1">
        <v>40807</v>
      </c>
      <c r="B1671">
        <v>921</v>
      </c>
      <c r="C1671">
        <v>2011</v>
      </c>
      <c r="D1671">
        <v>1823</v>
      </c>
      <c r="E1671">
        <v>102</v>
      </c>
      <c r="F1671">
        <v>979</v>
      </c>
      <c r="G1671">
        <v>26</v>
      </c>
      <c r="H1671">
        <f>SUMIFS($F$2:F1671,$C$2:C1671,C1671)</f>
        <v>13836</v>
      </c>
      <c r="I1671" s="8">
        <f>STAMP_Escapement_Data[[#This Row],[DATE]]-DATE(STAMP_Escapement_Data[[#This Row],[YEAR]],8,1)</f>
        <v>51</v>
      </c>
    </row>
    <row r="1672" spans="1:9" x14ac:dyDescent="0.25">
      <c r="A1672" s="1">
        <v>40808</v>
      </c>
      <c r="B1672">
        <v>922</v>
      </c>
      <c r="C1672">
        <v>2011</v>
      </c>
      <c r="D1672">
        <v>3623</v>
      </c>
      <c r="E1672">
        <v>201</v>
      </c>
      <c r="F1672">
        <v>877</v>
      </c>
      <c r="G1672">
        <v>26</v>
      </c>
      <c r="H1672">
        <f>SUMIFS($F$2:F1672,$C$2:C1672,C1672)</f>
        <v>14713</v>
      </c>
      <c r="I1672" s="8">
        <f>STAMP_Escapement_Data[[#This Row],[DATE]]-DATE(STAMP_Escapement_Data[[#This Row],[YEAR]],8,1)</f>
        <v>52</v>
      </c>
    </row>
    <row r="1673" spans="1:9" x14ac:dyDescent="0.25">
      <c r="A1673" s="1">
        <v>40809</v>
      </c>
      <c r="B1673">
        <v>923</v>
      </c>
      <c r="C1673">
        <v>2011</v>
      </c>
      <c r="D1673">
        <v>1561</v>
      </c>
      <c r="E1673">
        <v>80</v>
      </c>
      <c r="F1673">
        <v>644</v>
      </c>
      <c r="G1673">
        <v>26</v>
      </c>
      <c r="H1673">
        <f>SUMIFS($F$2:F1673,$C$2:C1673,C1673)</f>
        <v>15357</v>
      </c>
      <c r="I1673" s="8">
        <f>STAMP_Escapement_Data[[#This Row],[DATE]]-DATE(STAMP_Escapement_Data[[#This Row],[YEAR]],8,1)</f>
        <v>53</v>
      </c>
    </row>
    <row r="1674" spans="1:9" x14ac:dyDescent="0.25">
      <c r="A1674" s="1">
        <v>40810</v>
      </c>
      <c r="B1674">
        <v>924</v>
      </c>
      <c r="C1674">
        <v>2011</v>
      </c>
      <c r="D1674">
        <v>1280</v>
      </c>
      <c r="E1674">
        <v>44</v>
      </c>
      <c r="F1674">
        <v>248</v>
      </c>
      <c r="G1674">
        <v>2</v>
      </c>
      <c r="H1674">
        <f>SUMIFS($F$2:F1674,$C$2:C1674,C1674)</f>
        <v>15605</v>
      </c>
      <c r="I1674" s="8">
        <f>STAMP_Escapement_Data[[#This Row],[DATE]]-DATE(STAMP_Escapement_Data[[#This Row],[YEAR]],8,1)</f>
        <v>54</v>
      </c>
    </row>
    <row r="1675" spans="1:9" x14ac:dyDescent="0.25">
      <c r="A1675" s="1">
        <v>40811</v>
      </c>
      <c r="B1675">
        <v>925</v>
      </c>
      <c r="C1675">
        <v>2011</v>
      </c>
      <c r="D1675">
        <v>1211</v>
      </c>
      <c r="E1675">
        <v>5</v>
      </c>
      <c r="F1675">
        <v>540</v>
      </c>
      <c r="G1675">
        <v>12</v>
      </c>
      <c r="H1675">
        <f>SUMIFS($F$2:F1675,$C$2:C1675,C1675)</f>
        <v>16145</v>
      </c>
      <c r="I1675" s="8">
        <f>STAMP_Escapement_Data[[#This Row],[DATE]]-DATE(STAMP_Escapement_Data[[#This Row],[YEAR]],8,1)</f>
        <v>55</v>
      </c>
    </row>
    <row r="1676" spans="1:9" x14ac:dyDescent="0.25">
      <c r="A1676" s="1">
        <v>40812</v>
      </c>
      <c r="B1676">
        <v>926</v>
      </c>
      <c r="C1676">
        <v>2011</v>
      </c>
      <c r="D1676">
        <v>1026</v>
      </c>
      <c r="E1676">
        <v>38</v>
      </c>
      <c r="F1676">
        <v>630</v>
      </c>
      <c r="G1676">
        <v>16</v>
      </c>
      <c r="H1676">
        <f>SUMIFS($F$2:F1676,$C$2:C1676,C1676)</f>
        <v>16775</v>
      </c>
      <c r="I1676" s="8">
        <f>STAMP_Escapement_Data[[#This Row],[DATE]]-DATE(STAMP_Escapement_Data[[#This Row],[YEAR]],8,1)</f>
        <v>56</v>
      </c>
    </row>
    <row r="1677" spans="1:9" x14ac:dyDescent="0.25">
      <c r="A1677" s="1">
        <v>40813</v>
      </c>
      <c r="B1677">
        <v>927</v>
      </c>
      <c r="C1677">
        <v>2011</v>
      </c>
      <c r="D1677">
        <v>159</v>
      </c>
      <c r="E1677">
        <v>2</v>
      </c>
      <c r="F1677">
        <v>389</v>
      </c>
      <c r="G1677">
        <v>5</v>
      </c>
      <c r="H1677">
        <f>SUMIFS($F$2:F1677,$C$2:C1677,C1677)</f>
        <v>17164</v>
      </c>
      <c r="I1677" s="8">
        <f>STAMP_Escapement_Data[[#This Row],[DATE]]-DATE(STAMP_Escapement_Data[[#This Row],[YEAR]],8,1)</f>
        <v>57</v>
      </c>
    </row>
    <row r="1678" spans="1:9" x14ac:dyDescent="0.25">
      <c r="A1678" s="1">
        <v>40814</v>
      </c>
      <c r="B1678">
        <v>928</v>
      </c>
      <c r="C1678">
        <v>2011</v>
      </c>
      <c r="D1678">
        <v>767</v>
      </c>
      <c r="E1678">
        <v>17</v>
      </c>
      <c r="F1678">
        <v>430</v>
      </c>
      <c r="G1678">
        <v>11</v>
      </c>
      <c r="H1678">
        <f>SUMIFS($F$2:F1678,$C$2:C1678,C1678)</f>
        <v>17594</v>
      </c>
      <c r="I1678" s="8">
        <f>STAMP_Escapement_Data[[#This Row],[DATE]]-DATE(STAMP_Escapement_Data[[#This Row],[YEAR]],8,1)</f>
        <v>58</v>
      </c>
    </row>
    <row r="1679" spans="1:9" x14ac:dyDescent="0.25">
      <c r="A1679" s="1">
        <v>40815</v>
      </c>
      <c r="B1679">
        <v>929</v>
      </c>
      <c r="C1679">
        <v>2011</v>
      </c>
      <c r="D1679">
        <v>995</v>
      </c>
      <c r="E1679">
        <v>15</v>
      </c>
      <c r="F1679">
        <v>459</v>
      </c>
      <c r="G1679">
        <v>13</v>
      </c>
      <c r="H1679">
        <f>SUMIFS($F$2:F1679,$C$2:C1679,C1679)</f>
        <v>18053</v>
      </c>
      <c r="I1679" s="8">
        <f>STAMP_Escapement_Data[[#This Row],[DATE]]-DATE(STAMP_Escapement_Data[[#This Row],[YEAR]],8,1)</f>
        <v>59</v>
      </c>
    </row>
    <row r="1680" spans="1:9" x14ac:dyDescent="0.25">
      <c r="A1680" s="1">
        <v>40816</v>
      </c>
      <c r="B1680">
        <v>930</v>
      </c>
      <c r="C1680">
        <v>2011</v>
      </c>
      <c r="D1680">
        <v>1026</v>
      </c>
      <c r="E1680">
        <v>37</v>
      </c>
      <c r="F1680">
        <v>131</v>
      </c>
      <c r="G1680">
        <v>3</v>
      </c>
      <c r="H1680">
        <f>SUMIFS($F$2:F1680,$C$2:C1680,C1680)</f>
        <v>18184</v>
      </c>
      <c r="I1680" s="8">
        <f>STAMP_Escapement_Data[[#This Row],[DATE]]-DATE(STAMP_Escapement_Data[[#This Row],[YEAR]],8,1)</f>
        <v>60</v>
      </c>
    </row>
    <row r="1681" spans="1:9" x14ac:dyDescent="0.25">
      <c r="A1681" s="1">
        <v>40817</v>
      </c>
      <c r="B1681">
        <v>1001</v>
      </c>
      <c r="C1681">
        <v>2011</v>
      </c>
      <c r="D1681">
        <v>1146</v>
      </c>
      <c r="E1681">
        <v>68</v>
      </c>
      <c r="F1681">
        <v>307</v>
      </c>
      <c r="G1681">
        <v>9</v>
      </c>
      <c r="H1681">
        <f>SUMIFS($F$2:F1681,$C$2:C1681,C1681)</f>
        <v>18491</v>
      </c>
      <c r="I1681" s="8">
        <f>STAMP_Escapement_Data[[#This Row],[DATE]]-DATE(STAMP_Escapement_Data[[#This Row],[YEAR]],8,1)</f>
        <v>61</v>
      </c>
    </row>
    <row r="1682" spans="1:9" x14ac:dyDescent="0.25">
      <c r="A1682" s="1">
        <v>40818</v>
      </c>
      <c r="B1682">
        <v>1002</v>
      </c>
      <c r="C1682">
        <v>2011</v>
      </c>
      <c r="D1682">
        <v>1298</v>
      </c>
      <c r="E1682">
        <v>52</v>
      </c>
      <c r="F1682">
        <v>333</v>
      </c>
      <c r="G1682">
        <v>6</v>
      </c>
      <c r="H1682">
        <f>SUMIFS($F$2:F1682,$C$2:C1682,C1682)</f>
        <v>18824</v>
      </c>
      <c r="I1682" s="8">
        <f>STAMP_Escapement_Data[[#This Row],[DATE]]-DATE(STAMP_Escapement_Data[[#This Row],[YEAR]],8,1)</f>
        <v>62</v>
      </c>
    </row>
    <row r="1683" spans="1:9" x14ac:dyDescent="0.25">
      <c r="A1683" s="1">
        <v>40819</v>
      </c>
      <c r="B1683">
        <v>1003</v>
      </c>
      <c r="C1683">
        <v>2011</v>
      </c>
      <c r="D1683">
        <v>867</v>
      </c>
      <c r="E1683">
        <v>34</v>
      </c>
      <c r="F1683">
        <v>314</v>
      </c>
      <c r="G1683">
        <v>8</v>
      </c>
      <c r="H1683">
        <f>SUMIFS($F$2:F1683,$C$2:C1683,C1683)</f>
        <v>19138</v>
      </c>
      <c r="I1683" s="8">
        <f>STAMP_Escapement_Data[[#This Row],[DATE]]-DATE(STAMP_Escapement_Data[[#This Row],[YEAR]],8,1)</f>
        <v>63</v>
      </c>
    </row>
    <row r="1684" spans="1:9" x14ac:dyDescent="0.25">
      <c r="A1684" s="1">
        <v>40820</v>
      </c>
      <c r="B1684">
        <v>1004</v>
      </c>
      <c r="C1684">
        <v>2011</v>
      </c>
      <c r="D1684">
        <v>565</v>
      </c>
      <c r="E1684">
        <v>23</v>
      </c>
      <c r="F1684">
        <v>363</v>
      </c>
      <c r="G1684">
        <v>11</v>
      </c>
      <c r="H1684">
        <f>SUMIFS($F$2:F1684,$C$2:C1684,C1684)</f>
        <v>19501</v>
      </c>
      <c r="I1684" s="8">
        <f>STAMP_Escapement_Data[[#This Row],[DATE]]-DATE(STAMP_Escapement_Data[[#This Row],[YEAR]],8,1)</f>
        <v>64</v>
      </c>
    </row>
    <row r="1685" spans="1:9" x14ac:dyDescent="0.25">
      <c r="A1685" s="1">
        <v>40821</v>
      </c>
      <c r="B1685">
        <v>1005</v>
      </c>
      <c r="C1685">
        <v>2011</v>
      </c>
      <c r="D1685">
        <v>541</v>
      </c>
      <c r="E1685">
        <v>20</v>
      </c>
      <c r="F1685">
        <v>410</v>
      </c>
      <c r="G1685">
        <v>14</v>
      </c>
      <c r="H1685">
        <f>SUMIFS($F$2:F1685,$C$2:C1685,C1685)</f>
        <v>19911</v>
      </c>
      <c r="I1685" s="8">
        <f>STAMP_Escapement_Data[[#This Row],[DATE]]-DATE(STAMP_Escapement_Data[[#This Row],[YEAR]],8,1)</f>
        <v>65</v>
      </c>
    </row>
    <row r="1686" spans="1:9" x14ac:dyDescent="0.25">
      <c r="A1686" s="1">
        <v>40822</v>
      </c>
      <c r="B1686">
        <v>1006</v>
      </c>
      <c r="C1686">
        <v>2011</v>
      </c>
      <c r="D1686">
        <v>333</v>
      </c>
      <c r="E1686">
        <v>6</v>
      </c>
      <c r="F1686">
        <v>302</v>
      </c>
      <c r="G1686">
        <v>12</v>
      </c>
      <c r="H1686">
        <f>SUMIFS($F$2:F1686,$C$2:C1686,C1686)</f>
        <v>20213</v>
      </c>
      <c r="I1686" s="8">
        <f>STAMP_Escapement_Data[[#This Row],[DATE]]-DATE(STAMP_Escapement_Data[[#This Row],[YEAR]],8,1)</f>
        <v>66</v>
      </c>
    </row>
    <row r="1687" spans="1:9" x14ac:dyDescent="0.25">
      <c r="A1687" s="1">
        <v>40823</v>
      </c>
      <c r="B1687">
        <v>1007</v>
      </c>
      <c r="C1687">
        <v>2011</v>
      </c>
      <c r="D1687">
        <v>472</v>
      </c>
      <c r="E1687">
        <v>13</v>
      </c>
      <c r="F1687">
        <v>480</v>
      </c>
      <c r="G1687">
        <v>9</v>
      </c>
      <c r="H1687">
        <f>SUMIFS($F$2:F1687,$C$2:C1687,C1687)</f>
        <v>20693</v>
      </c>
      <c r="I1687" s="8">
        <f>STAMP_Escapement_Data[[#This Row],[DATE]]-DATE(STAMP_Escapement_Data[[#This Row],[YEAR]],8,1)</f>
        <v>67</v>
      </c>
    </row>
    <row r="1688" spans="1:9" x14ac:dyDescent="0.25">
      <c r="A1688" s="1">
        <v>40824</v>
      </c>
      <c r="B1688">
        <v>1008</v>
      </c>
      <c r="C1688">
        <v>2011</v>
      </c>
      <c r="D1688">
        <v>568</v>
      </c>
      <c r="E1688">
        <v>24</v>
      </c>
      <c r="F1688">
        <v>382</v>
      </c>
      <c r="G1688">
        <v>11</v>
      </c>
      <c r="H1688">
        <f>SUMIFS($F$2:F1688,$C$2:C1688,C1688)</f>
        <v>21075</v>
      </c>
      <c r="I1688" s="8">
        <f>STAMP_Escapement_Data[[#This Row],[DATE]]-DATE(STAMP_Escapement_Data[[#This Row],[YEAR]],8,1)</f>
        <v>68</v>
      </c>
    </row>
    <row r="1689" spans="1:9" x14ac:dyDescent="0.25">
      <c r="A1689" s="1">
        <v>40825</v>
      </c>
      <c r="B1689">
        <v>1009</v>
      </c>
      <c r="C1689">
        <v>2011</v>
      </c>
      <c r="D1689">
        <v>705</v>
      </c>
      <c r="E1689">
        <v>54</v>
      </c>
      <c r="F1689">
        <v>304</v>
      </c>
      <c r="G1689">
        <v>8</v>
      </c>
      <c r="H1689">
        <f>SUMIFS($F$2:F1689,$C$2:C1689,C1689)</f>
        <v>21379</v>
      </c>
      <c r="I1689" s="8">
        <f>STAMP_Escapement_Data[[#This Row],[DATE]]-DATE(STAMP_Escapement_Data[[#This Row],[YEAR]],8,1)</f>
        <v>69</v>
      </c>
    </row>
    <row r="1690" spans="1:9" x14ac:dyDescent="0.25">
      <c r="A1690" s="1">
        <v>40826</v>
      </c>
      <c r="B1690">
        <v>1010</v>
      </c>
      <c r="C1690">
        <v>2011</v>
      </c>
      <c r="D1690">
        <v>343</v>
      </c>
      <c r="E1690">
        <v>22</v>
      </c>
      <c r="F1690">
        <v>456</v>
      </c>
      <c r="G1690">
        <v>13</v>
      </c>
      <c r="H1690">
        <f>SUMIFS($F$2:F1690,$C$2:C1690,C1690)</f>
        <v>21835</v>
      </c>
      <c r="I1690" s="8">
        <f>STAMP_Escapement_Data[[#This Row],[DATE]]-DATE(STAMP_Escapement_Data[[#This Row],[YEAR]],8,1)</f>
        <v>70</v>
      </c>
    </row>
    <row r="1691" spans="1:9" x14ac:dyDescent="0.25">
      <c r="A1691" s="1">
        <v>40827</v>
      </c>
      <c r="B1691">
        <v>1011</v>
      </c>
      <c r="C1691">
        <v>2011</v>
      </c>
      <c r="D1691">
        <v>329</v>
      </c>
      <c r="E1691">
        <v>21</v>
      </c>
      <c r="F1691">
        <v>472</v>
      </c>
      <c r="G1691">
        <v>10</v>
      </c>
      <c r="H1691">
        <f>SUMIFS($F$2:F1691,$C$2:C1691,C1691)</f>
        <v>22307</v>
      </c>
      <c r="I1691" s="8">
        <f>STAMP_Escapement_Data[[#This Row],[DATE]]-DATE(STAMP_Escapement_Data[[#This Row],[YEAR]],8,1)</f>
        <v>71</v>
      </c>
    </row>
    <row r="1692" spans="1:9" x14ac:dyDescent="0.25">
      <c r="A1692" s="1">
        <v>40828</v>
      </c>
      <c r="B1692">
        <v>1012</v>
      </c>
      <c r="C1692">
        <v>2011</v>
      </c>
      <c r="D1692">
        <v>228</v>
      </c>
      <c r="E1692">
        <v>15</v>
      </c>
      <c r="F1692">
        <v>490</v>
      </c>
      <c r="G1692">
        <v>18</v>
      </c>
      <c r="H1692">
        <f>SUMIFS($F$2:F1692,$C$2:C1692,C1692)</f>
        <v>22797</v>
      </c>
      <c r="I1692" s="8">
        <f>STAMP_Escapement_Data[[#This Row],[DATE]]-DATE(STAMP_Escapement_Data[[#This Row],[YEAR]],8,1)</f>
        <v>72</v>
      </c>
    </row>
    <row r="1693" spans="1:9" x14ac:dyDescent="0.25">
      <c r="A1693" s="1">
        <v>40829</v>
      </c>
      <c r="B1693">
        <v>1013</v>
      </c>
      <c r="C1693">
        <v>2011</v>
      </c>
      <c r="D1693">
        <v>256</v>
      </c>
      <c r="E1693">
        <v>15</v>
      </c>
      <c r="F1693">
        <v>376</v>
      </c>
      <c r="G1693">
        <v>9</v>
      </c>
      <c r="H1693">
        <f>SUMIFS($F$2:F1693,$C$2:C1693,C1693)</f>
        <v>23173</v>
      </c>
      <c r="I1693" s="8">
        <f>STAMP_Escapement_Data[[#This Row],[DATE]]-DATE(STAMP_Escapement_Data[[#This Row],[YEAR]],8,1)</f>
        <v>73</v>
      </c>
    </row>
    <row r="1694" spans="1:9" x14ac:dyDescent="0.25">
      <c r="A1694" s="1">
        <v>40830</v>
      </c>
      <c r="B1694">
        <v>1014</v>
      </c>
      <c r="C1694">
        <v>2011</v>
      </c>
      <c r="D1694">
        <v>319</v>
      </c>
      <c r="E1694">
        <v>15</v>
      </c>
      <c r="F1694">
        <v>307</v>
      </c>
      <c r="G1694">
        <v>3</v>
      </c>
      <c r="H1694">
        <f>SUMIFS($F$2:F1694,$C$2:C1694,C1694)</f>
        <v>23480</v>
      </c>
      <c r="I1694" s="8">
        <f>STAMP_Escapement_Data[[#This Row],[DATE]]-DATE(STAMP_Escapement_Data[[#This Row],[YEAR]],8,1)</f>
        <v>74</v>
      </c>
    </row>
    <row r="1695" spans="1:9" x14ac:dyDescent="0.25">
      <c r="A1695" s="1">
        <v>40831</v>
      </c>
      <c r="B1695">
        <v>1015</v>
      </c>
      <c r="C1695">
        <v>2011</v>
      </c>
      <c r="D1695">
        <v>186</v>
      </c>
      <c r="E1695">
        <v>13</v>
      </c>
      <c r="F1695">
        <v>182</v>
      </c>
      <c r="G1695">
        <v>3</v>
      </c>
      <c r="H1695">
        <f>SUMIFS($F$2:F1695,$C$2:C1695,C1695)</f>
        <v>23662</v>
      </c>
      <c r="I1695" s="8">
        <f>STAMP_Escapement_Data[[#This Row],[DATE]]-DATE(STAMP_Escapement_Data[[#This Row],[YEAR]],8,1)</f>
        <v>75</v>
      </c>
    </row>
    <row r="1696" spans="1:9" x14ac:dyDescent="0.25">
      <c r="A1696" s="1">
        <v>40832</v>
      </c>
      <c r="B1696">
        <v>1016</v>
      </c>
      <c r="C1696">
        <v>2011</v>
      </c>
      <c r="D1696">
        <v>323</v>
      </c>
      <c r="E1696">
        <v>26</v>
      </c>
      <c r="F1696">
        <v>308</v>
      </c>
      <c r="G1696">
        <v>6</v>
      </c>
      <c r="H1696">
        <f>SUMIFS($F$2:F1696,$C$2:C1696,C1696)</f>
        <v>23970</v>
      </c>
      <c r="I1696" s="8">
        <f>STAMP_Escapement_Data[[#This Row],[DATE]]-DATE(STAMP_Escapement_Data[[#This Row],[YEAR]],8,1)</f>
        <v>76</v>
      </c>
    </row>
    <row r="1697" spans="1:9" x14ac:dyDescent="0.25">
      <c r="A1697" s="1">
        <v>40833</v>
      </c>
      <c r="B1697">
        <v>1017</v>
      </c>
      <c r="C1697">
        <v>2011</v>
      </c>
      <c r="D1697">
        <v>231</v>
      </c>
      <c r="E1697">
        <v>18</v>
      </c>
      <c r="F1697">
        <v>276</v>
      </c>
      <c r="G1697">
        <v>10</v>
      </c>
      <c r="H1697">
        <f>SUMIFS($F$2:F1697,$C$2:C1697,C1697)</f>
        <v>24246</v>
      </c>
      <c r="I1697" s="8">
        <f>STAMP_Escapement_Data[[#This Row],[DATE]]-DATE(STAMP_Escapement_Data[[#This Row],[YEAR]],8,1)</f>
        <v>77</v>
      </c>
    </row>
    <row r="1698" spans="1:9" x14ac:dyDescent="0.25">
      <c r="A1698" s="1">
        <v>40834</v>
      </c>
      <c r="B1698">
        <v>1018</v>
      </c>
      <c r="C1698">
        <v>2011</v>
      </c>
      <c r="D1698">
        <v>386</v>
      </c>
      <c r="E1698">
        <v>22</v>
      </c>
      <c r="F1698">
        <v>339</v>
      </c>
      <c r="G1698">
        <v>7</v>
      </c>
      <c r="H1698">
        <f>SUMIFS($F$2:F1698,$C$2:C1698,C1698)</f>
        <v>24585</v>
      </c>
      <c r="I1698" s="8">
        <f>STAMP_Escapement_Data[[#This Row],[DATE]]-DATE(STAMP_Escapement_Data[[#This Row],[YEAR]],8,1)</f>
        <v>78</v>
      </c>
    </row>
    <row r="1699" spans="1:9" x14ac:dyDescent="0.25">
      <c r="A1699" s="1">
        <v>40835</v>
      </c>
      <c r="B1699">
        <v>1019</v>
      </c>
      <c r="C1699">
        <v>2011</v>
      </c>
      <c r="D1699">
        <v>474</v>
      </c>
      <c r="E1699">
        <v>14</v>
      </c>
      <c r="F1699">
        <v>549</v>
      </c>
      <c r="G1699">
        <v>23</v>
      </c>
      <c r="H1699">
        <f>SUMIFS($F$2:F1699,$C$2:C1699,C1699)</f>
        <v>25134</v>
      </c>
      <c r="I1699" s="8">
        <f>STAMP_Escapement_Data[[#This Row],[DATE]]-DATE(STAMP_Escapement_Data[[#This Row],[YEAR]],8,1)</f>
        <v>79</v>
      </c>
    </row>
    <row r="1700" spans="1:9" x14ac:dyDescent="0.25">
      <c r="A1700" s="1">
        <v>40836</v>
      </c>
      <c r="B1700">
        <v>1020</v>
      </c>
      <c r="C1700">
        <v>2011</v>
      </c>
      <c r="D1700">
        <v>357</v>
      </c>
      <c r="E1700">
        <v>12</v>
      </c>
      <c r="F1700">
        <v>320</v>
      </c>
      <c r="G1700">
        <v>7</v>
      </c>
      <c r="H1700">
        <f>SUMIFS($F$2:F1700,$C$2:C1700,C1700)</f>
        <v>25454</v>
      </c>
      <c r="I1700" s="8">
        <f>STAMP_Escapement_Data[[#This Row],[DATE]]-DATE(STAMP_Escapement_Data[[#This Row],[YEAR]],8,1)</f>
        <v>80</v>
      </c>
    </row>
    <row r="1701" spans="1:9" x14ac:dyDescent="0.25">
      <c r="A1701" s="1">
        <v>40837</v>
      </c>
      <c r="B1701">
        <v>1021</v>
      </c>
      <c r="C1701">
        <v>2011</v>
      </c>
      <c r="D1701">
        <v>177</v>
      </c>
      <c r="E1701">
        <v>9</v>
      </c>
      <c r="F1701">
        <v>220</v>
      </c>
      <c r="G1701">
        <v>6</v>
      </c>
      <c r="H1701">
        <f>SUMIFS($F$2:F1701,$C$2:C1701,C1701)</f>
        <v>25674</v>
      </c>
      <c r="I1701" s="8">
        <f>STAMP_Escapement_Data[[#This Row],[DATE]]-DATE(STAMP_Escapement_Data[[#This Row],[YEAR]],8,1)</f>
        <v>81</v>
      </c>
    </row>
    <row r="1702" spans="1:9" x14ac:dyDescent="0.25">
      <c r="A1702" s="1">
        <v>40838</v>
      </c>
      <c r="B1702">
        <v>1022</v>
      </c>
      <c r="C1702">
        <v>2011</v>
      </c>
      <c r="D1702">
        <v>313</v>
      </c>
      <c r="E1702">
        <v>14</v>
      </c>
      <c r="F1702">
        <v>155</v>
      </c>
      <c r="G1702">
        <v>7</v>
      </c>
      <c r="H1702">
        <f>SUMIFS($F$2:F1702,$C$2:C1702,C1702)</f>
        <v>25829</v>
      </c>
      <c r="I1702" s="8">
        <f>STAMP_Escapement_Data[[#This Row],[DATE]]-DATE(STAMP_Escapement_Data[[#This Row],[YEAR]],8,1)</f>
        <v>82</v>
      </c>
    </row>
    <row r="1703" spans="1:9" x14ac:dyDescent="0.25">
      <c r="A1703" s="1">
        <v>40839</v>
      </c>
      <c r="B1703">
        <v>1023</v>
      </c>
      <c r="C1703">
        <v>2011</v>
      </c>
      <c r="D1703">
        <v>256</v>
      </c>
      <c r="E1703">
        <v>12</v>
      </c>
      <c r="F1703">
        <v>124</v>
      </c>
      <c r="G1703">
        <v>7</v>
      </c>
      <c r="H1703">
        <f>SUMIFS($F$2:F1703,$C$2:C1703,C1703)</f>
        <v>25953</v>
      </c>
      <c r="I1703" s="8">
        <f>STAMP_Escapement_Data[[#This Row],[DATE]]-DATE(STAMP_Escapement_Data[[#This Row],[YEAR]],8,1)</f>
        <v>83</v>
      </c>
    </row>
    <row r="1704" spans="1:9" x14ac:dyDescent="0.25">
      <c r="A1704" s="1">
        <v>40840</v>
      </c>
      <c r="B1704">
        <v>1024</v>
      </c>
      <c r="C1704">
        <v>2011</v>
      </c>
      <c r="D1704">
        <v>130</v>
      </c>
      <c r="E1704">
        <v>10</v>
      </c>
      <c r="F1704">
        <v>113</v>
      </c>
      <c r="G1704">
        <v>8</v>
      </c>
      <c r="H1704">
        <f>SUMIFS($F$2:F1704,$C$2:C1704,C1704)</f>
        <v>26066</v>
      </c>
      <c r="I1704" s="8">
        <f>STAMP_Escapement_Data[[#This Row],[DATE]]-DATE(STAMP_Escapement_Data[[#This Row],[YEAR]],8,1)</f>
        <v>84</v>
      </c>
    </row>
    <row r="1705" spans="1:9" x14ac:dyDescent="0.25">
      <c r="A1705" s="1">
        <v>40841</v>
      </c>
      <c r="B1705">
        <v>1025</v>
      </c>
      <c r="C1705">
        <v>2011</v>
      </c>
      <c r="D1705">
        <v>68</v>
      </c>
      <c r="E1705">
        <v>7</v>
      </c>
      <c r="F1705">
        <v>58</v>
      </c>
      <c r="G1705">
        <v>1</v>
      </c>
      <c r="H1705">
        <f>SUMIFS($F$2:F1705,$C$2:C1705,C1705)</f>
        <v>26124</v>
      </c>
      <c r="I1705" s="8">
        <f>STAMP_Escapement_Data[[#This Row],[DATE]]-DATE(STAMP_Escapement_Data[[#This Row],[YEAR]],8,1)</f>
        <v>85</v>
      </c>
    </row>
    <row r="1706" spans="1:9" x14ac:dyDescent="0.25">
      <c r="A1706" s="1">
        <v>40842</v>
      </c>
      <c r="B1706">
        <v>1026</v>
      </c>
      <c r="C1706">
        <v>2011</v>
      </c>
      <c r="D1706">
        <v>58</v>
      </c>
      <c r="E1706">
        <v>4</v>
      </c>
      <c r="F1706">
        <v>28</v>
      </c>
      <c r="G1706">
        <v>0</v>
      </c>
      <c r="H1706">
        <f>SUMIFS($F$2:F1706,$C$2:C1706,C1706)</f>
        <v>26152</v>
      </c>
      <c r="I1706" s="8">
        <f>STAMP_Escapement_Data[[#This Row],[DATE]]-DATE(STAMP_Escapement_Data[[#This Row],[YEAR]],8,1)</f>
        <v>86</v>
      </c>
    </row>
    <row r="1707" spans="1:9" x14ac:dyDescent="0.25">
      <c r="A1707" s="1">
        <v>40843</v>
      </c>
      <c r="B1707">
        <v>1027</v>
      </c>
      <c r="C1707">
        <v>2011</v>
      </c>
      <c r="D1707">
        <v>78</v>
      </c>
      <c r="E1707">
        <v>7</v>
      </c>
      <c r="F1707">
        <v>33</v>
      </c>
      <c r="G1707">
        <v>0</v>
      </c>
      <c r="H1707">
        <f>SUMIFS($F$2:F1707,$C$2:C1707,C1707)</f>
        <v>26185</v>
      </c>
      <c r="I1707" s="8">
        <f>STAMP_Escapement_Data[[#This Row],[DATE]]-DATE(STAMP_Escapement_Data[[#This Row],[YEAR]],8,1)</f>
        <v>87</v>
      </c>
    </row>
    <row r="1708" spans="1:9" x14ac:dyDescent="0.25">
      <c r="A1708" s="1">
        <v>40844</v>
      </c>
      <c r="B1708">
        <v>1028</v>
      </c>
      <c r="C1708">
        <v>2011</v>
      </c>
      <c r="D1708">
        <v>69</v>
      </c>
      <c r="E1708">
        <v>8</v>
      </c>
      <c r="F1708">
        <v>17</v>
      </c>
      <c r="G1708">
        <v>0</v>
      </c>
      <c r="H1708">
        <f>SUMIFS($F$2:F1708,$C$2:C1708,C1708)</f>
        <v>26202</v>
      </c>
      <c r="I1708" s="8">
        <f>STAMP_Escapement_Data[[#This Row],[DATE]]-DATE(STAMP_Escapement_Data[[#This Row],[YEAR]],8,1)</f>
        <v>88</v>
      </c>
    </row>
    <row r="1709" spans="1:9" x14ac:dyDescent="0.25">
      <c r="A1709" s="1">
        <v>40845</v>
      </c>
      <c r="B1709">
        <v>1029</v>
      </c>
      <c r="C1709">
        <v>2011</v>
      </c>
      <c r="D1709">
        <v>234</v>
      </c>
      <c r="E1709">
        <v>5</v>
      </c>
      <c r="F1709">
        <v>21</v>
      </c>
      <c r="G1709">
        <v>1</v>
      </c>
      <c r="H1709">
        <f>SUMIFS($F$2:F1709,$C$2:C1709,C1709)</f>
        <v>26223</v>
      </c>
      <c r="I1709" s="8">
        <f>STAMP_Escapement_Data[[#This Row],[DATE]]-DATE(STAMP_Escapement_Data[[#This Row],[YEAR]],8,1)</f>
        <v>89</v>
      </c>
    </row>
    <row r="1710" spans="1:9" x14ac:dyDescent="0.25">
      <c r="A1710" s="1">
        <v>40846</v>
      </c>
      <c r="B1710">
        <v>1030</v>
      </c>
      <c r="C1710">
        <v>2011</v>
      </c>
      <c r="D1710">
        <v>142</v>
      </c>
      <c r="E1710">
        <v>8</v>
      </c>
      <c r="F1710">
        <v>20</v>
      </c>
      <c r="G1710">
        <v>2</v>
      </c>
      <c r="H1710">
        <f>SUMIFS($F$2:F1710,$C$2:C1710,C1710)</f>
        <v>26243</v>
      </c>
      <c r="I1710" s="8">
        <f>STAMP_Escapement_Data[[#This Row],[DATE]]-DATE(STAMP_Escapement_Data[[#This Row],[YEAR]],8,1)</f>
        <v>90</v>
      </c>
    </row>
    <row r="1711" spans="1:9" x14ac:dyDescent="0.25">
      <c r="A1711" s="1">
        <v>40847</v>
      </c>
      <c r="B1711">
        <v>1031</v>
      </c>
      <c r="C1711">
        <v>2011</v>
      </c>
      <c r="D1711">
        <v>38</v>
      </c>
      <c r="E1711">
        <v>6</v>
      </c>
      <c r="F1711">
        <v>6</v>
      </c>
      <c r="G1711">
        <v>1</v>
      </c>
      <c r="H1711">
        <f>SUMIFS($F$2:F1711,$C$2:C1711,C1711)</f>
        <v>26249</v>
      </c>
      <c r="I1711" s="8">
        <f>STAMP_Escapement_Data[[#This Row],[DATE]]-DATE(STAMP_Escapement_Data[[#This Row],[YEAR]],8,1)</f>
        <v>91</v>
      </c>
    </row>
    <row r="1712" spans="1:9" x14ac:dyDescent="0.25">
      <c r="A1712" s="1">
        <v>40848</v>
      </c>
      <c r="B1712">
        <v>1101</v>
      </c>
      <c r="C1712">
        <v>2011</v>
      </c>
      <c r="D1712">
        <v>66</v>
      </c>
      <c r="E1712">
        <v>10</v>
      </c>
      <c r="F1712">
        <v>9</v>
      </c>
      <c r="G1712">
        <v>2</v>
      </c>
      <c r="H1712">
        <f>SUMIFS($F$2:F1712,$C$2:C1712,C1712)</f>
        <v>26258</v>
      </c>
      <c r="I1712" s="8">
        <f>STAMP_Escapement_Data[[#This Row],[DATE]]-DATE(STAMP_Escapement_Data[[#This Row],[YEAR]],8,1)</f>
        <v>92</v>
      </c>
    </row>
    <row r="1713" spans="1:9" x14ac:dyDescent="0.25">
      <c r="A1713" s="1">
        <v>40849</v>
      </c>
      <c r="B1713">
        <v>1102</v>
      </c>
      <c r="C1713">
        <v>2011</v>
      </c>
      <c r="D1713">
        <v>15</v>
      </c>
      <c r="E1713">
        <v>3</v>
      </c>
      <c r="F1713">
        <v>7</v>
      </c>
      <c r="G1713">
        <v>0</v>
      </c>
      <c r="H1713">
        <f>SUMIFS($F$2:F1713,$C$2:C1713,C1713)</f>
        <v>26265</v>
      </c>
      <c r="I1713" s="8">
        <f>STAMP_Escapement_Data[[#This Row],[DATE]]-DATE(STAMP_Escapement_Data[[#This Row],[YEAR]],8,1)</f>
        <v>93</v>
      </c>
    </row>
    <row r="1714" spans="1:9" x14ac:dyDescent="0.25">
      <c r="A1714" s="1">
        <v>40850</v>
      </c>
      <c r="B1714">
        <v>1103</v>
      </c>
      <c r="C1714">
        <v>2011</v>
      </c>
      <c r="D1714">
        <v>56</v>
      </c>
      <c r="E1714">
        <v>7</v>
      </c>
      <c r="F1714">
        <v>4</v>
      </c>
      <c r="G1714">
        <v>2</v>
      </c>
      <c r="H1714">
        <f>SUMIFS($F$2:F1714,$C$2:C1714,C1714)</f>
        <v>26269</v>
      </c>
      <c r="I1714" s="8">
        <f>STAMP_Escapement_Data[[#This Row],[DATE]]-DATE(STAMP_Escapement_Data[[#This Row],[YEAR]],8,1)</f>
        <v>94</v>
      </c>
    </row>
    <row r="1715" spans="1:9" x14ac:dyDescent="0.25">
      <c r="A1715" s="1">
        <v>41158</v>
      </c>
      <c r="B1715">
        <v>906</v>
      </c>
      <c r="C1715">
        <v>2012</v>
      </c>
      <c r="D1715">
        <v>1437</v>
      </c>
      <c r="E1715">
        <v>1</v>
      </c>
      <c r="F1715">
        <v>1669</v>
      </c>
      <c r="G1715">
        <v>179</v>
      </c>
      <c r="H1715">
        <f>SUMIFS($F$2:F1715,$C$2:C1715,C1715)</f>
        <v>1669</v>
      </c>
      <c r="I1715" s="8">
        <f>STAMP_Escapement_Data[[#This Row],[DATE]]-DATE(STAMP_Escapement_Data[[#This Row],[YEAR]],8,1)</f>
        <v>36</v>
      </c>
    </row>
    <row r="1716" spans="1:9" x14ac:dyDescent="0.25">
      <c r="A1716" s="1">
        <v>41158</v>
      </c>
      <c r="B1716">
        <v>906</v>
      </c>
      <c r="C1716">
        <v>2012</v>
      </c>
      <c r="D1716">
        <v>1654</v>
      </c>
      <c r="E1716">
        <v>65</v>
      </c>
      <c r="F1716">
        <v>0</v>
      </c>
      <c r="G1716">
        <v>0</v>
      </c>
      <c r="H1716">
        <f>SUMIFS($F$2:F1716,$C$2:C1716,C1716)</f>
        <v>1669</v>
      </c>
      <c r="I1716" s="8">
        <f>STAMP_Escapement_Data[[#This Row],[DATE]]-DATE(STAMP_Escapement_Data[[#This Row],[YEAR]],8,1)</f>
        <v>36</v>
      </c>
    </row>
    <row r="1717" spans="1:9" x14ac:dyDescent="0.25">
      <c r="A1717" s="1">
        <v>41158</v>
      </c>
      <c r="B1717">
        <v>906</v>
      </c>
      <c r="C1717">
        <v>2012</v>
      </c>
      <c r="D1717">
        <v>102</v>
      </c>
      <c r="E1717">
        <v>36</v>
      </c>
      <c r="F1717">
        <v>132</v>
      </c>
      <c r="G1717">
        <v>51</v>
      </c>
      <c r="H1717">
        <f>SUMIFS($F$2:F1717,$C$2:C1717,C1717)</f>
        <v>1801</v>
      </c>
      <c r="I1717" s="8">
        <f>STAMP_Escapement_Data[[#This Row],[DATE]]-DATE(STAMP_Escapement_Data[[#This Row],[YEAR]],8,1)</f>
        <v>36</v>
      </c>
    </row>
    <row r="1718" spans="1:9" x14ac:dyDescent="0.25">
      <c r="A1718" s="1">
        <v>41159</v>
      </c>
      <c r="B1718">
        <v>907</v>
      </c>
      <c r="C1718">
        <v>2012</v>
      </c>
      <c r="D1718">
        <v>312</v>
      </c>
      <c r="E1718">
        <v>84</v>
      </c>
      <c r="F1718">
        <v>426</v>
      </c>
      <c r="G1718">
        <v>63</v>
      </c>
      <c r="H1718">
        <f>SUMIFS($F$2:F1718,$C$2:C1718,C1718)</f>
        <v>2227</v>
      </c>
      <c r="I1718" s="8">
        <f>STAMP_Escapement_Data[[#This Row],[DATE]]-DATE(STAMP_Escapement_Data[[#This Row],[YEAR]],8,1)</f>
        <v>37</v>
      </c>
    </row>
    <row r="1719" spans="1:9" x14ac:dyDescent="0.25">
      <c r="A1719" s="1">
        <v>41160</v>
      </c>
      <c r="B1719">
        <v>908</v>
      </c>
      <c r="C1719">
        <v>2012</v>
      </c>
      <c r="D1719">
        <v>891</v>
      </c>
      <c r="E1719">
        <v>123</v>
      </c>
      <c r="F1719">
        <v>501</v>
      </c>
      <c r="G1719">
        <v>84</v>
      </c>
      <c r="H1719">
        <f>SUMIFS($F$2:F1719,$C$2:C1719,C1719)</f>
        <v>2728</v>
      </c>
      <c r="I1719" s="8">
        <f>STAMP_Escapement_Data[[#This Row],[DATE]]-DATE(STAMP_Escapement_Data[[#This Row],[YEAR]],8,1)</f>
        <v>38</v>
      </c>
    </row>
    <row r="1720" spans="1:9" x14ac:dyDescent="0.25">
      <c r="A1720" s="1">
        <v>41161</v>
      </c>
      <c r="B1720">
        <v>909</v>
      </c>
      <c r="C1720">
        <v>2012</v>
      </c>
      <c r="D1720">
        <v>1368</v>
      </c>
      <c r="E1720">
        <v>96</v>
      </c>
      <c r="F1720">
        <v>477</v>
      </c>
      <c r="G1720">
        <v>63</v>
      </c>
      <c r="H1720">
        <f>SUMIFS($F$2:F1720,$C$2:C1720,C1720)</f>
        <v>3205</v>
      </c>
      <c r="I1720" s="8">
        <f>STAMP_Escapement_Data[[#This Row],[DATE]]-DATE(STAMP_Escapement_Data[[#This Row],[YEAR]],8,1)</f>
        <v>39</v>
      </c>
    </row>
    <row r="1721" spans="1:9" x14ac:dyDescent="0.25">
      <c r="A1721" s="1">
        <v>41162</v>
      </c>
      <c r="B1721">
        <v>910</v>
      </c>
      <c r="C1721">
        <v>2012</v>
      </c>
      <c r="D1721">
        <v>1410</v>
      </c>
      <c r="E1721">
        <v>117</v>
      </c>
      <c r="F1721">
        <v>435</v>
      </c>
      <c r="G1721">
        <v>24</v>
      </c>
      <c r="H1721">
        <f>SUMIFS($F$2:F1721,$C$2:C1721,C1721)</f>
        <v>3640</v>
      </c>
      <c r="I1721" s="8">
        <f>STAMP_Escapement_Data[[#This Row],[DATE]]-DATE(STAMP_Escapement_Data[[#This Row],[YEAR]],8,1)</f>
        <v>40</v>
      </c>
    </row>
    <row r="1722" spans="1:9" x14ac:dyDescent="0.25">
      <c r="A1722" s="1">
        <v>41163</v>
      </c>
      <c r="B1722">
        <v>911</v>
      </c>
      <c r="C1722">
        <v>2012</v>
      </c>
      <c r="D1722">
        <v>910</v>
      </c>
      <c r="E1722">
        <v>74</v>
      </c>
      <c r="F1722">
        <v>243</v>
      </c>
      <c r="G1722">
        <v>52</v>
      </c>
      <c r="H1722">
        <f>SUMIFS($F$2:F1722,$C$2:C1722,C1722)</f>
        <v>3883</v>
      </c>
      <c r="I1722" s="8">
        <f>STAMP_Escapement_Data[[#This Row],[DATE]]-DATE(STAMP_Escapement_Data[[#This Row],[YEAR]],8,1)</f>
        <v>41</v>
      </c>
    </row>
    <row r="1723" spans="1:9" x14ac:dyDescent="0.25">
      <c r="A1723" s="1">
        <v>41164</v>
      </c>
      <c r="B1723">
        <v>912</v>
      </c>
      <c r="C1723">
        <v>2012</v>
      </c>
      <c r="D1723">
        <v>1434</v>
      </c>
      <c r="E1723">
        <v>117</v>
      </c>
      <c r="F1723">
        <v>342</v>
      </c>
      <c r="G1723">
        <v>108</v>
      </c>
      <c r="H1723">
        <f>SUMIFS($F$2:F1723,$C$2:C1723,C1723)</f>
        <v>4225</v>
      </c>
      <c r="I1723" s="8">
        <f>STAMP_Escapement_Data[[#This Row],[DATE]]-DATE(STAMP_Escapement_Data[[#This Row],[YEAR]],8,1)</f>
        <v>42</v>
      </c>
    </row>
    <row r="1724" spans="1:9" x14ac:dyDescent="0.25">
      <c r="A1724" s="1">
        <v>41165</v>
      </c>
      <c r="B1724">
        <v>913</v>
      </c>
      <c r="C1724">
        <v>2012</v>
      </c>
      <c r="D1724">
        <v>1068</v>
      </c>
      <c r="E1724">
        <v>198</v>
      </c>
      <c r="F1724">
        <v>360</v>
      </c>
      <c r="G1724">
        <v>90</v>
      </c>
      <c r="H1724">
        <f>SUMIFS($F$2:F1724,$C$2:C1724,C1724)</f>
        <v>4585</v>
      </c>
      <c r="I1724" s="8">
        <f>STAMP_Escapement_Data[[#This Row],[DATE]]-DATE(STAMP_Escapement_Data[[#This Row],[YEAR]],8,1)</f>
        <v>43</v>
      </c>
    </row>
    <row r="1725" spans="1:9" x14ac:dyDescent="0.25">
      <c r="A1725" s="1">
        <v>41166</v>
      </c>
      <c r="B1725">
        <v>914</v>
      </c>
      <c r="C1725">
        <v>2012</v>
      </c>
      <c r="D1725">
        <v>573</v>
      </c>
      <c r="E1725">
        <v>93</v>
      </c>
      <c r="F1725">
        <v>168</v>
      </c>
      <c r="G1725">
        <v>30</v>
      </c>
      <c r="H1725">
        <f>SUMIFS($F$2:F1725,$C$2:C1725,C1725)</f>
        <v>4753</v>
      </c>
      <c r="I1725" s="8">
        <f>STAMP_Escapement_Data[[#This Row],[DATE]]-DATE(STAMP_Escapement_Data[[#This Row],[YEAR]],8,1)</f>
        <v>44</v>
      </c>
    </row>
    <row r="1726" spans="1:9" x14ac:dyDescent="0.25">
      <c r="A1726" s="1">
        <v>41167</v>
      </c>
      <c r="B1726">
        <v>915</v>
      </c>
      <c r="C1726">
        <v>2012</v>
      </c>
      <c r="D1726">
        <v>594</v>
      </c>
      <c r="E1726">
        <v>93</v>
      </c>
      <c r="F1726">
        <v>129</v>
      </c>
      <c r="G1726">
        <v>15</v>
      </c>
      <c r="H1726">
        <f>SUMIFS($F$2:F1726,$C$2:C1726,C1726)</f>
        <v>4882</v>
      </c>
      <c r="I1726" s="8">
        <f>STAMP_Escapement_Data[[#This Row],[DATE]]-DATE(STAMP_Escapement_Data[[#This Row],[YEAR]],8,1)</f>
        <v>45</v>
      </c>
    </row>
    <row r="1727" spans="1:9" x14ac:dyDescent="0.25">
      <c r="A1727" s="1">
        <v>41168</v>
      </c>
      <c r="B1727">
        <v>916</v>
      </c>
      <c r="C1727">
        <v>2012</v>
      </c>
      <c r="D1727">
        <v>672</v>
      </c>
      <c r="E1727">
        <v>81</v>
      </c>
      <c r="F1727">
        <v>102</v>
      </c>
      <c r="G1727">
        <v>27</v>
      </c>
      <c r="H1727">
        <f>SUMIFS($F$2:F1727,$C$2:C1727,C1727)</f>
        <v>4984</v>
      </c>
      <c r="I1727" s="8">
        <f>STAMP_Escapement_Data[[#This Row],[DATE]]-DATE(STAMP_Escapement_Data[[#This Row],[YEAR]],8,1)</f>
        <v>46</v>
      </c>
    </row>
    <row r="1728" spans="1:9" x14ac:dyDescent="0.25">
      <c r="A1728" s="1">
        <v>41169</v>
      </c>
      <c r="B1728">
        <v>917</v>
      </c>
      <c r="C1728">
        <v>2012</v>
      </c>
      <c r="D1728">
        <v>795</v>
      </c>
      <c r="E1728">
        <v>57</v>
      </c>
      <c r="F1728">
        <v>159</v>
      </c>
      <c r="G1728">
        <v>75</v>
      </c>
      <c r="H1728">
        <f>SUMIFS($F$2:F1728,$C$2:C1728,C1728)</f>
        <v>5143</v>
      </c>
      <c r="I1728" s="8">
        <f>STAMP_Escapement_Data[[#This Row],[DATE]]-DATE(STAMP_Escapement_Data[[#This Row],[YEAR]],8,1)</f>
        <v>47</v>
      </c>
    </row>
    <row r="1729" spans="1:9" x14ac:dyDescent="0.25">
      <c r="A1729" s="1">
        <v>41170</v>
      </c>
      <c r="B1729">
        <v>918</v>
      </c>
      <c r="C1729">
        <v>2012</v>
      </c>
      <c r="D1729">
        <v>486</v>
      </c>
      <c r="E1729">
        <v>93</v>
      </c>
      <c r="F1729">
        <v>48</v>
      </c>
      <c r="G1729">
        <v>9</v>
      </c>
      <c r="H1729">
        <f>SUMIFS($F$2:F1729,$C$2:C1729,C1729)</f>
        <v>5191</v>
      </c>
      <c r="I1729" s="8">
        <f>STAMP_Escapement_Data[[#This Row],[DATE]]-DATE(STAMP_Escapement_Data[[#This Row],[YEAR]],8,1)</f>
        <v>48</v>
      </c>
    </row>
    <row r="1730" spans="1:9" x14ac:dyDescent="0.25">
      <c r="A1730" s="1">
        <v>41171</v>
      </c>
      <c r="B1730">
        <v>919</v>
      </c>
      <c r="C1730">
        <v>2012</v>
      </c>
      <c r="D1730">
        <v>975</v>
      </c>
      <c r="E1730">
        <v>117</v>
      </c>
      <c r="F1730">
        <v>336</v>
      </c>
      <c r="G1730">
        <v>147</v>
      </c>
      <c r="H1730">
        <f>SUMIFS($F$2:F1730,$C$2:C1730,C1730)</f>
        <v>5527</v>
      </c>
      <c r="I1730" s="8">
        <f>STAMP_Escapement_Data[[#This Row],[DATE]]-DATE(STAMP_Escapement_Data[[#This Row],[YEAR]],8,1)</f>
        <v>49</v>
      </c>
    </row>
    <row r="1731" spans="1:9" x14ac:dyDescent="0.25">
      <c r="A1731" s="1">
        <v>41172</v>
      </c>
      <c r="B1731">
        <v>920</v>
      </c>
      <c r="C1731">
        <v>2012</v>
      </c>
      <c r="D1731">
        <v>1098</v>
      </c>
      <c r="E1731">
        <v>42</v>
      </c>
      <c r="F1731">
        <v>453</v>
      </c>
      <c r="G1731">
        <v>129</v>
      </c>
      <c r="H1731">
        <f>SUMIFS($F$2:F1731,$C$2:C1731,C1731)</f>
        <v>5980</v>
      </c>
      <c r="I1731" s="8">
        <f>STAMP_Escapement_Data[[#This Row],[DATE]]-DATE(STAMP_Escapement_Data[[#This Row],[YEAR]],8,1)</f>
        <v>50</v>
      </c>
    </row>
    <row r="1732" spans="1:9" x14ac:dyDescent="0.25">
      <c r="A1732" s="1">
        <v>41173</v>
      </c>
      <c r="B1732">
        <v>921</v>
      </c>
      <c r="C1732">
        <v>2012</v>
      </c>
      <c r="D1732">
        <v>1146</v>
      </c>
      <c r="E1732">
        <v>54</v>
      </c>
      <c r="F1732">
        <v>477</v>
      </c>
      <c r="G1732">
        <v>123</v>
      </c>
      <c r="H1732">
        <f>SUMIFS($F$2:F1732,$C$2:C1732,C1732)</f>
        <v>6457</v>
      </c>
      <c r="I1732" s="8">
        <f>STAMP_Escapement_Data[[#This Row],[DATE]]-DATE(STAMP_Escapement_Data[[#This Row],[YEAR]],8,1)</f>
        <v>51</v>
      </c>
    </row>
    <row r="1733" spans="1:9" x14ac:dyDescent="0.25">
      <c r="A1733" s="1">
        <v>41174</v>
      </c>
      <c r="B1733">
        <v>922</v>
      </c>
      <c r="C1733">
        <v>2012</v>
      </c>
      <c r="D1733">
        <v>612</v>
      </c>
      <c r="E1733">
        <v>36</v>
      </c>
      <c r="F1733">
        <v>462</v>
      </c>
      <c r="G1733">
        <v>60</v>
      </c>
      <c r="H1733">
        <f>SUMIFS($F$2:F1733,$C$2:C1733,C1733)</f>
        <v>6919</v>
      </c>
      <c r="I1733" s="8">
        <f>STAMP_Escapement_Data[[#This Row],[DATE]]-DATE(STAMP_Escapement_Data[[#This Row],[YEAR]],8,1)</f>
        <v>52</v>
      </c>
    </row>
    <row r="1734" spans="1:9" x14ac:dyDescent="0.25">
      <c r="A1734" s="1">
        <v>41175</v>
      </c>
      <c r="B1734">
        <v>923</v>
      </c>
      <c r="C1734">
        <v>2012</v>
      </c>
      <c r="D1734">
        <v>474</v>
      </c>
      <c r="E1734">
        <v>18</v>
      </c>
      <c r="F1734">
        <v>633</v>
      </c>
      <c r="G1734">
        <v>48</v>
      </c>
      <c r="H1734">
        <f>SUMIFS($F$2:F1734,$C$2:C1734,C1734)</f>
        <v>7552</v>
      </c>
      <c r="I1734" s="8">
        <f>STAMP_Escapement_Data[[#This Row],[DATE]]-DATE(STAMP_Escapement_Data[[#This Row],[YEAR]],8,1)</f>
        <v>53</v>
      </c>
    </row>
    <row r="1735" spans="1:9" x14ac:dyDescent="0.25">
      <c r="A1735" s="1">
        <v>41176</v>
      </c>
      <c r="B1735">
        <v>924</v>
      </c>
      <c r="C1735">
        <v>2012</v>
      </c>
      <c r="D1735">
        <v>548</v>
      </c>
      <c r="E1735">
        <v>114</v>
      </c>
      <c r="F1735">
        <v>430</v>
      </c>
      <c r="G1735">
        <v>82</v>
      </c>
      <c r="H1735">
        <f>SUMIFS($F$2:F1735,$C$2:C1735,C1735)</f>
        <v>7982</v>
      </c>
      <c r="I1735" s="8">
        <f>STAMP_Escapement_Data[[#This Row],[DATE]]-DATE(STAMP_Escapement_Data[[#This Row],[YEAR]],8,1)</f>
        <v>54</v>
      </c>
    </row>
    <row r="1736" spans="1:9" x14ac:dyDescent="0.25">
      <c r="A1736" s="1">
        <v>41177</v>
      </c>
      <c r="B1736">
        <v>925</v>
      </c>
      <c r="C1736">
        <v>2012</v>
      </c>
      <c r="D1736">
        <v>491</v>
      </c>
      <c r="E1736">
        <v>93</v>
      </c>
      <c r="F1736">
        <v>238</v>
      </c>
      <c r="G1736">
        <v>56</v>
      </c>
      <c r="H1736">
        <f>SUMIFS($F$2:F1736,$C$2:C1736,C1736)</f>
        <v>8220</v>
      </c>
      <c r="I1736" s="8">
        <f>STAMP_Escapement_Data[[#This Row],[DATE]]-DATE(STAMP_Escapement_Data[[#This Row],[YEAR]],8,1)</f>
        <v>55</v>
      </c>
    </row>
    <row r="1737" spans="1:9" x14ac:dyDescent="0.25">
      <c r="A1737" s="1">
        <v>41178</v>
      </c>
      <c r="B1737">
        <v>926</v>
      </c>
      <c r="C1737">
        <v>2012</v>
      </c>
      <c r="D1737">
        <v>645</v>
      </c>
      <c r="E1737">
        <v>73</v>
      </c>
      <c r="F1737">
        <v>289</v>
      </c>
      <c r="G1737">
        <v>48</v>
      </c>
      <c r="H1737">
        <f>SUMIFS($F$2:F1737,$C$2:C1737,C1737)</f>
        <v>8509</v>
      </c>
      <c r="I1737" s="8">
        <f>STAMP_Escapement_Data[[#This Row],[DATE]]-DATE(STAMP_Escapement_Data[[#This Row],[YEAR]],8,1)</f>
        <v>56</v>
      </c>
    </row>
    <row r="1738" spans="1:9" x14ac:dyDescent="0.25">
      <c r="A1738" s="1">
        <v>41179</v>
      </c>
      <c r="B1738">
        <v>927</v>
      </c>
      <c r="C1738">
        <v>2012</v>
      </c>
      <c r="D1738">
        <v>520</v>
      </c>
      <c r="E1738">
        <v>115</v>
      </c>
      <c r="F1738">
        <v>239</v>
      </c>
      <c r="G1738">
        <v>58</v>
      </c>
      <c r="H1738">
        <f>SUMIFS($F$2:F1738,$C$2:C1738,C1738)</f>
        <v>8748</v>
      </c>
      <c r="I1738" s="8">
        <f>STAMP_Escapement_Data[[#This Row],[DATE]]-DATE(STAMP_Escapement_Data[[#This Row],[YEAR]],8,1)</f>
        <v>57</v>
      </c>
    </row>
    <row r="1739" spans="1:9" x14ac:dyDescent="0.25">
      <c r="A1739" s="1">
        <v>41180</v>
      </c>
      <c r="B1739">
        <v>928</v>
      </c>
      <c r="C1739">
        <v>2012</v>
      </c>
      <c r="D1739">
        <v>474</v>
      </c>
      <c r="E1739">
        <v>69</v>
      </c>
      <c r="F1739">
        <v>283</v>
      </c>
      <c r="G1739">
        <v>64</v>
      </c>
      <c r="H1739">
        <f>SUMIFS($F$2:F1739,$C$2:C1739,C1739)</f>
        <v>9031</v>
      </c>
      <c r="I1739" s="8">
        <f>STAMP_Escapement_Data[[#This Row],[DATE]]-DATE(STAMP_Escapement_Data[[#This Row],[YEAR]],8,1)</f>
        <v>58</v>
      </c>
    </row>
    <row r="1740" spans="1:9" x14ac:dyDescent="0.25">
      <c r="A1740" s="1">
        <v>41181</v>
      </c>
      <c r="B1740">
        <v>929</v>
      </c>
      <c r="C1740">
        <v>2012</v>
      </c>
      <c r="D1740">
        <v>253</v>
      </c>
      <c r="E1740">
        <v>44</v>
      </c>
      <c r="F1740">
        <v>209</v>
      </c>
      <c r="G1740">
        <v>25</v>
      </c>
      <c r="H1740">
        <f>SUMIFS($F$2:F1740,$C$2:C1740,C1740)</f>
        <v>9240</v>
      </c>
      <c r="I1740" s="8">
        <f>STAMP_Escapement_Data[[#This Row],[DATE]]-DATE(STAMP_Escapement_Data[[#This Row],[YEAR]],8,1)</f>
        <v>59</v>
      </c>
    </row>
    <row r="1741" spans="1:9" x14ac:dyDescent="0.25">
      <c r="A1741" s="1">
        <v>41182</v>
      </c>
      <c r="B1741">
        <v>930</v>
      </c>
      <c r="C1741">
        <v>2012</v>
      </c>
      <c r="D1741">
        <v>150</v>
      </c>
      <c r="E1741">
        <v>20</v>
      </c>
      <c r="F1741">
        <v>75</v>
      </c>
      <c r="G1741">
        <v>10</v>
      </c>
      <c r="H1741">
        <f>SUMIFS($F$2:F1741,$C$2:C1741,C1741)</f>
        <v>9315</v>
      </c>
      <c r="I1741" s="8">
        <f>STAMP_Escapement_Data[[#This Row],[DATE]]-DATE(STAMP_Escapement_Data[[#This Row],[YEAR]],8,1)</f>
        <v>60</v>
      </c>
    </row>
    <row r="1742" spans="1:9" x14ac:dyDescent="0.25">
      <c r="A1742" s="1">
        <v>41183</v>
      </c>
      <c r="B1742">
        <v>1001</v>
      </c>
      <c r="C1742">
        <v>2012</v>
      </c>
      <c r="D1742">
        <v>103</v>
      </c>
      <c r="E1742">
        <v>13</v>
      </c>
      <c r="F1742">
        <v>49</v>
      </c>
      <c r="G1742">
        <v>5</v>
      </c>
      <c r="H1742">
        <f>SUMIFS($F$2:F1742,$C$2:C1742,C1742)</f>
        <v>9364</v>
      </c>
      <c r="I1742" s="8">
        <f>STAMP_Escapement_Data[[#This Row],[DATE]]-DATE(STAMP_Escapement_Data[[#This Row],[YEAR]],8,1)</f>
        <v>61</v>
      </c>
    </row>
    <row r="1743" spans="1:9" x14ac:dyDescent="0.25">
      <c r="A1743" s="1">
        <v>41184</v>
      </c>
      <c r="B1743">
        <v>1002</v>
      </c>
      <c r="C1743">
        <v>2012</v>
      </c>
      <c r="D1743">
        <v>1188</v>
      </c>
      <c r="E1743">
        <v>44</v>
      </c>
      <c r="F1743">
        <v>244</v>
      </c>
      <c r="G1743">
        <v>36</v>
      </c>
      <c r="H1743">
        <f>SUMIFS($F$2:F1743,$C$2:C1743,C1743)</f>
        <v>9608</v>
      </c>
      <c r="I1743" s="8">
        <f>STAMP_Escapement_Data[[#This Row],[DATE]]-DATE(STAMP_Escapement_Data[[#This Row],[YEAR]],8,1)</f>
        <v>62</v>
      </c>
    </row>
    <row r="1744" spans="1:9" x14ac:dyDescent="0.25">
      <c r="A1744" s="1">
        <v>41185</v>
      </c>
      <c r="B1744">
        <v>1003</v>
      </c>
      <c r="C1744">
        <v>2012</v>
      </c>
      <c r="D1744">
        <v>438</v>
      </c>
      <c r="E1744">
        <v>33</v>
      </c>
      <c r="F1744">
        <v>413</v>
      </c>
      <c r="G1744">
        <v>36</v>
      </c>
      <c r="H1744">
        <f>SUMIFS($F$2:F1744,$C$2:C1744,C1744)</f>
        <v>10021</v>
      </c>
      <c r="I1744" s="8">
        <f>STAMP_Escapement_Data[[#This Row],[DATE]]-DATE(STAMP_Escapement_Data[[#This Row],[YEAR]],8,1)</f>
        <v>63</v>
      </c>
    </row>
    <row r="1745" spans="1:9" x14ac:dyDescent="0.25">
      <c r="A1745" s="1">
        <v>41186</v>
      </c>
      <c r="B1745">
        <v>1004</v>
      </c>
      <c r="C1745">
        <v>2012</v>
      </c>
      <c r="D1745">
        <v>273</v>
      </c>
      <c r="E1745">
        <v>41</v>
      </c>
      <c r="F1745">
        <v>204</v>
      </c>
      <c r="G1745">
        <v>15</v>
      </c>
      <c r="H1745">
        <f>SUMIFS($F$2:F1745,$C$2:C1745,C1745)</f>
        <v>10225</v>
      </c>
      <c r="I1745" s="8">
        <f>STAMP_Escapement_Data[[#This Row],[DATE]]-DATE(STAMP_Escapement_Data[[#This Row],[YEAR]],8,1)</f>
        <v>64</v>
      </c>
    </row>
    <row r="1746" spans="1:9" x14ac:dyDescent="0.25">
      <c r="A1746" s="1">
        <v>41187</v>
      </c>
      <c r="B1746">
        <v>1005</v>
      </c>
      <c r="C1746">
        <v>2012</v>
      </c>
      <c r="D1746">
        <v>164</v>
      </c>
      <c r="E1746">
        <v>7</v>
      </c>
      <c r="F1746">
        <v>123</v>
      </c>
      <c r="G1746">
        <v>7</v>
      </c>
      <c r="H1746">
        <f>SUMIFS($F$2:F1746,$C$2:C1746,C1746)</f>
        <v>10348</v>
      </c>
      <c r="I1746" s="8">
        <f>STAMP_Escapement_Data[[#This Row],[DATE]]-DATE(STAMP_Escapement_Data[[#This Row],[YEAR]],8,1)</f>
        <v>65</v>
      </c>
    </row>
    <row r="1747" spans="1:9" x14ac:dyDescent="0.25">
      <c r="A1747" s="1">
        <v>41188</v>
      </c>
      <c r="B1747">
        <v>1006</v>
      </c>
      <c r="C1747">
        <v>2012</v>
      </c>
      <c r="D1747">
        <v>216</v>
      </c>
      <c r="E1747">
        <v>15</v>
      </c>
      <c r="F1747">
        <v>351</v>
      </c>
      <c r="G1747">
        <v>14</v>
      </c>
      <c r="H1747">
        <f>SUMIFS($F$2:F1747,$C$2:C1747,C1747)</f>
        <v>10699</v>
      </c>
      <c r="I1747" s="8">
        <f>STAMP_Escapement_Data[[#This Row],[DATE]]-DATE(STAMP_Escapement_Data[[#This Row],[YEAR]],8,1)</f>
        <v>66</v>
      </c>
    </row>
    <row r="1748" spans="1:9" x14ac:dyDescent="0.25">
      <c r="A1748" s="1">
        <v>41189</v>
      </c>
      <c r="B1748">
        <v>1007</v>
      </c>
      <c r="C1748">
        <v>2012</v>
      </c>
      <c r="D1748">
        <v>207</v>
      </c>
      <c r="E1748">
        <v>32</v>
      </c>
      <c r="F1748">
        <v>436</v>
      </c>
      <c r="G1748">
        <v>18</v>
      </c>
      <c r="H1748">
        <f>SUMIFS($F$2:F1748,$C$2:C1748,C1748)</f>
        <v>11135</v>
      </c>
      <c r="I1748" s="8">
        <f>STAMP_Escapement_Data[[#This Row],[DATE]]-DATE(STAMP_Escapement_Data[[#This Row],[YEAR]],8,1)</f>
        <v>67</v>
      </c>
    </row>
    <row r="1749" spans="1:9" x14ac:dyDescent="0.25">
      <c r="A1749" s="1">
        <v>41190</v>
      </c>
      <c r="B1749">
        <v>1008</v>
      </c>
      <c r="C1749">
        <v>2012</v>
      </c>
      <c r="D1749">
        <v>183</v>
      </c>
      <c r="E1749">
        <v>26</v>
      </c>
      <c r="F1749">
        <v>471</v>
      </c>
      <c r="G1749">
        <v>18</v>
      </c>
      <c r="H1749">
        <f>SUMIFS($F$2:F1749,$C$2:C1749,C1749)</f>
        <v>11606</v>
      </c>
      <c r="I1749" s="8">
        <f>STAMP_Escapement_Data[[#This Row],[DATE]]-DATE(STAMP_Escapement_Data[[#This Row],[YEAR]],8,1)</f>
        <v>68</v>
      </c>
    </row>
    <row r="1750" spans="1:9" x14ac:dyDescent="0.25">
      <c r="A1750" s="1">
        <v>41191</v>
      </c>
      <c r="B1750">
        <v>1009</v>
      </c>
      <c r="C1750">
        <v>2012</v>
      </c>
      <c r="D1750">
        <v>128</v>
      </c>
      <c r="E1750">
        <v>16</v>
      </c>
      <c r="F1750">
        <v>522</v>
      </c>
      <c r="G1750">
        <v>35</v>
      </c>
      <c r="H1750">
        <f>SUMIFS($F$2:F1750,$C$2:C1750,C1750)</f>
        <v>12128</v>
      </c>
      <c r="I1750" s="8">
        <f>STAMP_Escapement_Data[[#This Row],[DATE]]-DATE(STAMP_Escapement_Data[[#This Row],[YEAR]],8,1)</f>
        <v>69</v>
      </c>
    </row>
    <row r="1751" spans="1:9" x14ac:dyDescent="0.25">
      <c r="A1751" s="1">
        <v>41192</v>
      </c>
      <c r="B1751">
        <v>1010</v>
      </c>
      <c r="C1751">
        <v>2012</v>
      </c>
      <c r="D1751">
        <v>95</v>
      </c>
      <c r="E1751">
        <v>17</v>
      </c>
      <c r="F1751">
        <v>353</v>
      </c>
      <c r="G1751">
        <v>22</v>
      </c>
      <c r="H1751">
        <f>SUMIFS($F$2:F1751,$C$2:C1751,C1751)</f>
        <v>12481</v>
      </c>
      <c r="I1751" s="8">
        <f>STAMP_Escapement_Data[[#This Row],[DATE]]-DATE(STAMP_Escapement_Data[[#This Row],[YEAR]],8,1)</f>
        <v>70</v>
      </c>
    </row>
    <row r="1752" spans="1:9" x14ac:dyDescent="0.25">
      <c r="A1752" s="1">
        <v>41193</v>
      </c>
      <c r="B1752">
        <v>1011</v>
      </c>
      <c r="C1752">
        <v>2012</v>
      </c>
      <c r="D1752">
        <v>79</v>
      </c>
      <c r="E1752">
        <v>22</v>
      </c>
      <c r="F1752">
        <v>321</v>
      </c>
      <c r="G1752">
        <v>18</v>
      </c>
      <c r="H1752">
        <f>SUMIFS($F$2:F1752,$C$2:C1752,C1752)</f>
        <v>12802</v>
      </c>
      <c r="I1752" s="8">
        <f>STAMP_Escapement_Data[[#This Row],[DATE]]-DATE(STAMP_Escapement_Data[[#This Row],[YEAR]],8,1)</f>
        <v>71</v>
      </c>
    </row>
    <row r="1753" spans="1:9" x14ac:dyDescent="0.25">
      <c r="A1753" s="1">
        <v>41194</v>
      </c>
      <c r="B1753">
        <v>1012</v>
      </c>
      <c r="C1753">
        <v>2012</v>
      </c>
      <c r="D1753">
        <v>91</v>
      </c>
      <c r="E1753">
        <v>6</v>
      </c>
      <c r="F1753">
        <v>385</v>
      </c>
      <c r="G1753">
        <v>39</v>
      </c>
      <c r="H1753">
        <f>SUMIFS($F$2:F1753,$C$2:C1753,C1753)</f>
        <v>13187</v>
      </c>
      <c r="I1753" s="8">
        <f>STAMP_Escapement_Data[[#This Row],[DATE]]-DATE(STAMP_Escapement_Data[[#This Row],[YEAR]],8,1)</f>
        <v>72</v>
      </c>
    </row>
    <row r="1754" spans="1:9" x14ac:dyDescent="0.25">
      <c r="A1754" s="1">
        <v>41195</v>
      </c>
      <c r="B1754">
        <v>1013</v>
      </c>
      <c r="C1754">
        <v>2012</v>
      </c>
      <c r="D1754">
        <v>431</v>
      </c>
      <c r="E1754">
        <v>25</v>
      </c>
      <c r="F1754">
        <v>552</v>
      </c>
      <c r="G1754">
        <v>33</v>
      </c>
      <c r="H1754">
        <f>SUMIFS($F$2:F1754,$C$2:C1754,C1754)</f>
        <v>13739</v>
      </c>
      <c r="I1754" s="8">
        <f>STAMP_Escapement_Data[[#This Row],[DATE]]-DATE(STAMP_Escapement_Data[[#This Row],[YEAR]],8,1)</f>
        <v>73</v>
      </c>
    </row>
    <row r="1755" spans="1:9" x14ac:dyDescent="0.25">
      <c r="A1755" s="1">
        <v>41196</v>
      </c>
      <c r="B1755">
        <v>1014</v>
      </c>
      <c r="C1755">
        <v>2012</v>
      </c>
      <c r="D1755">
        <v>472</v>
      </c>
      <c r="E1755">
        <v>37</v>
      </c>
      <c r="F1755">
        <v>634</v>
      </c>
      <c r="G1755">
        <v>71</v>
      </c>
      <c r="H1755">
        <f>SUMIFS($F$2:F1755,$C$2:C1755,C1755)</f>
        <v>14373</v>
      </c>
      <c r="I1755" s="8">
        <f>STAMP_Escapement_Data[[#This Row],[DATE]]-DATE(STAMP_Escapement_Data[[#This Row],[YEAR]],8,1)</f>
        <v>74</v>
      </c>
    </row>
    <row r="1756" spans="1:9" x14ac:dyDescent="0.25">
      <c r="A1756" s="1">
        <v>41197</v>
      </c>
      <c r="B1756">
        <v>1015</v>
      </c>
      <c r="C1756">
        <v>2012</v>
      </c>
      <c r="D1756">
        <v>130</v>
      </c>
      <c r="E1756">
        <v>24</v>
      </c>
      <c r="F1756">
        <v>183</v>
      </c>
      <c r="G1756">
        <v>12</v>
      </c>
      <c r="H1756">
        <f>SUMIFS($F$2:F1756,$C$2:C1756,C1756)</f>
        <v>14556</v>
      </c>
      <c r="I1756" s="8">
        <f>STAMP_Escapement_Data[[#This Row],[DATE]]-DATE(STAMP_Escapement_Data[[#This Row],[YEAR]],8,1)</f>
        <v>75</v>
      </c>
    </row>
    <row r="1757" spans="1:9" x14ac:dyDescent="0.25">
      <c r="A1757" s="1">
        <v>41198</v>
      </c>
      <c r="B1757">
        <v>1016</v>
      </c>
      <c r="C1757">
        <v>2012</v>
      </c>
      <c r="D1757">
        <v>639</v>
      </c>
      <c r="E1757">
        <v>22</v>
      </c>
      <c r="F1757">
        <v>89</v>
      </c>
      <c r="G1757">
        <v>7</v>
      </c>
      <c r="H1757">
        <f>SUMIFS($F$2:F1757,$C$2:C1757,C1757)</f>
        <v>14645</v>
      </c>
      <c r="I1757" s="8">
        <f>STAMP_Escapement_Data[[#This Row],[DATE]]-DATE(STAMP_Escapement_Data[[#This Row],[YEAR]],8,1)</f>
        <v>76</v>
      </c>
    </row>
    <row r="1758" spans="1:9" x14ac:dyDescent="0.25">
      <c r="A1758" s="1">
        <v>41199</v>
      </c>
      <c r="B1758">
        <v>1017</v>
      </c>
      <c r="C1758">
        <v>2012</v>
      </c>
      <c r="D1758">
        <v>35</v>
      </c>
      <c r="E1758">
        <v>2</v>
      </c>
      <c r="F1758">
        <v>48</v>
      </c>
      <c r="G1758">
        <v>3</v>
      </c>
      <c r="H1758">
        <f>SUMIFS($F$2:F1758,$C$2:C1758,C1758)</f>
        <v>14693</v>
      </c>
      <c r="I1758" s="8">
        <f>STAMP_Escapement_Data[[#This Row],[DATE]]-DATE(STAMP_Escapement_Data[[#This Row],[YEAR]],8,1)</f>
        <v>77</v>
      </c>
    </row>
    <row r="1759" spans="1:9" x14ac:dyDescent="0.25">
      <c r="A1759" s="1">
        <v>41200</v>
      </c>
      <c r="B1759">
        <v>1018</v>
      </c>
      <c r="C1759">
        <v>2012</v>
      </c>
      <c r="D1759">
        <v>16</v>
      </c>
      <c r="E1759">
        <v>0</v>
      </c>
      <c r="F1759">
        <v>60</v>
      </c>
      <c r="G1759">
        <v>8</v>
      </c>
      <c r="H1759">
        <f>SUMIFS($F$2:F1759,$C$2:C1759,C1759)</f>
        <v>14753</v>
      </c>
      <c r="I1759" s="8">
        <f>STAMP_Escapement_Data[[#This Row],[DATE]]-DATE(STAMP_Escapement_Data[[#This Row],[YEAR]],8,1)</f>
        <v>78</v>
      </c>
    </row>
    <row r="1760" spans="1:9" x14ac:dyDescent="0.25">
      <c r="A1760" s="1">
        <v>41201</v>
      </c>
      <c r="B1760">
        <v>1019</v>
      </c>
      <c r="C1760">
        <v>2012</v>
      </c>
      <c r="D1760">
        <v>60</v>
      </c>
      <c r="E1760">
        <v>5</v>
      </c>
      <c r="F1760">
        <v>38</v>
      </c>
      <c r="G1760">
        <v>3</v>
      </c>
      <c r="H1760">
        <f>SUMIFS($F$2:F1760,$C$2:C1760,C1760)</f>
        <v>14791</v>
      </c>
      <c r="I1760" s="8">
        <f>STAMP_Escapement_Data[[#This Row],[DATE]]-DATE(STAMP_Escapement_Data[[#This Row],[YEAR]],8,1)</f>
        <v>79</v>
      </c>
    </row>
    <row r="1761" spans="1:9" x14ac:dyDescent="0.25">
      <c r="A1761" s="1">
        <v>41202</v>
      </c>
      <c r="B1761">
        <v>1020</v>
      </c>
      <c r="C1761">
        <v>2012</v>
      </c>
      <c r="D1761">
        <v>21</v>
      </c>
      <c r="E1761">
        <v>6</v>
      </c>
      <c r="F1761">
        <v>20</v>
      </c>
      <c r="G1761">
        <v>0</v>
      </c>
      <c r="H1761">
        <f>SUMIFS($F$2:F1761,$C$2:C1761,C1761)</f>
        <v>14811</v>
      </c>
      <c r="I1761" s="8">
        <f>STAMP_Escapement_Data[[#This Row],[DATE]]-DATE(STAMP_Escapement_Data[[#This Row],[YEAR]],8,1)</f>
        <v>80</v>
      </c>
    </row>
    <row r="1762" spans="1:9" x14ac:dyDescent="0.25">
      <c r="A1762" s="1">
        <v>41203</v>
      </c>
      <c r="B1762">
        <v>1021</v>
      </c>
      <c r="C1762">
        <v>2012</v>
      </c>
      <c r="D1762">
        <v>26</v>
      </c>
      <c r="E1762">
        <v>4</v>
      </c>
      <c r="F1762">
        <v>20</v>
      </c>
      <c r="G1762">
        <v>0</v>
      </c>
      <c r="H1762">
        <f>SUMIFS($F$2:F1762,$C$2:C1762,C1762)</f>
        <v>14831</v>
      </c>
      <c r="I1762" s="8">
        <f>STAMP_Escapement_Data[[#This Row],[DATE]]-DATE(STAMP_Escapement_Data[[#This Row],[YEAR]],8,1)</f>
        <v>81</v>
      </c>
    </row>
    <row r="1763" spans="1:9" x14ac:dyDescent="0.25">
      <c r="A1763" s="1">
        <v>41204</v>
      </c>
      <c r="B1763">
        <v>1022</v>
      </c>
      <c r="C1763">
        <v>2012</v>
      </c>
      <c r="D1763">
        <v>0</v>
      </c>
      <c r="E1763">
        <v>0</v>
      </c>
      <c r="F1763">
        <v>0</v>
      </c>
      <c r="G1763">
        <v>0</v>
      </c>
      <c r="H1763">
        <f>SUMIFS($F$2:F1763,$C$2:C1763,C1763)</f>
        <v>14831</v>
      </c>
      <c r="I1763" s="8">
        <f>STAMP_Escapement_Data[[#This Row],[DATE]]-DATE(STAMP_Escapement_Data[[#This Row],[YEAR]],8,1)</f>
        <v>82</v>
      </c>
    </row>
    <row r="1764" spans="1:9" x14ac:dyDescent="0.25">
      <c r="A1764" s="1">
        <v>41205</v>
      </c>
      <c r="B1764">
        <v>1023</v>
      </c>
      <c r="C1764">
        <v>2012</v>
      </c>
      <c r="D1764">
        <v>42</v>
      </c>
      <c r="E1764">
        <v>3</v>
      </c>
      <c r="F1764">
        <v>22</v>
      </c>
      <c r="G1764">
        <v>1</v>
      </c>
      <c r="H1764">
        <f>SUMIFS($F$2:F1764,$C$2:C1764,C1764)</f>
        <v>14853</v>
      </c>
      <c r="I1764" s="8">
        <f>STAMP_Escapement_Data[[#This Row],[DATE]]-DATE(STAMP_Escapement_Data[[#This Row],[YEAR]],8,1)</f>
        <v>83</v>
      </c>
    </row>
    <row r="1765" spans="1:9" x14ac:dyDescent="0.25">
      <c r="A1765" s="1">
        <v>41206</v>
      </c>
      <c r="B1765">
        <v>1024</v>
      </c>
      <c r="C1765">
        <v>2012</v>
      </c>
      <c r="D1765">
        <v>11</v>
      </c>
      <c r="E1765">
        <v>0</v>
      </c>
      <c r="F1765">
        <v>10</v>
      </c>
      <c r="G1765">
        <v>1</v>
      </c>
      <c r="H1765">
        <f>SUMIFS($F$2:F1765,$C$2:C1765,C1765)</f>
        <v>14863</v>
      </c>
      <c r="I1765" s="8">
        <f>STAMP_Escapement_Data[[#This Row],[DATE]]-DATE(STAMP_Escapement_Data[[#This Row],[YEAR]],8,1)</f>
        <v>84</v>
      </c>
    </row>
    <row r="1766" spans="1:9" x14ac:dyDescent="0.25">
      <c r="A1766" s="1">
        <v>41207</v>
      </c>
      <c r="B1766">
        <v>1025</v>
      </c>
      <c r="C1766">
        <v>2012</v>
      </c>
      <c r="D1766">
        <v>13</v>
      </c>
      <c r="E1766">
        <v>3</v>
      </c>
      <c r="F1766">
        <v>12</v>
      </c>
      <c r="G1766">
        <v>2</v>
      </c>
      <c r="H1766">
        <f>SUMIFS($F$2:F1766,$C$2:C1766,C1766)</f>
        <v>14875</v>
      </c>
      <c r="I1766" s="8">
        <f>STAMP_Escapement_Data[[#This Row],[DATE]]-DATE(STAMP_Escapement_Data[[#This Row],[YEAR]],8,1)</f>
        <v>85</v>
      </c>
    </row>
    <row r="1767" spans="1:9" x14ac:dyDescent="0.25">
      <c r="A1767" s="1">
        <v>41208</v>
      </c>
      <c r="B1767">
        <v>1026</v>
      </c>
      <c r="C1767">
        <v>2012</v>
      </c>
      <c r="D1767">
        <v>10</v>
      </c>
      <c r="E1767">
        <v>16</v>
      </c>
      <c r="F1767">
        <v>24</v>
      </c>
      <c r="G1767">
        <v>1</v>
      </c>
      <c r="H1767">
        <f>SUMIFS($F$2:F1767,$C$2:C1767,C1767)</f>
        <v>14899</v>
      </c>
      <c r="I1767" s="8">
        <f>STAMP_Escapement_Data[[#This Row],[DATE]]-DATE(STAMP_Escapement_Data[[#This Row],[YEAR]],8,1)</f>
        <v>86</v>
      </c>
    </row>
    <row r="1768" spans="1:9" x14ac:dyDescent="0.25">
      <c r="A1768" s="1">
        <v>41209</v>
      </c>
      <c r="B1768">
        <v>1027</v>
      </c>
      <c r="C1768">
        <v>2012</v>
      </c>
      <c r="D1768">
        <v>17</v>
      </c>
      <c r="E1768">
        <v>18</v>
      </c>
      <c r="F1768">
        <v>10</v>
      </c>
      <c r="G1768">
        <v>1</v>
      </c>
      <c r="H1768">
        <f>SUMIFS($F$2:F1768,$C$2:C1768,C1768)</f>
        <v>14909</v>
      </c>
      <c r="I1768" s="8">
        <f>STAMP_Escapement_Data[[#This Row],[DATE]]-DATE(STAMP_Escapement_Data[[#This Row],[YEAR]],8,1)</f>
        <v>87</v>
      </c>
    </row>
    <row r="1769" spans="1:9" x14ac:dyDescent="0.25">
      <c r="A1769" s="1">
        <v>41210</v>
      </c>
      <c r="B1769">
        <v>1028</v>
      </c>
      <c r="C1769">
        <v>2012</v>
      </c>
      <c r="D1769">
        <v>12</v>
      </c>
      <c r="E1769">
        <v>13</v>
      </c>
      <c r="F1769">
        <v>4</v>
      </c>
      <c r="G1769">
        <v>1</v>
      </c>
      <c r="H1769">
        <f>SUMIFS($F$2:F1769,$C$2:C1769,C1769)</f>
        <v>14913</v>
      </c>
      <c r="I1769" s="8">
        <f>STAMP_Escapement_Data[[#This Row],[DATE]]-DATE(STAMP_Escapement_Data[[#This Row],[YEAR]],8,1)</f>
        <v>88</v>
      </c>
    </row>
    <row r="1770" spans="1:9" x14ac:dyDescent="0.25">
      <c r="A1770" s="1">
        <v>41211</v>
      </c>
      <c r="B1770">
        <v>1029</v>
      </c>
      <c r="C1770">
        <v>2012</v>
      </c>
      <c r="D1770">
        <v>50</v>
      </c>
      <c r="E1770">
        <v>57</v>
      </c>
      <c r="F1770">
        <v>9</v>
      </c>
      <c r="G1770">
        <v>2</v>
      </c>
      <c r="H1770">
        <f>SUMIFS($F$2:F1770,$C$2:C1770,C1770)</f>
        <v>14922</v>
      </c>
      <c r="I1770" s="8">
        <f>STAMP_Escapement_Data[[#This Row],[DATE]]-DATE(STAMP_Escapement_Data[[#This Row],[YEAR]],8,1)</f>
        <v>89</v>
      </c>
    </row>
    <row r="1771" spans="1:9" x14ac:dyDescent="0.25">
      <c r="A1771" s="1">
        <v>41212</v>
      </c>
      <c r="B1771">
        <v>1030</v>
      </c>
      <c r="C1771">
        <v>2012</v>
      </c>
      <c r="D1771">
        <v>66</v>
      </c>
      <c r="E1771">
        <v>65</v>
      </c>
      <c r="F1771">
        <v>8</v>
      </c>
      <c r="G1771">
        <v>0</v>
      </c>
      <c r="H1771">
        <f>SUMIFS($F$2:F1771,$C$2:C1771,C1771)</f>
        <v>14930</v>
      </c>
      <c r="I1771" s="8">
        <f>STAMP_Escapement_Data[[#This Row],[DATE]]-DATE(STAMP_Escapement_Data[[#This Row],[YEAR]],8,1)</f>
        <v>90</v>
      </c>
    </row>
    <row r="1772" spans="1:9" x14ac:dyDescent="0.25">
      <c r="A1772" s="1">
        <v>41213</v>
      </c>
      <c r="B1772">
        <v>1031</v>
      </c>
      <c r="C1772">
        <v>2012</v>
      </c>
      <c r="D1772">
        <v>51</v>
      </c>
      <c r="E1772">
        <v>53</v>
      </c>
      <c r="F1772">
        <v>7</v>
      </c>
      <c r="G1772">
        <v>1</v>
      </c>
      <c r="H1772">
        <f>SUMIFS($F$2:F1772,$C$2:C1772,C1772)</f>
        <v>14937</v>
      </c>
      <c r="I1772" s="8">
        <f>STAMP_Escapement_Data[[#This Row],[DATE]]-DATE(STAMP_Escapement_Data[[#This Row],[YEAR]],8,1)</f>
        <v>91</v>
      </c>
    </row>
    <row r="1773" spans="1:9" x14ac:dyDescent="0.25">
      <c r="A1773" s="1">
        <v>41214</v>
      </c>
      <c r="B1773">
        <v>1101</v>
      </c>
      <c r="C1773">
        <v>2012</v>
      </c>
      <c r="D1773">
        <v>185</v>
      </c>
      <c r="E1773">
        <v>17</v>
      </c>
      <c r="F1773">
        <v>3</v>
      </c>
      <c r="G1773">
        <v>1</v>
      </c>
      <c r="H1773">
        <f>SUMIFS($F$2:F1773,$C$2:C1773,C1773)</f>
        <v>14940</v>
      </c>
      <c r="I1773" s="8">
        <f>STAMP_Escapement_Data[[#This Row],[DATE]]-DATE(STAMP_Escapement_Data[[#This Row],[YEAR]],8,1)</f>
        <v>92</v>
      </c>
    </row>
    <row r="1774" spans="1:9" x14ac:dyDescent="0.25">
      <c r="A1774" s="1">
        <v>41215</v>
      </c>
      <c r="B1774">
        <v>1102</v>
      </c>
      <c r="C1774">
        <v>2012</v>
      </c>
      <c r="D1774">
        <v>64</v>
      </c>
      <c r="E1774">
        <v>8</v>
      </c>
      <c r="F1774">
        <v>3</v>
      </c>
      <c r="G1774">
        <v>1</v>
      </c>
      <c r="H1774">
        <f>SUMIFS($F$2:F1774,$C$2:C1774,C1774)</f>
        <v>14943</v>
      </c>
      <c r="I1774" s="8">
        <f>STAMP_Escapement_Data[[#This Row],[DATE]]-DATE(STAMP_Escapement_Data[[#This Row],[YEAR]],8,1)</f>
        <v>93</v>
      </c>
    </row>
    <row r="1775" spans="1:9" x14ac:dyDescent="0.25">
      <c r="A1775" s="1">
        <v>41216</v>
      </c>
      <c r="B1775">
        <v>1103</v>
      </c>
      <c r="C1775">
        <v>2012</v>
      </c>
      <c r="D1775">
        <v>22</v>
      </c>
      <c r="E1775">
        <v>8</v>
      </c>
      <c r="F1775">
        <v>0</v>
      </c>
      <c r="G1775">
        <v>0</v>
      </c>
      <c r="H1775">
        <f>SUMIFS($F$2:F1775,$C$2:C1775,C1775)</f>
        <v>14943</v>
      </c>
      <c r="I1775" s="8">
        <f>STAMP_Escapement_Data[[#This Row],[DATE]]-DATE(STAMP_Escapement_Data[[#This Row],[YEAR]],8,1)</f>
        <v>94</v>
      </c>
    </row>
    <row r="1776" spans="1:9" x14ac:dyDescent="0.25">
      <c r="A1776" s="1">
        <v>41217</v>
      </c>
      <c r="B1776">
        <v>1104</v>
      </c>
      <c r="C1776">
        <v>2012</v>
      </c>
      <c r="D1776">
        <v>17</v>
      </c>
      <c r="E1776">
        <v>8</v>
      </c>
      <c r="F1776">
        <v>1</v>
      </c>
      <c r="G1776">
        <v>0</v>
      </c>
      <c r="H1776">
        <f>SUMIFS($F$2:F1776,$C$2:C1776,C1776)</f>
        <v>14944</v>
      </c>
      <c r="I1776" s="8">
        <f>STAMP_Escapement_Data[[#This Row],[DATE]]-DATE(STAMP_Escapement_Data[[#This Row],[YEAR]],8,1)</f>
        <v>95</v>
      </c>
    </row>
    <row r="1777" spans="1:9" x14ac:dyDescent="0.25">
      <c r="A1777" s="1">
        <v>41218</v>
      </c>
      <c r="B1777">
        <v>1105</v>
      </c>
      <c r="C1777">
        <v>2012</v>
      </c>
      <c r="D1777">
        <v>18</v>
      </c>
      <c r="E1777">
        <v>24</v>
      </c>
      <c r="F1777">
        <v>0</v>
      </c>
      <c r="G1777">
        <v>1</v>
      </c>
      <c r="H1777">
        <f>SUMIFS($F$2:F1777,$C$2:C1777,C1777)</f>
        <v>14944</v>
      </c>
      <c r="I1777" s="8">
        <f>STAMP_Escapement_Data[[#This Row],[DATE]]-DATE(STAMP_Escapement_Data[[#This Row],[YEAR]],8,1)</f>
        <v>96</v>
      </c>
    </row>
    <row r="1778" spans="1:9" x14ac:dyDescent="0.25">
      <c r="A1778" s="1">
        <v>41219</v>
      </c>
      <c r="B1778">
        <v>1106</v>
      </c>
      <c r="C1778">
        <v>2012</v>
      </c>
      <c r="D1778">
        <v>11</v>
      </c>
      <c r="E1778">
        <v>25</v>
      </c>
      <c r="F1778">
        <v>0</v>
      </c>
      <c r="G1778">
        <v>0</v>
      </c>
      <c r="H1778">
        <f>SUMIFS($F$2:F1778,$C$2:C1778,C1778)</f>
        <v>14944</v>
      </c>
      <c r="I1778" s="8">
        <f>STAMP_Escapement_Data[[#This Row],[DATE]]-DATE(STAMP_Escapement_Data[[#This Row],[YEAR]],8,1)</f>
        <v>97</v>
      </c>
    </row>
    <row r="1779" spans="1:9" x14ac:dyDescent="0.25">
      <c r="A1779" s="1">
        <v>41500</v>
      </c>
      <c r="B1779">
        <v>814</v>
      </c>
      <c r="C1779">
        <v>2013</v>
      </c>
      <c r="D1779">
        <v>477</v>
      </c>
      <c r="E1779">
        <v>3</v>
      </c>
      <c r="F1779">
        <v>51</v>
      </c>
      <c r="G1779">
        <v>0</v>
      </c>
      <c r="H1779">
        <f>SUMIFS($F$2:F1779,$C$2:C1779,C1779)</f>
        <v>51</v>
      </c>
      <c r="I1779" s="8">
        <f>STAMP_Escapement_Data[[#This Row],[DATE]]-DATE(STAMP_Escapement_Data[[#This Row],[YEAR]],8,1)</f>
        <v>13</v>
      </c>
    </row>
    <row r="1780" spans="1:9" x14ac:dyDescent="0.25">
      <c r="A1780" s="1">
        <v>41501</v>
      </c>
      <c r="B1780">
        <v>815</v>
      </c>
      <c r="C1780">
        <v>2013</v>
      </c>
      <c r="D1780">
        <v>147</v>
      </c>
      <c r="E1780">
        <v>0</v>
      </c>
      <c r="F1780">
        <v>30</v>
      </c>
      <c r="G1780">
        <v>0</v>
      </c>
      <c r="H1780">
        <f>SUMIFS($F$2:F1780,$C$2:C1780,C1780)</f>
        <v>81</v>
      </c>
      <c r="I1780" s="8">
        <f>STAMP_Escapement_Data[[#This Row],[DATE]]-DATE(STAMP_Escapement_Data[[#This Row],[YEAR]],8,1)</f>
        <v>14</v>
      </c>
    </row>
    <row r="1781" spans="1:9" x14ac:dyDescent="0.25">
      <c r="A1781" s="1">
        <v>41502</v>
      </c>
      <c r="B1781">
        <v>816</v>
      </c>
      <c r="C1781">
        <v>2013</v>
      </c>
      <c r="D1781">
        <v>78</v>
      </c>
      <c r="E1781">
        <v>0</v>
      </c>
      <c r="F1781">
        <v>48</v>
      </c>
      <c r="G1781">
        <v>0</v>
      </c>
      <c r="H1781">
        <f>SUMIFS($F$2:F1781,$C$2:C1781,C1781)</f>
        <v>129</v>
      </c>
      <c r="I1781" s="8">
        <f>STAMP_Escapement_Data[[#This Row],[DATE]]-DATE(STAMP_Escapement_Data[[#This Row],[YEAR]],8,1)</f>
        <v>15</v>
      </c>
    </row>
    <row r="1782" spans="1:9" x14ac:dyDescent="0.25">
      <c r="A1782" s="1">
        <v>41503</v>
      </c>
      <c r="B1782">
        <v>817</v>
      </c>
      <c r="C1782">
        <v>2013</v>
      </c>
      <c r="D1782">
        <v>249</v>
      </c>
      <c r="E1782">
        <v>0</v>
      </c>
      <c r="F1782">
        <v>9</v>
      </c>
      <c r="G1782">
        <v>0</v>
      </c>
      <c r="H1782">
        <f>SUMIFS($F$2:F1782,$C$2:C1782,C1782)</f>
        <v>138</v>
      </c>
      <c r="I1782" s="8">
        <f>STAMP_Escapement_Data[[#This Row],[DATE]]-DATE(STAMP_Escapement_Data[[#This Row],[YEAR]],8,1)</f>
        <v>16</v>
      </c>
    </row>
    <row r="1783" spans="1:9" x14ac:dyDescent="0.25">
      <c r="A1783" s="1">
        <v>41504</v>
      </c>
      <c r="B1783">
        <v>818</v>
      </c>
      <c r="C1783">
        <v>2013</v>
      </c>
      <c r="D1783">
        <v>291</v>
      </c>
      <c r="E1783">
        <v>0</v>
      </c>
      <c r="F1783">
        <v>24</v>
      </c>
      <c r="G1783">
        <v>0</v>
      </c>
      <c r="H1783">
        <f>SUMIFS($F$2:F1783,$C$2:C1783,C1783)</f>
        <v>162</v>
      </c>
      <c r="I1783" s="8">
        <f>STAMP_Escapement_Data[[#This Row],[DATE]]-DATE(STAMP_Escapement_Data[[#This Row],[YEAR]],8,1)</f>
        <v>17</v>
      </c>
    </row>
    <row r="1784" spans="1:9" x14ac:dyDescent="0.25">
      <c r="A1784" s="1">
        <v>41505</v>
      </c>
      <c r="B1784">
        <v>819</v>
      </c>
      <c r="C1784">
        <v>2013</v>
      </c>
      <c r="D1784">
        <v>567</v>
      </c>
      <c r="E1784">
        <v>3</v>
      </c>
      <c r="F1784">
        <v>9</v>
      </c>
      <c r="G1784">
        <v>0</v>
      </c>
      <c r="H1784">
        <f>SUMIFS($F$2:F1784,$C$2:C1784,C1784)</f>
        <v>171</v>
      </c>
      <c r="I1784" s="8">
        <f>STAMP_Escapement_Data[[#This Row],[DATE]]-DATE(STAMP_Escapement_Data[[#This Row],[YEAR]],8,1)</f>
        <v>18</v>
      </c>
    </row>
    <row r="1785" spans="1:9" x14ac:dyDescent="0.25">
      <c r="A1785" s="1">
        <v>41506</v>
      </c>
      <c r="B1785">
        <v>820</v>
      </c>
      <c r="C1785">
        <v>2013</v>
      </c>
      <c r="D1785">
        <v>372</v>
      </c>
      <c r="E1785">
        <v>0</v>
      </c>
      <c r="F1785">
        <v>9</v>
      </c>
      <c r="G1785">
        <v>0</v>
      </c>
      <c r="H1785">
        <f>SUMIFS($F$2:F1785,$C$2:C1785,C1785)</f>
        <v>180</v>
      </c>
      <c r="I1785" s="8">
        <f>STAMP_Escapement_Data[[#This Row],[DATE]]-DATE(STAMP_Escapement_Data[[#This Row],[YEAR]],8,1)</f>
        <v>19</v>
      </c>
    </row>
    <row r="1786" spans="1:9" x14ac:dyDescent="0.25">
      <c r="A1786" s="1">
        <v>41507</v>
      </c>
      <c r="B1786">
        <v>821</v>
      </c>
      <c r="C1786">
        <v>2013</v>
      </c>
      <c r="D1786">
        <v>441</v>
      </c>
      <c r="E1786">
        <v>9</v>
      </c>
      <c r="F1786">
        <v>48</v>
      </c>
      <c r="G1786">
        <v>3</v>
      </c>
      <c r="H1786">
        <f>SUMIFS($F$2:F1786,$C$2:C1786,C1786)</f>
        <v>228</v>
      </c>
      <c r="I1786" s="8">
        <f>STAMP_Escapement_Data[[#This Row],[DATE]]-DATE(STAMP_Escapement_Data[[#This Row],[YEAR]],8,1)</f>
        <v>20</v>
      </c>
    </row>
    <row r="1787" spans="1:9" x14ac:dyDescent="0.25">
      <c r="A1787" s="1">
        <v>41508</v>
      </c>
      <c r="B1787">
        <v>822</v>
      </c>
      <c r="C1787">
        <v>2013</v>
      </c>
      <c r="D1787">
        <v>300</v>
      </c>
      <c r="E1787">
        <v>12</v>
      </c>
      <c r="F1787">
        <v>132</v>
      </c>
      <c r="G1787">
        <v>0</v>
      </c>
      <c r="H1787">
        <f>SUMIFS($F$2:F1787,$C$2:C1787,C1787)</f>
        <v>360</v>
      </c>
      <c r="I1787" s="8">
        <f>STAMP_Escapement_Data[[#This Row],[DATE]]-DATE(STAMP_Escapement_Data[[#This Row],[YEAR]],8,1)</f>
        <v>21</v>
      </c>
    </row>
    <row r="1788" spans="1:9" x14ac:dyDescent="0.25">
      <c r="A1788" s="1">
        <v>41509</v>
      </c>
      <c r="B1788">
        <v>823</v>
      </c>
      <c r="C1788">
        <v>2013</v>
      </c>
      <c r="D1788">
        <v>126</v>
      </c>
      <c r="E1788">
        <v>0</v>
      </c>
      <c r="F1788">
        <v>171</v>
      </c>
      <c r="G1788">
        <v>0</v>
      </c>
      <c r="H1788">
        <f>SUMIFS($F$2:F1788,$C$2:C1788,C1788)</f>
        <v>531</v>
      </c>
      <c r="I1788" s="8">
        <f>STAMP_Escapement_Data[[#This Row],[DATE]]-DATE(STAMP_Escapement_Data[[#This Row],[YEAR]],8,1)</f>
        <v>22</v>
      </c>
    </row>
    <row r="1789" spans="1:9" x14ac:dyDescent="0.25">
      <c r="A1789" s="1">
        <v>41510</v>
      </c>
      <c r="B1789">
        <v>824</v>
      </c>
      <c r="C1789">
        <v>2013</v>
      </c>
      <c r="D1789">
        <v>258</v>
      </c>
      <c r="E1789">
        <v>48</v>
      </c>
      <c r="F1789">
        <v>81</v>
      </c>
      <c r="G1789">
        <v>0</v>
      </c>
      <c r="H1789">
        <f>SUMIFS($F$2:F1789,$C$2:C1789,C1789)</f>
        <v>612</v>
      </c>
      <c r="I1789" s="8">
        <f>STAMP_Escapement_Data[[#This Row],[DATE]]-DATE(STAMP_Escapement_Data[[#This Row],[YEAR]],8,1)</f>
        <v>23</v>
      </c>
    </row>
    <row r="1790" spans="1:9" x14ac:dyDescent="0.25">
      <c r="A1790" s="1">
        <v>41511</v>
      </c>
      <c r="B1790">
        <v>825</v>
      </c>
      <c r="C1790">
        <v>2013</v>
      </c>
      <c r="D1790">
        <v>312</v>
      </c>
      <c r="E1790">
        <v>0</v>
      </c>
      <c r="F1790">
        <v>87</v>
      </c>
      <c r="G1790">
        <v>0</v>
      </c>
      <c r="H1790">
        <f>SUMIFS($F$2:F1790,$C$2:C1790,C1790)</f>
        <v>699</v>
      </c>
      <c r="I1790" s="8">
        <f>STAMP_Escapement_Data[[#This Row],[DATE]]-DATE(STAMP_Escapement_Data[[#This Row],[YEAR]],8,1)</f>
        <v>24</v>
      </c>
    </row>
    <row r="1791" spans="1:9" x14ac:dyDescent="0.25">
      <c r="A1791" s="1">
        <v>41512</v>
      </c>
      <c r="B1791">
        <v>826</v>
      </c>
      <c r="C1791">
        <v>2013</v>
      </c>
      <c r="D1791">
        <v>600</v>
      </c>
      <c r="E1791">
        <v>12</v>
      </c>
      <c r="F1791">
        <v>168</v>
      </c>
      <c r="G1791">
        <v>0</v>
      </c>
      <c r="H1791">
        <f>SUMIFS($F$2:F1791,$C$2:C1791,C1791)</f>
        <v>867</v>
      </c>
      <c r="I1791" s="8">
        <f>STAMP_Escapement_Data[[#This Row],[DATE]]-DATE(STAMP_Escapement_Data[[#This Row],[YEAR]],8,1)</f>
        <v>25</v>
      </c>
    </row>
    <row r="1792" spans="1:9" x14ac:dyDescent="0.25">
      <c r="A1792" s="1">
        <v>41513</v>
      </c>
      <c r="B1792">
        <v>827</v>
      </c>
      <c r="C1792">
        <v>2013</v>
      </c>
      <c r="D1792">
        <v>957</v>
      </c>
      <c r="E1792">
        <v>12</v>
      </c>
      <c r="F1792">
        <v>216</v>
      </c>
      <c r="G1792">
        <v>6</v>
      </c>
      <c r="H1792">
        <f>SUMIFS($F$2:F1792,$C$2:C1792,C1792)</f>
        <v>1083</v>
      </c>
      <c r="I1792" s="8">
        <f>STAMP_Escapement_Data[[#This Row],[DATE]]-DATE(STAMP_Escapement_Data[[#This Row],[YEAR]],8,1)</f>
        <v>26</v>
      </c>
    </row>
    <row r="1793" spans="1:9" x14ac:dyDescent="0.25">
      <c r="A1793" s="1">
        <v>41514</v>
      </c>
      <c r="B1793">
        <v>828</v>
      </c>
      <c r="C1793">
        <v>2013</v>
      </c>
      <c r="D1793">
        <v>522</v>
      </c>
      <c r="E1793">
        <v>15</v>
      </c>
      <c r="F1793">
        <v>60</v>
      </c>
      <c r="G1793">
        <v>3</v>
      </c>
      <c r="H1793">
        <f>SUMIFS($F$2:F1793,$C$2:C1793,C1793)</f>
        <v>1143</v>
      </c>
      <c r="I1793" s="8">
        <f>STAMP_Escapement_Data[[#This Row],[DATE]]-DATE(STAMP_Escapement_Data[[#This Row],[YEAR]],8,1)</f>
        <v>27</v>
      </c>
    </row>
    <row r="1794" spans="1:9" x14ac:dyDescent="0.25">
      <c r="A1794" s="1">
        <v>41515</v>
      </c>
      <c r="B1794">
        <v>829</v>
      </c>
      <c r="C1794">
        <v>2013</v>
      </c>
      <c r="D1794">
        <v>885</v>
      </c>
      <c r="E1794">
        <v>9</v>
      </c>
      <c r="F1794">
        <v>171</v>
      </c>
      <c r="G1794">
        <v>12</v>
      </c>
      <c r="H1794">
        <f>SUMIFS($F$2:F1794,$C$2:C1794,C1794)</f>
        <v>1314</v>
      </c>
      <c r="I1794" s="8">
        <f>STAMP_Escapement_Data[[#This Row],[DATE]]-DATE(STAMP_Escapement_Data[[#This Row],[YEAR]],8,1)</f>
        <v>28</v>
      </c>
    </row>
    <row r="1795" spans="1:9" x14ac:dyDescent="0.25">
      <c r="A1795" s="1">
        <v>41516</v>
      </c>
      <c r="B1795">
        <v>830</v>
      </c>
      <c r="C1795">
        <v>2013</v>
      </c>
      <c r="D1795">
        <v>1557</v>
      </c>
      <c r="E1795">
        <v>32</v>
      </c>
      <c r="F1795">
        <v>363</v>
      </c>
      <c r="G1795">
        <v>15</v>
      </c>
      <c r="H1795">
        <f>SUMIFS($F$2:F1795,$C$2:C1795,C1795)</f>
        <v>1677</v>
      </c>
      <c r="I1795" s="8">
        <f>STAMP_Escapement_Data[[#This Row],[DATE]]-DATE(STAMP_Escapement_Data[[#This Row],[YEAR]],8,1)</f>
        <v>29</v>
      </c>
    </row>
    <row r="1796" spans="1:9" x14ac:dyDescent="0.25">
      <c r="A1796" s="1">
        <v>41517</v>
      </c>
      <c r="B1796">
        <v>831</v>
      </c>
      <c r="C1796">
        <v>2013</v>
      </c>
      <c r="D1796">
        <v>1389</v>
      </c>
      <c r="E1796">
        <v>60</v>
      </c>
      <c r="F1796">
        <v>321</v>
      </c>
      <c r="G1796">
        <v>6</v>
      </c>
      <c r="H1796">
        <f>SUMIFS($F$2:F1796,$C$2:C1796,C1796)</f>
        <v>1998</v>
      </c>
      <c r="I1796" s="8">
        <f>STAMP_Escapement_Data[[#This Row],[DATE]]-DATE(STAMP_Escapement_Data[[#This Row],[YEAR]],8,1)</f>
        <v>30</v>
      </c>
    </row>
    <row r="1797" spans="1:9" x14ac:dyDescent="0.25">
      <c r="A1797" s="1">
        <v>41518</v>
      </c>
      <c r="B1797">
        <v>901</v>
      </c>
      <c r="C1797">
        <v>2013</v>
      </c>
      <c r="D1797">
        <v>1329</v>
      </c>
      <c r="E1797">
        <v>33</v>
      </c>
      <c r="F1797">
        <v>432</v>
      </c>
      <c r="G1797">
        <v>3</v>
      </c>
      <c r="H1797">
        <f>SUMIFS($F$2:F1797,$C$2:C1797,C1797)</f>
        <v>2430</v>
      </c>
      <c r="I1797" s="8">
        <f>STAMP_Escapement_Data[[#This Row],[DATE]]-DATE(STAMP_Escapement_Data[[#This Row],[YEAR]],8,1)</f>
        <v>31</v>
      </c>
    </row>
    <row r="1798" spans="1:9" x14ac:dyDescent="0.25">
      <c r="A1798" s="1">
        <v>41519</v>
      </c>
      <c r="B1798">
        <v>902</v>
      </c>
      <c r="C1798">
        <v>2013</v>
      </c>
      <c r="D1798">
        <v>1434</v>
      </c>
      <c r="E1798">
        <v>81</v>
      </c>
      <c r="F1798">
        <v>255</v>
      </c>
      <c r="G1798">
        <v>15</v>
      </c>
      <c r="H1798">
        <f>SUMIFS($F$2:F1798,$C$2:C1798,C1798)</f>
        <v>2685</v>
      </c>
      <c r="I1798" s="8">
        <f>STAMP_Escapement_Data[[#This Row],[DATE]]-DATE(STAMP_Escapement_Data[[#This Row],[YEAR]],8,1)</f>
        <v>32</v>
      </c>
    </row>
    <row r="1799" spans="1:9" x14ac:dyDescent="0.25">
      <c r="A1799" s="1">
        <v>41520</v>
      </c>
      <c r="B1799">
        <v>903</v>
      </c>
      <c r="C1799">
        <v>2013</v>
      </c>
      <c r="D1799">
        <v>1422</v>
      </c>
      <c r="E1799">
        <v>123</v>
      </c>
      <c r="F1799">
        <v>291</v>
      </c>
      <c r="G1799">
        <v>6</v>
      </c>
      <c r="H1799">
        <f>SUMIFS($F$2:F1799,$C$2:C1799,C1799)</f>
        <v>2976</v>
      </c>
      <c r="I1799" s="8">
        <f>STAMP_Escapement_Data[[#This Row],[DATE]]-DATE(STAMP_Escapement_Data[[#This Row],[YEAR]],8,1)</f>
        <v>33</v>
      </c>
    </row>
    <row r="1800" spans="1:9" x14ac:dyDescent="0.25">
      <c r="A1800" s="1">
        <v>41521</v>
      </c>
      <c r="B1800">
        <v>904</v>
      </c>
      <c r="C1800">
        <v>2013</v>
      </c>
      <c r="D1800">
        <v>1524</v>
      </c>
      <c r="E1800">
        <v>81</v>
      </c>
      <c r="F1800">
        <v>387</v>
      </c>
      <c r="G1800">
        <v>27</v>
      </c>
      <c r="H1800">
        <f>SUMIFS($F$2:F1800,$C$2:C1800,C1800)</f>
        <v>3363</v>
      </c>
      <c r="I1800" s="8">
        <f>STAMP_Escapement_Data[[#This Row],[DATE]]-DATE(STAMP_Escapement_Data[[#This Row],[YEAR]],8,1)</f>
        <v>34</v>
      </c>
    </row>
    <row r="1801" spans="1:9" x14ac:dyDescent="0.25">
      <c r="A1801" s="1">
        <v>41522</v>
      </c>
      <c r="B1801">
        <v>905</v>
      </c>
      <c r="C1801">
        <v>2013</v>
      </c>
      <c r="D1801">
        <v>1023</v>
      </c>
      <c r="E1801">
        <v>69</v>
      </c>
      <c r="F1801">
        <v>309</v>
      </c>
      <c r="G1801">
        <v>21</v>
      </c>
      <c r="H1801">
        <f>SUMIFS($F$2:F1801,$C$2:C1801,C1801)</f>
        <v>3672</v>
      </c>
      <c r="I1801" s="8">
        <f>STAMP_Escapement_Data[[#This Row],[DATE]]-DATE(STAMP_Escapement_Data[[#This Row],[YEAR]],8,1)</f>
        <v>35</v>
      </c>
    </row>
    <row r="1802" spans="1:9" x14ac:dyDescent="0.25">
      <c r="A1802" s="1">
        <v>41523</v>
      </c>
      <c r="B1802">
        <v>906</v>
      </c>
      <c r="C1802">
        <v>2013</v>
      </c>
      <c r="D1802">
        <v>1644</v>
      </c>
      <c r="E1802">
        <v>99</v>
      </c>
      <c r="F1802">
        <v>510</v>
      </c>
      <c r="G1802">
        <v>15</v>
      </c>
      <c r="H1802">
        <f>SUMIFS($F$2:F1802,$C$2:C1802,C1802)</f>
        <v>4182</v>
      </c>
      <c r="I1802" s="8">
        <f>STAMP_Escapement_Data[[#This Row],[DATE]]-DATE(STAMP_Escapement_Data[[#This Row],[YEAR]],8,1)</f>
        <v>36</v>
      </c>
    </row>
    <row r="1803" spans="1:9" x14ac:dyDescent="0.25">
      <c r="A1803" s="1">
        <v>41524</v>
      </c>
      <c r="B1803">
        <v>907</v>
      </c>
      <c r="C1803">
        <v>2013</v>
      </c>
      <c r="D1803">
        <v>1989</v>
      </c>
      <c r="E1803">
        <v>180</v>
      </c>
      <c r="F1803">
        <v>378</v>
      </c>
      <c r="G1803">
        <v>30</v>
      </c>
      <c r="H1803">
        <f>SUMIFS($F$2:F1803,$C$2:C1803,C1803)</f>
        <v>4560</v>
      </c>
      <c r="I1803" s="8">
        <f>STAMP_Escapement_Data[[#This Row],[DATE]]-DATE(STAMP_Escapement_Data[[#This Row],[YEAR]],8,1)</f>
        <v>37</v>
      </c>
    </row>
    <row r="1804" spans="1:9" x14ac:dyDescent="0.25">
      <c r="A1804" s="1">
        <v>41525</v>
      </c>
      <c r="B1804">
        <v>908</v>
      </c>
      <c r="C1804">
        <v>2013</v>
      </c>
      <c r="D1804">
        <v>2058</v>
      </c>
      <c r="E1804">
        <v>210</v>
      </c>
      <c r="F1804">
        <v>429</v>
      </c>
      <c r="G1804">
        <v>18</v>
      </c>
      <c r="H1804">
        <f>SUMIFS($F$2:F1804,$C$2:C1804,C1804)</f>
        <v>4989</v>
      </c>
      <c r="I1804" s="8">
        <f>STAMP_Escapement_Data[[#This Row],[DATE]]-DATE(STAMP_Escapement_Data[[#This Row],[YEAR]],8,1)</f>
        <v>38</v>
      </c>
    </row>
    <row r="1805" spans="1:9" x14ac:dyDescent="0.25">
      <c r="A1805" s="1">
        <v>41526</v>
      </c>
      <c r="B1805">
        <v>909</v>
      </c>
      <c r="C1805">
        <v>2013</v>
      </c>
      <c r="D1805">
        <v>1368</v>
      </c>
      <c r="E1805">
        <v>114</v>
      </c>
      <c r="F1805">
        <v>687</v>
      </c>
      <c r="G1805">
        <v>21</v>
      </c>
      <c r="H1805">
        <f>SUMIFS($F$2:F1805,$C$2:C1805,C1805)</f>
        <v>5676</v>
      </c>
      <c r="I1805" s="8">
        <f>STAMP_Escapement_Data[[#This Row],[DATE]]-DATE(STAMP_Escapement_Data[[#This Row],[YEAR]],8,1)</f>
        <v>39</v>
      </c>
    </row>
    <row r="1806" spans="1:9" x14ac:dyDescent="0.25">
      <c r="A1806" s="1">
        <v>41527</v>
      </c>
      <c r="B1806">
        <v>910</v>
      </c>
      <c r="C1806">
        <v>2013</v>
      </c>
      <c r="D1806">
        <v>1027</v>
      </c>
      <c r="E1806">
        <v>96</v>
      </c>
      <c r="F1806">
        <v>465</v>
      </c>
      <c r="G1806">
        <v>23</v>
      </c>
      <c r="H1806">
        <f>SUMIFS($F$2:F1806,$C$2:C1806,C1806)</f>
        <v>6141</v>
      </c>
      <c r="I1806" s="8">
        <f>STAMP_Escapement_Data[[#This Row],[DATE]]-DATE(STAMP_Escapement_Data[[#This Row],[YEAR]],8,1)</f>
        <v>40</v>
      </c>
    </row>
    <row r="1807" spans="1:9" x14ac:dyDescent="0.25">
      <c r="A1807" s="1">
        <v>41528</v>
      </c>
      <c r="B1807">
        <v>911</v>
      </c>
      <c r="C1807">
        <v>2013</v>
      </c>
      <c r="D1807">
        <v>1084</v>
      </c>
      <c r="E1807">
        <v>148</v>
      </c>
      <c r="F1807">
        <v>648</v>
      </c>
      <c r="G1807">
        <v>18</v>
      </c>
      <c r="H1807">
        <f>SUMIFS($F$2:F1807,$C$2:C1807,C1807)</f>
        <v>6789</v>
      </c>
      <c r="I1807" s="8">
        <f>STAMP_Escapement_Data[[#This Row],[DATE]]-DATE(STAMP_Escapement_Data[[#This Row],[YEAR]],8,1)</f>
        <v>41</v>
      </c>
    </row>
    <row r="1808" spans="1:9" x14ac:dyDescent="0.25">
      <c r="A1808" s="1">
        <v>41529</v>
      </c>
      <c r="B1808">
        <v>912</v>
      </c>
      <c r="C1808">
        <v>2013</v>
      </c>
      <c r="D1808">
        <v>912</v>
      </c>
      <c r="E1808">
        <v>113</v>
      </c>
      <c r="F1808">
        <v>711</v>
      </c>
      <c r="G1808">
        <v>13</v>
      </c>
      <c r="H1808">
        <f>SUMIFS($F$2:F1808,$C$2:C1808,C1808)</f>
        <v>7500</v>
      </c>
      <c r="I1808" s="8">
        <f>STAMP_Escapement_Data[[#This Row],[DATE]]-DATE(STAMP_Escapement_Data[[#This Row],[YEAR]],8,1)</f>
        <v>42</v>
      </c>
    </row>
    <row r="1809" spans="1:9" x14ac:dyDescent="0.25">
      <c r="A1809" s="1">
        <v>41530</v>
      </c>
      <c r="B1809">
        <v>913</v>
      </c>
      <c r="C1809">
        <v>2013</v>
      </c>
      <c r="D1809">
        <v>792</v>
      </c>
      <c r="E1809">
        <v>130</v>
      </c>
      <c r="F1809">
        <v>821</v>
      </c>
      <c r="G1809">
        <v>28</v>
      </c>
      <c r="H1809">
        <f>SUMIFS($F$2:F1809,$C$2:C1809,C1809)</f>
        <v>8321</v>
      </c>
      <c r="I1809" s="8">
        <f>STAMP_Escapement_Data[[#This Row],[DATE]]-DATE(STAMP_Escapement_Data[[#This Row],[YEAR]],8,1)</f>
        <v>43</v>
      </c>
    </row>
    <row r="1810" spans="1:9" x14ac:dyDescent="0.25">
      <c r="A1810" s="1">
        <v>41531</v>
      </c>
      <c r="B1810">
        <v>914</v>
      </c>
      <c r="C1810">
        <v>2013</v>
      </c>
      <c r="D1810">
        <v>1125</v>
      </c>
      <c r="E1810">
        <v>126</v>
      </c>
      <c r="F1810">
        <v>517</v>
      </c>
      <c r="G1810">
        <v>17</v>
      </c>
      <c r="H1810">
        <f>SUMIFS($F$2:F1810,$C$2:C1810,C1810)</f>
        <v>8838</v>
      </c>
      <c r="I1810" s="8">
        <f>STAMP_Escapement_Data[[#This Row],[DATE]]-DATE(STAMP_Escapement_Data[[#This Row],[YEAR]],8,1)</f>
        <v>44</v>
      </c>
    </row>
    <row r="1811" spans="1:9" x14ac:dyDescent="0.25">
      <c r="A1811" s="1">
        <v>41532</v>
      </c>
      <c r="B1811">
        <v>915</v>
      </c>
      <c r="C1811">
        <v>2013</v>
      </c>
      <c r="D1811">
        <v>1069</v>
      </c>
      <c r="E1811">
        <v>132</v>
      </c>
      <c r="F1811">
        <v>502</v>
      </c>
      <c r="G1811">
        <v>21</v>
      </c>
      <c r="H1811">
        <f>SUMIFS($F$2:F1811,$C$2:C1811,C1811)</f>
        <v>9340</v>
      </c>
      <c r="I1811" s="8">
        <f>STAMP_Escapement_Data[[#This Row],[DATE]]-DATE(STAMP_Escapement_Data[[#This Row],[YEAR]],8,1)</f>
        <v>45</v>
      </c>
    </row>
    <row r="1812" spans="1:9" x14ac:dyDescent="0.25">
      <c r="A1812" s="1">
        <v>41533</v>
      </c>
      <c r="B1812">
        <v>916</v>
      </c>
      <c r="C1812">
        <v>2013</v>
      </c>
      <c r="D1812">
        <v>2055</v>
      </c>
      <c r="E1812">
        <v>114</v>
      </c>
      <c r="F1812">
        <v>504</v>
      </c>
      <c r="G1812">
        <v>12</v>
      </c>
      <c r="H1812">
        <f>SUMIFS($F$2:F1812,$C$2:C1812,C1812)</f>
        <v>9844</v>
      </c>
      <c r="I1812" s="8">
        <f>STAMP_Escapement_Data[[#This Row],[DATE]]-DATE(STAMP_Escapement_Data[[#This Row],[YEAR]],8,1)</f>
        <v>46</v>
      </c>
    </row>
    <row r="1813" spans="1:9" x14ac:dyDescent="0.25">
      <c r="A1813" s="1">
        <v>41534</v>
      </c>
      <c r="B1813">
        <v>917</v>
      </c>
      <c r="C1813">
        <v>2013</v>
      </c>
      <c r="D1813">
        <v>2177</v>
      </c>
      <c r="E1813">
        <v>66</v>
      </c>
      <c r="F1813">
        <v>638</v>
      </c>
      <c r="G1813">
        <v>13</v>
      </c>
      <c r="H1813">
        <f>SUMIFS($F$2:F1813,$C$2:C1813,C1813)</f>
        <v>10482</v>
      </c>
      <c r="I1813" s="8">
        <f>STAMP_Escapement_Data[[#This Row],[DATE]]-DATE(STAMP_Escapement_Data[[#This Row],[YEAR]],8,1)</f>
        <v>47</v>
      </c>
    </row>
    <row r="1814" spans="1:9" x14ac:dyDescent="0.25">
      <c r="A1814" s="1">
        <v>41535</v>
      </c>
      <c r="B1814">
        <v>918</v>
      </c>
      <c r="C1814">
        <v>2013</v>
      </c>
      <c r="D1814">
        <v>1477</v>
      </c>
      <c r="E1814">
        <v>113</v>
      </c>
      <c r="F1814">
        <v>361</v>
      </c>
      <c r="G1814">
        <v>7</v>
      </c>
      <c r="H1814">
        <f>SUMIFS($F$2:F1814,$C$2:C1814,C1814)</f>
        <v>10843</v>
      </c>
      <c r="I1814" s="8">
        <f>STAMP_Escapement_Data[[#This Row],[DATE]]-DATE(STAMP_Escapement_Data[[#This Row],[YEAR]],8,1)</f>
        <v>48</v>
      </c>
    </row>
    <row r="1815" spans="1:9" x14ac:dyDescent="0.25">
      <c r="A1815" s="1">
        <v>41536</v>
      </c>
      <c r="B1815">
        <v>919</v>
      </c>
      <c r="C1815">
        <v>2013</v>
      </c>
      <c r="D1815">
        <v>2110</v>
      </c>
      <c r="E1815">
        <v>148</v>
      </c>
      <c r="F1815">
        <v>637</v>
      </c>
      <c r="G1815">
        <v>13</v>
      </c>
      <c r="H1815">
        <f>SUMIFS($F$2:F1815,$C$2:C1815,C1815)</f>
        <v>11480</v>
      </c>
      <c r="I1815" s="8">
        <f>STAMP_Escapement_Data[[#This Row],[DATE]]-DATE(STAMP_Escapement_Data[[#This Row],[YEAR]],8,1)</f>
        <v>49</v>
      </c>
    </row>
    <row r="1816" spans="1:9" x14ac:dyDescent="0.25">
      <c r="A1816" s="1">
        <v>41537</v>
      </c>
      <c r="B1816">
        <v>920</v>
      </c>
      <c r="C1816">
        <v>2013</v>
      </c>
      <c r="D1816">
        <v>1418</v>
      </c>
      <c r="E1816">
        <v>137</v>
      </c>
      <c r="F1816">
        <v>680</v>
      </c>
      <c r="G1816">
        <v>13</v>
      </c>
      <c r="H1816">
        <f>SUMIFS($F$2:F1816,$C$2:C1816,C1816)</f>
        <v>12160</v>
      </c>
      <c r="I1816" s="8">
        <f>STAMP_Escapement_Data[[#This Row],[DATE]]-DATE(STAMP_Escapement_Data[[#This Row],[YEAR]],8,1)</f>
        <v>50</v>
      </c>
    </row>
    <row r="1817" spans="1:9" x14ac:dyDescent="0.25">
      <c r="A1817" s="1">
        <v>41538</v>
      </c>
      <c r="B1817">
        <v>921</v>
      </c>
      <c r="C1817">
        <v>2013</v>
      </c>
      <c r="D1817">
        <v>2257</v>
      </c>
      <c r="E1817">
        <v>200</v>
      </c>
      <c r="F1817">
        <v>706</v>
      </c>
      <c r="G1817">
        <v>22</v>
      </c>
      <c r="H1817">
        <f>SUMIFS($F$2:F1817,$C$2:C1817,C1817)</f>
        <v>12866</v>
      </c>
      <c r="I1817" s="8">
        <f>STAMP_Escapement_Data[[#This Row],[DATE]]-DATE(STAMP_Escapement_Data[[#This Row],[YEAR]],8,1)</f>
        <v>51</v>
      </c>
    </row>
    <row r="1818" spans="1:9" x14ac:dyDescent="0.25">
      <c r="A1818" s="1">
        <v>41539</v>
      </c>
      <c r="B1818">
        <v>922</v>
      </c>
      <c r="C1818">
        <v>2013</v>
      </c>
      <c r="D1818">
        <v>1161</v>
      </c>
      <c r="E1818">
        <v>113</v>
      </c>
      <c r="F1818">
        <v>988</v>
      </c>
      <c r="G1818">
        <v>28</v>
      </c>
      <c r="H1818">
        <f>SUMIFS($F$2:F1818,$C$2:C1818,C1818)</f>
        <v>13854</v>
      </c>
      <c r="I1818" s="8">
        <f>STAMP_Escapement_Data[[#This Row],[DATE]]-DATE(STAMP_Escapement_Data[[#This Row],[YEAR]],8,1)</f>
        <v>52</v>
      </c>
    </row>
    <row r="1819" spans="1:9" x14ac:dyDescent="0.25">
      <c r="A1819" s="1">
        <v>41540</v>
      </c>
      <c r="B1819">
        <v>923</v>
      </c>
      <c r="C1819">
        <v>2013</v>
      </c>
      <c r="D1819">
        <v>1290</v>
      </c>
      <c r="E1819">
        <v>97</v>
      </c>
      <c r="F1819">
        <v>720</v>
      </c>
      <c r="G1819">
        <v>10</v>
      </c>
      <c r="H1819">
        <f>SUMIFS($F$2:F1819,$C$2:C1819,C1819)</f>
        <v>14574</v>
      </c>
      <c r="I1819" s="8">
        <f>STAMP_Escapement_Data[[#This Row],[DATE]]-DATE(STAMP_Escapement_Data[[#This Row],[YEAR]],8,1)</f>
        <v>53</v>
      </c>
    </row>
    <row r="1820" spans="1:9" x14ac:dyDescent="0.25">
      <c r="A1820" s="1">
        <v>41541</v>
      </c>
      <c r="B1820">
        <v>924</v>
      </c>
      <c r="C1820">
        <v>2013</v>
      </c>
      <c r="D1820">
        <v>607</v>
      </c>
      <c r="E1820">
        <v>92</v>
      </c>
      <c r="F1820">
        <v>973</v>
      </c>
      <c r="G1820">
        <v>29</v>
      </c>
      <c r="H1820">
        <f>SUMIFS($F$2:F1820,$C$2:C1820,C1820)</f>
        <v>15547</v>
      </c>
      <c r="I1820" s="8">
        <f>STAMP_Escapement_Data[[#This Row],[DATE]]-DATE(STAMP_Escapement_Data[[#This Row],[YEAR]],8,1)</f>
        <v>54</v>
      </c>
    </row>
    <row r="1821" spans="1:9" x14ac:dyDescent="0.25">
      <c r="A1821" s="1">
        <v>41542</v>
      </c>
      <c r="B1821">
        <v>925</v>
      </c>
      <c r="C1821">
        <v>2013</v>
      </c>
      <c r="D1821">
        <v>661</v>
      </c>
      <c r="E1821">
        <v>84</v>
      </c>
      <c r="F1821">
        <v>1090</v>
      </c>
      <c r="G1821">
        <v>17</v>
      </c>
      <c r="H1821">
        <f>SUMIFS($F$2:F1821,$C$2:C1821,C1821)</f>
        <v>16637</v>
      </c>
      <c r="I1821" s="8">
        <f>STAMP_Escapement_Data[[#This Row],[DATE]]-DATE(STAMP_Escapement_Data[[#This Row],[YEAR]],8,1)</f>
        <v>55</v>
      </c>
    </row>
    <row r="1822" spans="1:9" x14ac:dyDescent="0.25">
      <c r="A1822" s="1">
        <v>41543</v>
      </c>
      <c r="B1822">
        <v>926</v>
      </c>
      <c r="C1822">
        <v>2013</v>
      </c>
      <c r="D1822">
        <v>576</v>
      </c>
      <c r="E1822">
        <v>62</v>
      </c>
      <c r="F1822">
        <v>1023</v>
      </c>
      <c r="G1822">
        <v>26</v>
      </c>
      <c r="H1822">
        <f>SUMIFS($F$2:F1822,$C$2:C1822,C1822)</f>
        <v>17660</v>
      </c>
      <c r="I1822" s="8">
        <f>STAMP_Escapement_Data[[#This Row],[DATE]]-DATE(STAMP_Escapement_Data[[#This Row],[YEAR]],8,1)</f>
        <v>56</v>
      </c>
    </row>
    <row r="1823" spans="1:9" x14ac:dyDescent="0.25">
      <c r="A1823" s="1">
        <v>41544</v>
      </c>
      <c r="B1823">
        <v>927</v>
      </c>
      <c r="C1823">
        <v>2013</v>
      </c>
      <c r="D1823">
        <v>577</v>
      </c>
      <c r="E1823">
        <v>55</v>
      </c>
      <c r="F1823">
        <v>852</v>
      </c>
      <c r="G1823">
        <v>21</v>
      </c>
      <c r="H1823">
        <f>SUMIFS($F$2:F1823,$C$2:C1823,C1823)</f>
        <v>18512</v>
      </c>
      <c r="I1823" s="8">
        <f>STAMP_Escapement_Data[[#This Row],[DATE]]-DATE(STAMP_Escapement_Data[[#This Row],[YEAR]],8,1)</f>
        <v>57</v>
      </c>
    </row>
    <row r="1824" spans="1:9" x14ac:dyDescent="0.25">
      <c r="A1824" s="1">
        <v>41545</v>
      </c>
      <c r="B1824">
        <v>928</v>
      </c>
      <c r="C1824">
        <v>2013</v>
      </c>
      <c r="D1824">
        <v>710</v>
      </c>
      <c r="E1824">
        <v>57</v>
      </c>
      <c r="F1824">
        <v>934</v>
      </c>
      <c r="G1824">
        <v>12</v>
      </c>
      <c r="H1824">
        <f>SUMIFS($F$2:F1824,$C$2:C1824,C1824)</f>
        <v>19446</v>
      </c>
      <c r="I1824" s="8">
        <f>STAMP_Escapement_Data[[#This Row],[DATE]]-DATE(STAMP_Escapement_Data[[#This Row],[YEAR]],8,1)</f>
        <v>58</v>
      </c>
    </row>
    <row r="1825" spans="1:9" x14ac:dyDescent="0.25">
      <c r="A1825" s="1">
        <v>41546</v>
      </c>
      <c r="B1825">
        <v>929</v>
      </c>
      <c r="C1825">
        <v>2013</v>
      </c>
      <c r="D1825">
        <v>97</v>
      </c>
      <c r="E1825">
        <v>4</v>
      </c>
      <c r="F1825">
        <v>116</v>
      </c>
      <c r="G1825">
        <v>4</v>
      </c>
      <c r="H1825">
        <f>SUMIFS($F$2:F1825,$C$2:C1825,C1825)</f>
        <v>19562</v>
      </c>
      <c r="I1825" s="8">
        <f>STAMP_Escapement_Data[[#This Row],[DATE]]-DATE(STAMP_Escapement_Data[[#This Row],[YEAR]],8,1)</f>
        <v>59</v>
      </c>
    </row>
    <row r="1826" spans="1:9" x14ac:dyDescent="0.25">
      <c r="A1826" s="1">
        <v>41547</v>
      </c>
      <c r="B1826">
        <v>930</v>
      </c>
      <c r="C1826">
        <v>2013</v>
      </c>
      <c r="D1826">
        <v>221</v>
      </c>
      <c r="E1826">
        <v>18</v>
      </c>
      <c r="F1826">
        <v>338</v>
      </c>
      <c r="G1826">
        <v>4</v>
      </c>
      <c r="H1826">
        <f>SUMIFS($F$2:F1826,$C$2:C1826,C1826)</f>
        <v>19900</v>
      </c>
      <c r="I1826" s="8">
        <f>STAMP_Escapement_Data[[#This Row],[DATE]]-DATE(STAMP_Escapement_Data[[#This Row],[YEAR]],8,1)</f>
        <v>60</v>
      </c>
    </row>
    <row r="1827" spans="1:9" x14ac:dyDescent="0.25">
      <c r="A1827" s="1">
        <v>41548</v>
      </c>
      <c r="B1827">
        <v>1001</v>
      </c>
      <c r="C1827">
        <v>2013</v>
      </c>
      <c r="D1827">
        <v>221</v>
      </c>
      <c r="E1827">
        <v>18</v>
      </c>
      <c r="F1827">
        <v>338</v>
      </c>
      <c r="G1827">
        <v>4</v>
      </c>
      <c r="H1827">
        <f>SUMIFS($F$2:F1827,$C$2:C1827,C1827)</f>
        <v>20238</v>
      </c>
      <c r="I1827" s="8">
        <f>STAMP_Escapement_Data[[#This Row],[DATE]]-DATE(STAMP_Escapement_Data[[#This Row],[YEAR]],8,1)</f>
        <v>61</v>
      </c>
    </row>
    <row r="1828" spans="1:9" x14ac:dyDescent="0.25">
      <c r="A1828" s="1">
        <v>41549</v>
      </c>
      <c r="B1828">
        <v>1002</v>
      </c>
      <c r="C1828">
        <v>2013</v>
      </c>
      <c r="D1828">
        <v>221</v>
      </c>
      <c r="E1828">
        <v>18</v>
      </c>
      <c r="F1828">
        <v>338</v>
      </c>
      <c r="G1828">
        <v>4</v>
      </c>
      <c r="H1828">
        <f>SUMIFS($F$2:F1828,$C$2:C1828,C1828)</f>
        <v>20576</v>
      </c>
      <c r="I1828" s="8">
        <f>STAMP_Escapement_Data[[#This Row],[DATE]]-DATE(STAMP_Escapement_Data[[#This Row],[YEAR]],8,1)</f>
        <v>62</v>
      </c>
    </row>
    <row r="1829" spans="1:9" x14ac:dyDescent="0.25">
      <c r="A1829" s="1">
        <v>41550</v>
      </c>
      <c r="B1829">
        <v>1003</v>
      </c>
      <c r="C1829">
        <v>2013</v>
      </c>
      <c r="D1829">
        <v>221</v>
      </c>
      <c r="E1829">
        <v>18</v>
      </c>
      <c r="F1829">
        <v>338</v>
      </c>
      <c r="G1829">
        <v>4</v>
      </c>
      <c r="H1829">
        <f>SUMIFS($F$2:F1829,$C$2:C1829,C1829)</f>
        <v>20914</v>
      </c>
      <c r="I1829" s="8">
        <f>STAMP_Escapement_Data[[#This Row],[DATE]]-DATE(STAMP_Escapement_Data[[#This Row],[YEAR]],8,1)</f>
        <v>63</v>
      </c>
    </row>
    <row r="1830" spans="1:9" x14ac:dyDescent="0.25">
      <c r="A1830" s="1">
        <v>41551</v>
      </c>
      <c r="B1830">
        <v>1004</v>
      </c>
      <c r="C1830">
        <v>2013</v>
      </c>
      <c r="D1830">
        <v>98</v>
      </c>
      <c r="E1830">
        <v>8</v>
      </c>
      <c r="F1830">
        <v>125</v>
      </c>
      <c r="G1830">
        <v>1</v>
      </c>
      <c r="H1830">
        <f>SUMIFS($F$2:F1830,$C$2:C1830,C1830)</f>
        <v>21039</v>
      </c>
      <c r="I1830" s="8">
        <f>STAMP_Escapement_Data[[#This Row],[DATE]]-DATE(STAMP_Escapement_Data[[#This Row],[YEAR]],8,1)</f>
        <v>64</v>
      </c>
    </row>
    <row r="1831" spans="1:9" x14ac:dyDescent="0.25">
      <c r="A1831" s="1">
        <v>41552</v>
      </c>
      <c r="B1831">
        <v>1005</v>
      </c>
      <c r="C1831">
        <v>2013</v>
      </c>
      <c r="D1831">
        <v>326</v>
      </c>
      <c r="E1831">
        <v>19</v>
      </c>
      <c r="F1831">
        <v>399</v>
      </c>
      <c r="G1831">
        <v>3</v>
      </c>
      <c r="H1831">
        <f>SUMIFS($F$2:F1831,$C$2:C1831,C1831)</f>
        <v>21438</v>
      </c>
      <c r="I1831" s="8">
        <f>STAMP_Escapement_Data[[#This Row],[DATE]]-DATE(STAMP_Escapement_Data[[#This Row],[YEAR]],8,1)</f>
        <v>65</v>
      </c>
    </row>
    <row r="1832" spans="1:9" x14ac:dyDescent="0.25">
      <c r="A1832" s="1">
        <v>41553</v>
      </c>
      <c r="B1832">
        <v>1006</v>
      </c>
      <c r="C1832">
        <v>2013</v>
      </c>
      <c r="D1832">
        <v>301</v>
      </c>
      <c r="E1832">
        <v>31</v>
      </c>
      <c r="F1832">
        <v>675</v>
      </c>
      <c r="G1832">
        <v>7</v>
      </c>
      <c r="H1832">
        <f>SUMIFS($F$2:F1832,$C$2:C1832,C1832)</f>
        <v>22113</v>
      </c>
      <c r="I1832" s="8">
        <f>STAMP_Escapement_Data[[#This Row],[DATE]]-DATE(STAMP_Escapement_Data[[#This Row],[YEAR]],8,1)</f>
        <v>66</v>
      </c>
    </row>
    <row r="1833" spans="1:9" x14ac:dyDescent="0.25">
      <c r="A1833" s="1">
        <v>41554</v>
      </c>
      <c r="B1833">
        <v>1007</v>
      </c>
      <c r="C1833">
        <v>2013</v>
      </c>
      <c r="D1833">
        <v>277</v>
      </c>
      <c r="E1833">
        <v>33</v>
      </c>
      <c r="F1833">
        <v>884</v>
      </c>
      <c r="G1833">
        <v>4</v>
      </c>
      <c r="H1833">
        <f>SUMIFS($F$2:F1833,$C$2:C1833,C1833)</f>
        <v>22997</v>
      </c>
      <c r="I1833" s="8">
        <f>STAMP_Escapement_Data[[#This Row],[DATE]]-DATE(STAMP_Escapement_Data[[#This Row],[YEAR]],8,1)</f>
        <v>67</v>
      </c>
    </row>
    <row r="1834" spans="1:9" x14ac:dyDescent="0.25">
      <c r="A1834" s="1">
        <v>41555</v>
      </c>
      <c r="B1834">
        <v>1008</v>
      </c>
      <c r="C1834">
        <v>2013</v>
      </c>
      <c r="D1834">
        <v>294</v>
      </c>
      <c r="E1834">
        <v>47</v>
      </c>
      <c r="F1834">
        <v>566</v>
      </c>
      <c r="G1834">
        <v>9</v>
      </c>
      <c r="H1834">
        <f>SUMIFS($F$2:F1834,$C$2:C1834,C1834)</f>
        <v>23563</v>
      </c>
      <c r="I1834" s="8">
        <f>STAMP_Escapement_Data[[#This Row],[DATE]]-DATE(STAMP_Escapement_Data[[#This Row],[YEAR]],8,1)</f>
        <v>68</v>
      </c>
    </row>
    <row r="1835" spans="1:9" x14ac:dyDescent="0.25">
      <c r="A1835" s="1">
        <v>41556</v>
      </c>
      <c r="B1835">
        <v>1009</v>
      </c>
      <c r="C1835">
        <v>2013</v>
      </c>
      <c r="D1835">
        <v>93</v>
      </c>
      <c r="E1835">
        <v>8</v>
      </c>
      <c r="F1835">
        <v>276</v>
      </c>
      <c r="G1835">
        <v>0</v>
      </c>
      <c r="H1835">
        <f>SUMIFS($F$2:F1835,$C$2:C1835,C1835)</f>
        <v>23839</v>
      </c>
      <c r="I1835" s="8">
        <f>STAMP_Escapement_Data[[#This Row],[DATE]]-DATE(STAMP_Escapement_Data[[#This Row],[YEAR]],8,1)</f>
        <v>69</v>
      </c>
    </row>
    <row r="1836" spans="1:9" x14ac:dyDescent="0.25">
      <c r="A1836" s="1">
        <v>41557</v>
      </c>
      <c r="B1836">
        <v>1010</v>
      </c>
      <c r="C1836">
        <v>2013</v>
      </c>
      <c r="D1836">
        <v>216</v>
      </c>
      <c r="E1836">
        <v>20</v>
      </c>
      <c r="F1836">
        <v>663</v>
      </c>
      <c r="G1836">
        <v>6</v>
      </c>
      <c r="H1836">
        <f>SUMIFS($F$2:F1836,$C$2:C1836,C1836)</f>
        <v>24502</v>
      </c>
      <c r="I1836" s="8">
        <f>STAMP_Escapement_Data[[#This Row],[DATE]]-DATE(STAMP_Escapement_Data[[#This Row],[YEAR]],8,1)</f>
        <v>70</v>
      </c>
    </row>
    <row r="1837" spans="1:9" x14ac:dyDescent="0.25">
      <c r="A1837" s="1">
        <v>41558</v>
      </c>
      <c r="B1837">
        <v>1011</v>
      </c>
      <c r="C1837">
        <v>2013</v>
      </c>
      <c r="D1837">
        <v>228</v>
      </c>
      <c r="E1837">
        <v>14</v>
      </c>
      <c r="F1837">
        <v>961</v>
      </c>
      <c r="G1837">
        <v>8</v>
      </c>
      <c r="H1837">
        <f>SUMIFS($F$2:F1837,$C$2:C1837,C1837)</f>
        <v>25463</v>
      </c>
      <c r="I1837" s="8">
        <f>STAMP_Escapement_Data[[#This Row],[DATE]]-DATE(STAMP_Escapement_Data[[#This Row],[YEAR]],8,1)</f>
        <v>71</v>
      </c>
    </row>
    <row r="1838" spans="1:9" x14ac:dyDescent="0.25">
      <c r="A1838" s="1">
        <v>41559</v>
      </c>
      <c r="B1838">
        <v>1012</v>
      </c>
      <c r="C1838">
        <v>2013</v>
      </c>
      <c r="D1838">
        <v>243</v>
      </c>
      <c r="E1838">
        <v>17</v>
      </c>
      <c r="F1838">
        <v>758</v>
      </c>
      <c r="G1838">
        <v>17</v>
      </c>
      <c r="H1838">
        <f>SUMIFS($F$2:F1838,$C$2:C1838,C1838)</f>
        <v>26221</v>
      </c>
      <c r="I1838" s="8">
        <f>STAMP_Escapement_Data[[#This Row],[DATE]]-DATE(STAMP_Escapement_Data[[#This Row],[YEAR]],8,1)</f>
        <v>72</v>
      </c>
    </row>
    <row r="1839" spans="1:9" x14ac:dyDescent="0.25">
      <c r="A1839" s="1">
        <v>41560</v>
      </c>
      <c r="B1839">
        <v>1013</v>
      </c>
      <c r="C1839">
        <v>2013</v>
      </c>
      <c r="D1839">
        <v>168</v>
      </c>
      <c r="E1839">
        <v>8</v>
      </c>
      <c r="F1839">
        <v>628</v>
      </c>
      <c r="G1839">
        <v>10</v>
      </c>
      <c r="H1839">
        <f>SUMIFS($F$2:F1839,$C$2:C1839,C1839)</f>
        <v>26849</v>
      </c>
      <c r="I1839" s="8">
        <f>STAMP_Escapement_Data[[#This Row],[DATE]]-DATE(STAMP_Escapement_Data[[#This Row],[YEAR]],8,1)</f>
        <v>73</v>
      </c>
    </row>
    <row r="1840" spans="1:9" x14ac:dyDescent="0.25">
      <c r="A1840" s="1">
        <v>41561</v>
      </c>
      <c r="B1840">
        <v>1014</v>
      </c>
      <c r="C1840">
        <v>2013</v>
      </c>
      <c r="D1840">
        <v>131</v>
      </c>
      <c r="E1840">
        <v>7</v>
      </c>
      <c r="F1840">
        <v>384</v>
      </c>
      <c r="G1840">
        <v>8</v>
      </c>
      <c r="H1840">
        <f>SUMIFS($F$2:F1840,$C$2:C1840,C1840)</f>
        <v>27233</v>
      </c>
      <c r="I1840" s="8">
        <f>STAMP_Escapement_Data[[#This Row],[DATE]]-DATE(STAMP_Escapement_Data[[#This Row],[YEAR]],8,1)</f>
        <v>74</v>
      </c>
    </row>
    <row r="1841" spans="1:9" x14ac:dyDescent="0.25">
      <c r="A1841" s="1">
        <v>41562</v>
      </c>
      <c r="B1841">
        <v>1015</v>
      </c>
      <c r="C1841">
        <v>2013</v>
      </c>
      <c r="D1841">
        <v>119</v>
      </c>
      <c r="E1841">
        <v>7</v>
      </c>
      <c r="F1841">
        <v>348</v>
      </c>
      <c r="G1841">
        <v>4</v>
      </c>
      <c r="H1841">
        <f>SUMIFS($F$2:F1841,$C$2:C1841,C1841)</f>
        <v>27581</v>
      </c>
      <c r="I1841" s="8">
        <f>STAMP_Escapement_Data[[#This Row],[DATE]]-DATE(STAMP_Escapement_Data[[#This Row],[YEAR]],8,1)</f>
        <v>75</v>
      </c>
    </row>
    <row r="1842" spans="1:9" x14ac:dyDescent="0.25">
      <c r="A1842" s="1">
        <v>41563</v>
      </c>
      <c r="B1842">
        <v>1016</v>
      </c>
      <c r="C1842">
        <v>2013</v>
      </c>
      <c r="D1842">
        <v>98</v>
      </c>
      <c r="E1842">
        <v>8</v>
      </c>
      <c r="F1842">
        <v>235</v>
      </c>
      <c r="G1842">
        <v>4</v>
      </c>
      <c r="H1842">
        <f>SUMIFS($F$2:F1842,$C$2:C1842,C1842)</f>
        <v>27816</v>
      </c>
      <c r="I1842" s="8">
        <f>STAMP_Escapement_Data[[#This Row],[DATE]]-DATE(STAMP_Escapement_Data[[#This Row],[YEAR]],8,1)</f>
        <v>76</v>
      </c>
    </row>
    <row r="1843" spans="1:9" x14ac:dyDescent="0.25">
      <c r="A1843" s="1">
        <v>41564</v>
      </c>
      <c r="B1843">
        <v>1017</v>
      </c>
      <c r="C1843">
        <v>2013</v>
      </c>
      <c r="D1843">
        <v>70</v>
      </c>
      <c r="E1843">
        <v>10</v>
      </c>
      <c r="F1843">
        <v>144</v>
      </c>
      <c r="G1843">
        <v>6</v>
      </c>
      <c r="H1843">
        <f>SUMIFS($F$2:F1843,$C$2:C1843,C1843)</f>
        <v>27960</v>
      </c>
      <c r="I1843" s="8">
        <f>STAMP_Escapement_Data[[#This Row],[DATE]]-DATE(STAMP_Escapement_Data[[#This Row],[YEAR]],8,1)</f>
        <v>77</v>
      </c>
    </row>
    <row r="1844" spans="1:9" x14ac:dyDescent="0.25">
      <c r="A1844" s="1">
        <v>41565</v>
      </c>
      <c r="B1844">
        <v>1018</v>
      </c>
      <c r="C1844">
        <v>2013</v>
      </c>
      <c r="D1844">
        <v>54</v>
      </c>
      <c r="E1844">
        <v>22</v>
      </c>
      <c r="F1844">
        <v>131</v>
      </c>
      <c r="G1844">
        <v>0</v>
      </c>
      <c r="H1844">
        <f>SUMIFS($F$2:F1844,$C$2:C1844,C1844)</f>
        <v>28091</v>
      </c>
      <c r="I1844" s="8">
        <f>STAMP_Escapement_Data[[#This Row],[DATE]]-DATE(STAMP_Escapement_Data[[#This Row],[YEAR]],8,1)</f>
        <v>78</v>
      </c>
    </row>
    <row r="1845" spans="1:9" x14ac:dyDescent="0.25">
      <c r="A1845" s="1">
        <v>41566</v>
      </c>
      <c r="B1845">
        <v>1019</v>
      </c>
      <c r="C1845">
        <v>2013</v>
      </c>
      <c r="D1845">
        <v>53</v>
      </c>
      <c r="E1845">
        <v>38</v>
      </c>
      <c r="F1845">
        <v>110</v>
      </c>
      <c r="G1845">
        <v>3</v>
      </c>
      <c r="H1845">
        <f>SUMIFS($F$2:F1845,$C$2:C1845,C1845)</f>
        <v>28201</v>
      </c>
      <c r="I1845" s="8">
        <f>STAMP_Escapement_Data[[#This Row],[DATE]]-DATE(STAMP_Escapement_Data[[#This Row],[YEAR]],8,1)</f>
        <v>79</v>
      </c>
    </row>
    <row r="1846" spans="1:9" x14ac:dyDescent="0.25">
      <c r="A1846" s="1">
        <v>41567</v>
      </c>
      <c r="B1846">
        <v>1020</v>
      </c>
      <c r="C1846">
        <v>2013</v>
      </c>
      <c r="D1846">
        <v>40</v>
      </c>
      <c r="E1846">
        <v>8</v>
      </c>
      <c r="F1846">
        <v>72</v>
      </c>
      <c r="G1846">
        <v>2</v>
      </c>
      <c r="H1846">
        <f>SUMIFS($F$2:F1846,$C$2:C1846,C1846)</f>
        <v>28273</v>
      </c>
      <c r="I1846" s="8">
        <f>STAMP_Escapement_Data[[#This Row],[DATE]]-DATE(STAMP_Escapement_Data[[#This Row],[YEAR]],8,1)</f>
        <v>80</v>
      </c>
    </row>
    <row r="1847" spans="1:9" x14ac:dyDescent="0.25">
      <c r="A1847" s="1">
        <v>41568</v>
      </c>
      <c r="B1847">
        <v>1021</v>
      </c>
      <c r="C1847">
        <v>2013</v>
      </c>
      <c r="D1847">
        <v>20</v>
      </c>
      <c r="E1847">
        <v>13</v>
      </c>
      <c r="F1847">
        <v>99</v>
      </c>
      <c r="G1847">
        <v>4</v>
      </c>
      <c r="H1847">
        <f>SUMIFS($F$2:F1847,$C$2:C1847,C1847)</f>
        <v>28372</v>
      </c>
      <c r="I1847" s="8">
        <f>STAMP_Escapement_Data[[#This Row],[DATE]]-DATE(STAMP_Escapement_Data[[#This Row],[YEAR]],8,1)</f>
        <v>81</v>
      </c>
    </row>
    <row r="1848" spans="1:9" x14ac:dyDescent="0.25">
      <c r="A1848" s="1">
        <v>41569</v>
      </c>
      <c r="B1848">
        <v>1022</v>
      </c>
      <c r="C1848">
        <v>2013</v>
      </c>
      <c r="D1848">
        <v>17</v>
      </c>
      <c r="E1848">
        <v>3</v>
      </c>
      <c r="F1848">
        <v>38</v>
      </c>
      <c r="G1848">
        <v>0</v>
      </c>
      <c r="H1848">
        <f>SUMIFS($F$2:F1848,$C$2:C1848,C1848)</f>
        <v>28410</v>
      </c>
      <c r="I1848" s="8">
        <f>STAMP_Escapement_Data[[#This Row],[DATE]]-DATE(STAMP_Escapement_Data[[#This Row],[YEAR]],8,1)</f>
        <v>82</v>
      </c>
    </row>
    <row r="1849" spans="1:9" x14ac:dyDescent="0.25">
      <c r="A1849" s="1">
        <v>41570</v>
      </c>
      <c r="B1849">
        <v>1023</v>
      </c>
      <c r="C1849">
        <v>2013</v>
      </c>
      <c r="D1849">
        <v>22</v>
      </c>
      <c r="E1849">
        <v>5</v>
      </c>
      <c r="F1849">
        <v>24</v>
      </c>
      <c r="G1849">
        <v>2</v>
      </c>
      <c r="H1849">
        <f>SUMIFS($F$2:F1849,$C$2:C1849,C1849)</f>
        <v>28434</v>
      </c>
      <c r="I1849" s="8">
        <f>STAMP_Escapement_Data[[#This Row],[DATE]]-DATE(STAMP_Escapement_Data[[#This Row],[YEAR]],8,1)</f>
        <v>83</v>
      </c>
    </row>
    <row r="1850" spans="1:9" x14ac:dyDescent="0.25">
      <c r="A1850" s="1">
        <v>41571</v>
      </c>
      <c r="B1850">
        <v>1024</v>
      </c>
      <c r="C1850">
        <v>2013</v>
      </c>
      <c r="D1850">
        <v>9</v>
      </c>
      <c r="E1850">
        <v>21</v>
      </c>
      <c r="F1850">
        <v>36</v>
      </c>
      <c r="G1850">
        <v>0</v>
      </c>
      <c r="H1850">
        <f>SUMIFS($F$2:F1850,$C$2:C1850,C1850)</f>
        <v>28470</v>
      </c>
      <c r="I1850" s="8">
        <f>STAMP_Escapement_Data[[#This Row],[DATE]]-DATE(STAMP_Escapement_Data[[#This Row],[YEAR]],8,1)</f>
        <v>84</v>
      </c>
    </row>
    <row r="1851" spans="1:9" x14ac:dyDescent="0.25">
      <c r="A1851" s="1">
        <v>41572</v>
      </c>
      <c r="B1851">
        <v>1025</v>
      </c>
      <c r="C1851">
        <v>2013</v>
      </c>
      <c r="D1851">
        <v>20</v>
      </c>
      <c r="E1851">
        <v>7</v>
      </c>
      <c r="F1851">
        <v>28</v>
      </c>
      <c r="G1851">
        <v>1</v>
      </c>
      <c r="H1851">
        <f>SUMIFS($F$2:F1851,$C$2:C1851,C1851)</f>
        <v>28498</v>
      </c>
      <c r="I1851" s="8">
        <f>STAMP_Escapement_Data[[#This Row],[DATE]]-DATE(STAMP_Escapement_Data[[#This Row],[YEAR]],8,1)</f>
        <v>85</v>
      </c>
    </row>
    <row r="1852" spans="1:9" x14ac:dyDescent="0.25">
      <c r="A1852" s="1">
        <v>41573</v>
      </c>
      <c r="B1852">
        <v>1026</v>
      </c>
      <c r="C1852">
        <v>2013</v>
      </c>
      <c r="D1852">
        <v>20</v>
      </c>
      <c r="E1852">
        <v>10</v>
      </c>
      <c r="F1852">
        <v>13</v>
      </c>
      <c r="G1852">
        <v>0</v>
      </c>
      <c r="H1852">
        <f>SUMIFS($F$2:F1852,$C$2:C1852,C1852)</f>
        <v>28511</v>
      </c>
      <c r="I1852" s="8">
        <f>STAMP_Escapement_Data[[#This Row],[DATE]]-DATE(STAMP_Escapement_Data[[#This Row],[YEAR]],8,1)</f>
        <v>86</v>
      </c>
    </row>
    <row r="1853" spans="1:9" x14ac:dyDescent="0.25">
      <c r="A1853" s="1">
        <v>41574</v>
      </c>
      <c r="B1853">
        <v>1027</v>
      </c>
      <c r="C1853">
        <v>2013</v>
      </c>
      <c r="D1853">
        <v>5</v>
      </c>
      <c r="E1853">
        <v>0</v>
      </c>
      <c r="F1853">
        <v>13</v>
      </c>
      <c r="G1853">
        <v>0</v>
      </c>
      <c r="H1853">
        <f>SUMIFS($F$2:F1853,$C$2:C1853,C1853)</f>
        <v>28524</v>
      </c>
      <c r="I1853" s="8">
        <f>STAMP_Escapement_Data[[#This Row],[DATE]]-DATE(STAMP_Escapement_Data[[#This Row],[YEAR]],8,1)</f>
        <v>87</v>
      </c>
    </row>
    <row r="1854" spans="1:9" x14ac:dyDescent="0.25">
      <c r="A1854" s="1">
        <v>41575</v>
      </c>
      <c r="B1854">
        <v>1028</v>
      </c>
      <c r="C1854">
        <v>2013</v>
      </c>
      <c r="D1854">
        <v>11</v>
      </c>
      <c r="E1854">
        <v>4</v>
      </c>
      <c r="F1854">
        <v>13</v>
      </c>
      <c r="G1854">
        <v>0</v>
      </c>
      <c r="H1854">
        <f>SUMIFS($F$2:F1854,$C$2:C1854,C1854)</f>
        <v>28537</v>
      </c>
      <c r="I1854" s="8">
        <f>STAMP_Escapement_Data[[#This Row],[DATE]]-DATE(STAMP_Escapement_Data[[#This Row],[YEAR]],8,1)</f>
        <v>88</v>
      </c>
    </row>
    <row r="1855" spans="1:9" x14ac:dyDescent="0.25">
      <c r="A1855" s="1">
        <v>41576</v>
      </c>
      <c r="B1855">
        <v>1029</v>
      </c>
      <c r="C1855">
        <v>2013</v>
      </c>
      <c r="D1855">
        <v>10</v>
      </c>
      <c r="E1855">
        <v>0</v>
      </c>
      <c r="F1855">
        <v>10</v>
      </c>
      <c r="G1855">
        <v>0</v>
      </c>
      <c r="H1855">
        <f>SUMIFS($F$2:F1855,$C$2:C1855,C1855)</f>
        <v>28547</v>
      </c>
      <c r="I1855" s="8">
        <f>STAMP_Escapement_Data[[#This Row],[DATE]]-DATE(STAMP_Escapement_Data[[#This Row],[YEAR]],8,1)</f>
        <v>89</v>
      </c>
    </row>
    <row r="1856" spans="1:9" x14ac:dyDescent="0.25">
      <c r="A1856" s="1">
        <v>41577</v>
      </c>
      <c r="B1856">
        <v>1030</v>
      </c>
      <c r="C1856">
        <v>2013</v>
      </c>
      <c r="D1856">
        <v>15</v>
      </c>
      <c r="E1856">
        <v>5</v>
      </c>
      <c r="F1856">
        <v>7</v>
      </c>
      <c r="G1856">
        <v>0</v>
      </c>
      <c r="H1856">
        <f>SUMIFS($F$2:F1856,$C$2:C1856,C1856)</f>
        <v>28554</v>
      </c>
      <c r="I1856" s="8">
        <f>STAMP_Escapement_Data[[#This Row],[DATE]]-DATE(STAMP_Escapement_Data[[#This Row],[YEAR]],8,1)</f>
        <v>90</v>
      </c>
    </row>
    <row r="1857" spans="1:9" x14ac:dyDescent="0.25">
      <c r="A1857" s="1">
        <v>41578</v>
      </c>
      <c r="B1857">
        <v>1031</v>
      </c>
      <c r="C1857">
        <v>2013</v>
      </c>
      <c r="D1857">
        <v>51</v>
      </c>
      <c r="E1857">
        <v>3</v>
      </c>
      <c r="F1857">
        <v>4</v>
      </c>
      <c r="G1857">
        <v>0</v>
      </c>
      <c r="H1857">
        <f>SUMIFS($F$2:F1857,$C$2:C1857,C1857)</f>
        <v>28558</v>
      </c>
      <c r="I1857" s="8">
        <f>STAMP_Escapement_Data[[#This Row],[DATE]]-DATE(STAMP_Escapement_Data[[#This Row],[YEAR]],8,1)</f>
        <v>91</v>
      </c>
    </row>
    <row r="1858" spans="1:9" x14ac:dyDescent="0.25">
      <c r="A1858" s="1">
        <v>41579</v>
      </c>
      <c r="B1858">
        <v>1101</v>
      </c>
      <c r="C1858">
        <v>2013</v>
      </c>
      <c r="D1858">
        <v>67</v>
      </c>
      <c r="E1858">
        <v>2</v>
      </c>
      <c r="F1858">
        <v>4</v>
      </c>
      <c r="G1858">
        <v>0</v>
      </c>
      <c r="H1858">
        <f>SUMIFS($F$2:F1858,$C$2:C1858,C1858)</f>
        <v>28562</v>
      </c>
      <c r="I1858" s="8">
        <f>STAMP_Escapement_Data[[#This Row],[DATE]]-DATE(STAMP_Escapement_Data[[#This Row],[YEAR]],8,1)</f>
        <v>92</v>
      </c>
    </row>
    <row r="1859" spans="1:9" x14ac:dyDescent="0.25">
      <c r="A1859" s="1">
        <v>41580</v>
      </c>
      <c r="B1859">
        <v>1102</v>
      </c>
      <c r="C1859">
        <v>2013</v>
      </c>
      <c r="D1859">
        <v>434</v>
      </c>
      <c r="E1859">
        <v>12</v>
      </c>
      <c r="F1859">
        <v>7</v>
      </c>
      <c r="G1859">
        <v>1</v>
      </c>
      <c r="H1859">
        <f>SUMIFS($F$2:F1859,$C$2:C1859,C1859)</f>
        <v>28569</v>
      </c>
      <c r="I1859" s="8">
        <f>STAMP_Escapement_Data[[#This Row],[DATE]]-DATE(STAMP_Escapement_Data[[#This Row],[YEAR]],8,1)</f>
        <v>93</v>
      </c>
    </row>
    <row r="1860" spans="1:9" x14ac:dyDescent="0.25">
      <c r="A1860" s="1">
        <v>41581</v>
      </c>
      <c r="B1860">
        <v>1103</v>
      </c>
      <c r="C1860">
        <v>2013</v>
      </c>
      <c r="D1860">
        <v>672</v>
      </c>
      <c r="E1860">
        <v>14</v>
      </c>
      <c r="F1860">
        <v>1</v>
      </c>
      <c r="G1860">
        <v>0</v>
      </c>
      <c r="H1860">
        <f>SUMIFS($F$2:F1860,$C$2:C1860,C1860)</f>
        <v>28570</v>
      </c>
      <c r="I1860" s="8">
        <f>STAMP_Escapement_Data[[#This Row],[DATE]]-DATE(STAMP_Escapement_Data[[#This Row],[YEAR]],8,1)</f>
        <v>94</v>
      </c>
    </row>
    <row r="1861" spans="1:9" x14ac:dyDescent="0.25">
      <c r="A1861" s="1">
        <v>41582</v>
      </c>
      <c r="B1861">
        <v>1104</v>
      </c>
      <c r="C1861">
        <v>2013</v>
      </c>
      <c r="D1861">
        <v>147</v>
      </c>
      <c r="E1861">
        <v>5</v>
      </c>
      <c r="F1861">
        <v>0</v>
      </c>
      <c r="G1861">
        <v>0</v>
      </c>
      <c r="H1861">
        <f>SUMIFS($F$2:F1861,$C$2:C1861,C1861)</f>
        <v>28570</v>
      </c>
      <c r="I1861" s="8">
        <f>STAMP_Escapement_Data[[#This Row],[DATE]]-DATE(STAMP_Escapement_Data[[#This Row],[YEAR]],8,1)</f>
        <v>95</v>
      </c>
    </row>
    <row r="1862" spans="1:9" x14ac:dyDescent="0.25">
      <c r="A1862" s="1">
        <v>41583</v>
      </c>
      <c r="B1862">
        <v>1105</v>
      </c>
      <c r="C1862">
        <v>2013</v>
      </c>
      <c r="D1862">
        <v>96</v>
      </c>
      <c r="E1862">
        <v>8</v>
      </c>
      <c r="F1862">
        <v>0</v>
      </c>
      <c r="G1862">
        <v>0</v>
      </c>
      <c r="H1862">
        <f>SUMIFS($F$2:F1862,$C$2:C1862,C1862)</f>
        <v>28570</v>
      </c>
      <c r="I1862" s="8">
        <f>STAMP_Escapement_Data[[#This Row],[DATE]]-DATE(STAMP_Escapement_Data[[#This Row],[YEAR]],8,1)</f>
        <v>96</v>
      </c>
    </row>
    <row r="1863" spans="1:9" x14ac:dyDescent="0.25">
      <c r="A1863" s="1">
        <v>41584</v>
      </c>
      <c r="B1863">
        <v>1106</v>
      </c>
      <c r="C1863">
        <v>2013</v>
      </c>
      <c r="D1863">
        <v>57</v>
      </c>
      <c r="E1863">
        <v>3</v>
      </c>
      <c r="F1863">
        <v>0</v>
      </c>
      <c r="G1863">
        <v>0</v>
      </c>
      <c r="H1863">
        <f>SUMIFS($F$2:F1863,$C$2:C1863,C1863)</f>
        <v>28570</v>
      </c>
      <c r="I1863" s="8">
        <f>STAMP_Escapement_Data[[#This Row],[DATE]]-DATE(STAMP_Escapement_Data[[#This Row],[YEAR]],8,1)</f>
        <v>97</v>
      </c>
    </row>
    <row r="1864" spans="1:9" x14ac:dyDescent="0.25">
      <c r="A1864" s="1">
        <v>41585</v>
      </c>
      <c r="B1864">
        <v>1107</v>
      </c>
      <c r="C1864">
        <v>2013</v>
      </c>
      <c r="D1864">
        <v>24</v>
      </c>
      <c r="E1864">
        <v>2</v>
      </c>
      <c r="F1864">
        <v>1</v>
      </c>
      <c r="G1864">
        <v>0</v>
      </c>
      <c r="H1864">
        <f>SUMIFS($F$2:F1864,$C$2:C1864,C1864)</f>
        <v>28571</v>
      </c>
      <c r="I1864" s="8">
        <f>STAMP_Escapement_Data[[#This Row],[DATE]]-DATE(STAMP_Escapement_Data[[#This Row],[YEAR]],8,1)</f>
        <v>98</v>
      </c>
    </row>
    <row r="1865" spans="1:9" x14ac:dyDescent="0.25">
      <c r="A1865" s="1">
        <v>41851</v>
      </c>
      <c r="B1865">
        <v>731</v>
      </c>
      <c r="C1865">
        <v>2014</v>
      </c>
      <c r="D1865">
        <v>19</v>
      </c>
      <c r="E1865">
        <v>0</v>
      </c>
      <c r="F1865">
        <v>1</v>
      </c>
      <c r="G1865">
        <v>6</v>
      </c>
      <c r="H1865">
        <f>SUMIFS($F$2:F1865,$C$2:C1865,C1865)</f>
        <v>1</v>
      </c>
      <c r="I1865" s="8">
        <f>STAMP_Escapement_Data[[#This Row],[DATE]]-DATE(STAMP_Escapement_Data[[#This Row],[YEAR]],8,1)</f>
        <v>-1</v>
      </c>
    </row>
    <row r="1866" spans="1:9" x14ac:dyDescent="0.25">
      <c r="A1866" s="1">
        <v>41852</v>
      </c>
      <c r="B1866">
        <v>801</v>
      </c>
      <c r="C1866">
        <v>2014</v>
      </c>
      <c r="D1866">
        <v>0</v>
      </c>
      <c r="E1866">
        <v>0</v>
      </c>
      <c r="F1866">
        <v>0</v>
      </c>
      <c r="G1866">
        <v>0</v>
      </c>
      <c r="H1866">
        <f>SUMIFS($F$2:F1866,$C$2:C1866,C1866)</f>
        <v>1</v>
      </c>
      <c r="I1866" s="8">
        <f>STAMP_Escapement_Data[[#This Row],[DATE]]-DATE(STAMP_Escapement_Data[[#This Row],[YEAR]],8,1)</f>
        <v>0</v>
      </c>
    </row>
    <row r="1867" spans="1:9" x14ac:dyDescent="0.25">
      <c r="A1867" s="1">
        <v>41853</v>
      </c>
      <c r="B1867">
        <v>802</v>
      </c>
      <c r="C1867">
        <v>2014</v>
      </c>
      <c r="D1867">
        <v>2</v>
      </c>
      <c r="E1867">
        <v>0</v>
      </c>
      <c r="F1867">
        <v>0</v>
      </c>
      <c r="G1867">
        <v>0</v>
      </c>
      <c r="H1867">
        <f>SUMIFS($F$2:F1867,$C$2:C1867,C1867)</f>
        <v>1</v>
      </c>
      <c r="I1867" s="8">
        <f>STAMP_Escapement_Data[[#This Row],[DATE]]-DATE(STAMP_Escapement_Data[[#This Row],[YEAR]],8,1)</f>
        <v>1</v>
      </c>
    </row>
    <row r="1868" spans="1:9" x14ac:dyDescent="0.25">
      <c r="A1868" s="1">
        <v>41854</v>
      </c>
      <c r="B1868">
        <v>803</v>
      </c>
      <c r="C1868">
        <v>2014</v>
      </c>
      <c r="D1868">
        <v>4</v>
      </c>
      <c r="E1868">
        <v>0</v>
      </c>
      <c r="F1868">
        <v>0</v>
      </c>
      <c r="G1868">
        <v>0</v>
      </c>
      <c r="H1868">
        <f>SUMIFS($F$2:F1868,$C$2:C1868,C1868)</f>
        <v>1</v>
      </c>
      <c r="I1868" s="8">
        <f>STAMP_Escapement_Data[[#This Row],[DATE]]-DATE(STAMP_Escapement_Data[[#This Row],[YEAR]],8,1)</f>
        <v>2</v>
      </c>
    </row>
    <row r="1869" spans="1:9" x14ac:dyDescent="0.25">
      <c r="A1869" s="1">
        <v>41855</v>
      </c>
      <c r="B1869">
        <v>804</v>
      </c>
      <c r="C1869">
        <v>2014</v>
      </c>
      <c r="D1869">
        <v>0</v>
      </c>
      <c r="E1869">
        <v>0</v>
      </c>
      <c r="F1869">
        <v>0</v>
      </c>
      <c r="G1869">
        <v>0</v>
      </c>
      <c r="H1869">
        <f>SUMIFS($F$2:F1869,$C$2:C1869,C1869)</f>
        <v>1</v>
      </c>
      <c r="I1869" s="8">
        <f>STAMP_Escapement_Data[[#This Row],[DATE]]-DATE(STAMP_Escapement_Data[[#This Row],[YEAR]],8,1)</f>
        <v>3</v>
      </c>
    </row>
    <row r="1870" spans="1:9" x14ac:dyDescent="0.25">
      <c r="A1870" s="1">
        <v>41856</v>
      </c>
      <c r="B1870">
        <v>805</v>
      </c>
      <c r="C1870">
        <v>2014</v>
      </c>
      <c r="D1870">
        <v>0</v>
      </c>
      <c r="E1870">
        <v>0</v>
      </c>
      <c r="F1870">
        <v>0</v>
      </c>
      <c r="G1870">
        <v>0</v>
      </c>
      <c r="H1870">
        <f>SUMIFS($F$2:F1870,$C$2:C1870,C1870)</f>
        <v>1</v>
      </c>
      <c r="I1870" s="8">
        <f>STAMP_Escapement_Data[[#This Row],[DATE]]-DATE(STAMP_Escapement_Data[[#This Row],[YEAR]],8,1)</f>
        <v>4</v>
      </c>
    </row>
    <row r="1871" spans="1:9" x14ac:dyDescent="0.25">
      <c r="A1871" s="1">
        <v>41857</v>
      </c>
      <c r="B1871">
        <v>806</v>
      </c>
      <c r="C1871">
        <v>2014</v>
      </c>
      <c r="D1871">
        <v>1</v>
      </c>
      <c r="E1871">
        <v>0</v>
      </c>
      <c r="F1871">
        <v>3</v>
      </c>
      <c r="G1871">
        <v>0</v>
      </c>
      <c r="H1871">
        <f>SUMIFS($F$2:F1871,$C$2:C1871,C1871)</f>
        <v>4</v>
      </c>
      <c r="I1871" s="8">
        <f>STAMP_Escapement_Data[[#This Row],[DATE]]-DATE(STAMP_Escapement_Data[[#This Row],[YEAR]],8,1)</f>
        <v>5</v>
      </c>
    </row>
    <row r="1872" spans="1:9" x14ac:dyDescent="0.25">
      <c r="A1872" s="1">
        <v>41858</v>
      </c>
      <c r="B1872">
        <v>807</v>
      </c>
      <c r="C1872">
        <v>2014</v>
      </c>
      <c r="D1872">
        <v>0</v>
      </c>
      <c r="E1872">
        <v>0</v>
      </c>
      <c r="F1872">
        <v>0</v>
      </c>
      <c r="G1872">
        <v>0</v>
      </c>
      <c r="H1872">
        <f>SUMIFS($F$2:F1872,$C$2:C1872,C1872)</f>
        <v>4</v>
      </c>
      <c r="I1872" s="8">
        <f>STAMP_Escapement_Data[[#This Row],[DATE]]-DATE(STAMP_Escapement_Data[[#This Row],[YEAR]],8,1)</f>
        <v>6</v>
      </c>
    </row>
    <row r="1873" spans="1:9" x14ac:dyDescent="0.25">
      <c r="A1873" s="1">
        <v>41859</v>
      </c>
      <c r="B1873">
        <v>808</v>
      </c>
      <c r="C1873">
        <v>2014</v>
      </c>
      <c r="D1873">
        <v>4</v>
      </c>
      <c r="E1873">
        <v>0</v>
      </c>
      <c r="F1873">
        <v>3</v>
      </c>
      <c r="G1873">
        <v>0</v>
      </c>
      <c r="H1873">
        <f>SUMIFS($F$2:F1873,$C$2:C1873,C1873)</f>
        <v>7</v>
      </c>
      <c r="I1873" s="8">
        <f>STAMP_Escapement_Data[[#This Row],[DATE]]-DATE(STAMP_Escapement_Data[[#This Row],[YEAR]],8,1)</f>
        <v>7</v>
      </c>
    </row>
    <row r="1874" spans="1:9" x14ac:dyDescent="0.25">
      <c r="A1874" s="1">
        <v>41860</v>
      </c>
      <c r="B1874">
        <v>809</v>
      </c>
      <c r="C1874">
        <v>2014</v>
      </c>
      <c r="D1874">
        <v>4</v>
      </c>
      <c r="E1874">
        <v>0</v>
      </c>
      <c r="F1874">
        <v>6</v>
      </c>
      <c r="G1874">
        <v>0</v>
      </c>
      <c r="H1874">
        <f>SUMIFS($F$2:F1874,$C$2:C1874,C1874)</f>
        <v>13</v>
      </c>
      <c r="I1874" s="8">
        <f>STAMP_Escapement_Data[[#This Row],[DATE]]-DATE(STAMP_Escapement_Data[[#This Row],[YEAR]],8,1)</f>
        <v>8</v>
      </c>
    </row>
    <row r="1875" spans="1:9" x14ac:dyDescent="0.25">
      <c r="A1875" s="1">
        <v>41861</v>
      </c>
      <c r="B1875">
        <v>810</v>
      </c>
      <c r="C1875">
        <v>2014</v>
      </c>
      <c r="D1875">
        <v>9</v>
      </c>
      <c r="E1875">
        <v>0</v>
      </c>
      <c r="F1875">
        <v>15</v>
      </c>
      <c r="G1875">
        <v>1</v>
      </c>
      <c r="H1875">
        <f>SUMIFS($F$2:F1875,$C$2:C1875,C1875)</f>
        <v>28</v>
      </c>
      <c r="I1875" s="8">
        <f>STAMP_Escapement_Data[[#This Row],[DATE]]-DATE(STAMP_Escapement_Data[[#This Row],[YEAR]],8,1)</f>
        <v>9</v>
      </c>
    </row>
    <row r="1876" spans="1:9" x14ac:dyDescent="0.25">
      <c r="A1876" s="1">
        <v>41862</v>
      </c>
      <c r="B1876">
        <v>811</v>
      </c>
      <c r="C1876">
        <v>2014</v>
      </c>
      <c r="D1876">
        <v>13</v>
      </c>
      <c r="E1876">
        <v>0</v>
      </c>
      <c r="F1876">
        <v>8</v>
      </c>
      <c r="G1876">
        <v>1</v>
      </c>
      <c r="H1876">
        <f>SUMIFS($F$2:F1876,$C$2:C1876,C1876)</f>
        <v>36</v>
      </c>
      <c r="I1876" s="8">
        <f>STAMP_Escapement_Data[[#This Row],[DATE]]-DATE(STAMP_Escapement_Data[[#This Row],[YEAR]],8,1)</f>
        <v>10</v>
      </c>
    </row>
    <row r="1877" spans="1:9" x14ac:dyDescent="0.25">
      <c r="A1877" s="1">
        <v>41863</v>
      </c>
      <c r="B1877">
        <v>812</v>
      </c>
      <c r="C1877">
        <v>2014</v>
      </c>
      <c r="D1877">
        <v>7</v>
      </c>
      <c r="E1877">
        <v>0</v>
      </c>
      <c r="F1877">
        <v>15</v>
      </c>
      <c r="G1877">
        <v>1</v>
      </c>
      <c r="H1877">
        <f>SUMIFS($F$2:F1877,$C$2:C1877,C1877)</f>
        <v>51</v>
      </c>
      <c r="I1877" s="8">
        <f>STAMP_Escapement_Data[[#This Row],[DATE]]-DATE(STAMP_Escapement_Data[[#This Row],[YEAR]],8,1)</f>
        <v>11</v>
      </c>
    </row>
    <row r="1878" spans="1:9" x14ac:dyDescent="0.25">
      <c r="A1878" s="1">
        <v>41864</v>
      </c>
      <c r="B1878">
        <v>813</v>
      </c>
      <c r="C1878">
        <v>2014</v>
      </c>
      <c r="D1878">
        <v>6</v>
      </c>
      <c r="E1878">
        <v>0</v>
      </c>
      <c r="F1878">
        <v>3</v>
      </c>
      <c r="G1878">
        <v>3</v>
      </c>
      <c r="H1878">
        <f>SUMIFS($F$2:F1878,$C$2:C1878,C1878)</f>
        <v>54</v>
      </c>
      <c r="I1878" s="8">
        <f>STAMP_Escapement_Data[[#This Row],[DATE]]-DATE(STAMP_Escapement_Data[[#This Row],[YEAR]],8,1)</f>
        <v>12</v>
      </c>
    </row>
    <row r="1879" spans="1:9" x14ac:dyDescent="0.25">
      <c r="A1879" s="1">
        <v>41865</v>
      </c>
      <c r="B1879">
        <v>814</v>
      </c>
      <c r="C1879">
        <v>2014</v>
      </c>
      <c r="D1879">
        <v>18</v>
      </c>
      <c r="E1879">
        <v>0</v>
      </c>
      <c r="F1879">
        <v>12</v>
      </c>
      <c r="G1879">
        <v>0</v>
      </c>
      <c r="H1879">
        <f>SUMIFS($F$2:F1879,$C$2:C1879,C1879)</f>
        <v>66</v>
      </c>
      <c r="I1879" s="8">
        <f>STAMP_Escapement_Data[[#This Row],[DATE]]-DATE(STAMP_Escapement_Data[[#This Row],[YEAR]],8,1)</f>
        <v>13</v>
      </c>
    </row>
    <row r="1880" spans="1:9" x14ac:dyDescent="0.25">
      <c r="A1880" s="1">
        <v>41866</v>
      </c>
      <c r="B1880">
        <v>815</v>
      </c>
      <c r="C1880">
        <v>2014</v>
      </c>
      <c r="D1880">
        <v>42</v>
      </c>
      <c r="E1880">
        <v>3</v>
      </c>
      <c r="F1880">
        <v>15</v>
      </c>
      <c r="G1880">
        <v>0</v>
      </c>
      <c r="H1880">
        <f>SUMIFS($F$2:F1880,$C$2:C1880,C1880)</f>
        <v>81</v>
      </c>
      <c r="I1880" s="8">
        <f>STAMP_Escapement_Data[[#This Row],[DATE]]-DATE(STAMP_Escapement_Data[[#This Row],[YEAR]],8,1)</f>
        <v>14</v>
      </c>
    </row>
    <row r="1881" spans="1:9" x14ac:dyDescent="0.25">
      <c r="A1881" s="1">
        <v>41867</v>
      </c>
      <c r="B1881">
        <v>816</v>
      </c>
      <c r="C1881">
        <v>2014</v>
      </c>
      <c r="D1881">
        <v>45</v>
      </c>
      <c r="E1881">
        <v>2</v>
      </c>
      <c r="F1881">
        <v>15</v>
      </c>
      <c r="G1881">
        <v>3</v>
      </c>
      <c r="H1881">
        <f>SUMIFS($F$2:F1881,$C$2:C1881,C1881)</f>
        <v>96</v>
      </c>
      <c r="I1881" s="8">
        <f>STAMP_Escapement_Data[[#This Row],[DATE]]-DATE(STAMP_Escapement_Data[[#This Row],[YEAR]],8,1)</f>
        <v>15</v>
      </c>
    </row>
    <row r="1882" spans="1:9" x14ac:dyDescent="0.25">
      <c r="A1882" s="1">
        <v>41868</v>
      </c>
      <c r="B1882">
        <v>817</v>
      </c>
      <c r="C1882">
        <v>2014</v>
      </c>
      <c r="D1882">
        <v>43</v>
      </c>
      <c r="E1882">
        <v>7</v>
      </c>
      <c r="F1882">
        <v>11</v>
      </c>
      <c r="G1882">
        <v>3</v>
      </c>
      <c r="H1882">
        <f>SUMIFS($F$2:F1882,$C$2:C1882,C1882)</f>
        <v>107</v>
      </c>
      <c r="I1882" s="8">
        <f>STAMP_Escapement_Data[[#This Row],[DATE]]-DATE(STAMP_Escapement_Data[[#This Row],[YEAR]],8,1)</f>
        <v>16</v>
      </c>
    </row>
    <row r="1883" spans="1:9" x14ac:dyDescent="0.25">
      <c r="A1883" s="1">
        <v>41869</v>
      </c>
      <c r="B1883">
        <v>818</v>
      </c>
      <c r="C1883">
        <v>2014</v>
      </c>
      <c r="D1883">
        <v>43</v>
      </c>
      <c r="E1883">
        <v>2</v>
      </c>
      <c r="F1883">
        <v>27</v>
      </c>
      <c r="G1883">
        <v>2</v>
      </c>
      <c r="H1883">
        <f>SUMIFS($F$2:F1883,$C$2:C1883,C1883)</f>
        <v>134</v>
      </c>
      <c r="I1883" s="8">
        <f>STAMP_Escapement_Data[[#This Row],[DATE]]-DATE(STAMP_Escapement_Data[[#This Row],[YEAR]],8,1)</f>
        <v>17</v>
      </c>
    </row>
    <row r="1884" spans="1:9" x14ac:dyDescent="0.25">
      <c r="A1884" s="1">
        <v>41870</v>
      </c>
      <c r="B1884">
        <v>819</v>
      </c>
      <c r="C1884">
        <v>2014</v>
      </c>
      <c r="D1884">
        <v>34</v>
      </c>
      <c r="E1884">
        <v>0</v>
      </c>
      <c r="F1884">
        <v>16</v>
      </c>
      <c r="G1884">
        <v>16</v>
      </c>
      <c r="H1884">
        <f>SUMIFS($F$2:F1884,$C$2:C1884,C1884)</f>
        <v>150</v>
      </c>
      <c r="I1884" s="8">
        <f>STAMP_Escapement_Data[[#This Row],[DATE]]-DATE(STAMP_Escapement_Data[[#This Row],[YEAR]],8,1)</f>
        <v>18</v>
      </c>
    </row>
    <row r="1885" spans="1:9" x14ac:dyDescent="0.25">
      <c r="A1885" s="1">
        <v>41871</v>
      </c>
      <c r="B1885">
        <v>820</v>
      </c>
      <c r="C1885">
        <v>2014</v>
      </c>
      <c r="D1885">
        <v>13</v>
      </c>
      <c r="E1885">
        <v>1</v>
      </c>
      <c r="F1885">
        <v>9</v>
      </c>
      <c r="G1885">
        <v>7</v>
      </c>
      <c r="H1885">
        <f>SUMIFS($F$2:F1885,$C$2:C1885,C1885)</f>
        <v>159</v>
      </c>
      <c r="I1885" s="8">
        <f>STAMP_Escapement_Data[[#This Row],[DATE]]-DATE(STAMP_Escapement_Data[[#This Row],[YEAR]],8,1)</f>
        <v>19</v>
      </c>
    </row>
    <row r="1886" spans="1:9" x14ac:dyDescent="0.25">
      <c r="A1886" s="1">
        <v>41872</v>
      </c>
      <c r="B1886">
        <v>821</v>
      </c>
      <c r="C1886">
        <v>2014</v>
      </c>
      <c r="D1886">
        <v>32</v>
      </c>
      <c r="E1886">
        <v>5</v>
      </c>
      <c r="F1886">
        <v>15</v>
      </c>
      <c r="G1886">
        <v>4</v>
      </c>
      <c r="H1886">
        <f>SUMIFS($F$2:F1886,$C$2:C1886,C1886)</f>
        <v>174</v>
      </c>
      <c r="I1886" s="8">
        <f>STAMP_Escapement_Data[[#This Row],[DATE]]-DATE(STAMP_Escapement_Data[[#This Row],[YEAR]],8,1)</f>
        <v>20</v>
      </c>
    </row>
    <row r="1887" spans="1:9" x14ac:dyDescent="0.25">
      <c r="A1887" s="1">
        <v>41873</v>
      </c>
      <c r="B1887">
        <v>822</v>
      </c>
      <c r="C1887">
        <v>2014</v>
      </c>
      <c r="D1887">
        <v>30</v>
      </c>
      <c r="E1887">
        <v>1</v>
      </c>
      <c r="F1887">
        <v>6</v>
      </c>
      <c r="G1887">
        <v>4</v>
      </c>
      <c r="H1887">
        <f>SUMIFS($F$2:F1887,$C$2:C1887,C1887)</f>
        <v>180</v>
      </c>
      <c r="I1887" s="8">
        <f>STAMP_Escapement_Data[[#This Row],[DATE]]-DATE(STAMP_Escapement_Data[[#This Row],[YEAR]],8,1)</f>
        <v>21</v>
      </c>
    </row>
    <row r="1888" spans="1:9" x14ac:dyDescent="0.25">
      <c r="A1888" s="1">
        <v>41874</v>
      </c>
      <c r="B1888">
        <v>823</v>
      </c>
      <c r="C1888">
        <v>2014</v>
      </c>
      <c r="D1888">
        <v>65</v>
      </c>
      <c r="E1888">
        <v>3</v>
      </c>
      <c r="F1888">
        <v>7</v>
      </c>
      <c r="G1888">
        <v>7</v>
      </c>
      <c r="H1888">
        <f>SUMIFS($F$2:F1888,$C$2:C1888,C1888)</f>
        <v>187</v>
      </c>
      <c r="I1888" s="8">
        <f>STAMP_Escapement_Data[[#This Row],[DATE]]-DATE(STAMP_Escapement_Data[[#This Row],[YEAR]],8,1)</f>
        <v>22</v>
      </c>
    </row>
    <row r="1889" spans="1:9" x14ac:dyDescent="0.25">
      <c r="A1889" s="1">
        <v>41875</v>
      </c>
      <c r="B1889">
        <v>824</v>
      </c>
      <c r="C1889">
        <v>2014</v>
      </c>
      <c r="D1889">
        <v>62</v>
      </c>
      <c r="E1889">
        <v>5</v>
      </c>
      <c r="F1889">
        <v>20</v>
      </c>
      <c r="G1889">
        <v>8</v>
      </c>
      <c r="H1889">
        <f>SUMIFS($F$2:F1889,$C$2:C1889,C1889)</f>
        <v>207</v>
      </c>
      <c r="I1889" s="8">
        <f>STAMP_Escapement_Data[[#This Row],[DATE]]-DATE(STAMP_Escapement_Data[[#This Row],[YEAR]],8,1)</f>
        <v>23</v>
      </c>
    </row>
    <row r="1890" spans="1:9" x14ac:dyDescent="0.25">
      <c r="A1890" s="1">
        <v>41876</v>
      </c>
      <c r="B1890">
        <v>825</v>
      </c>
      <c r="C1890">
        <v>2014</v>
      </c>
      <c r="D1890">
        <v>56</v>
      </c>
      <c r="E1890">
        <v>1</v>
      </c>
      <c r="F1890">
        <v>16</v>
      </c>
      <c r="G1890">
        <v>2</v>
      </c>
      <c r="H1890">
        <f>SUMIFS($F$2:F1890,$C$2:C1890,C1890)</f>
        <v>223</v>
      </c>
      <c r="I1890" s="8">
        <f>STAMP_Escapement_Data[[#This Row],[DATE]]-DATE(STAMP_Escapement_Data[[#This Row],[YEAR]],8,1)</f>
        <v>24</v>
      </c>
    </row>
    <row r="1891" spans="1:9" x14ac:dyDescent="0.25">
      <c r="A1891" s="1">
        <v>41877</v>
      </c>
      <c r="B1891">
        <v>826</v>
      </c>
      <c r="C1891">
        <v>2014</v>
      </c>
      <c r="D1891">
        <v>47</v>
      </c>
      <c r="E1891">
        <v>1</v>
      </c>
      <c r="F1891">
        <v>14</v>
      </c>
      <c r="G1891">
        <v>3</v>
      </c>
      <c r="H1891">
        <f>SUMIFS($F$2:F1891,$C$2:C1891,C1891)</f>
        <v>237</v>
      </c>
      <c r="I1891" s="8">
        <f>STAMP_Escapement_Data[[#This Row],[DATE]]-DATE(STAMP_Escapement_Data[[#This Row],[YEAR]],8,1)</f>
        <v>25</v>
      </c>
    </row>
    <row r="1892" spans="1:9" x14ac:dyDescent="0.25">
      <c r="A1892" s="1">
        <v>41878</v>
      </c>
      <c r="B1892">
        <v>827</v>
      </c>
      <c r="C1892">
        <v>2014</v>
      </c>
      <c r="D1892">
        <v>90</v>
      </c>
      <c r="E1892">
        <v>7</v>
      </c>
      <c r="F1892">
        <v>26</v>
      </c>
      <c r="G1892">
        <v>14</v>
      </c>
      <c r="H1892">
        <f>SUMIFS($F$2:F1892,$C$2:C1892,C1892)</f>
        <v>263</v>
      </c>
      <c r="I1892" s="8">
        <f>STAMP_Escapement_Data[[#This Row],[DATE]]-DATE(STAMP_Escapement_Data[[#This Row],[YEAR]],8,1)</f>
        <v>26</v>
      </c>
    </row>
    <row r="1893" spans="1:9" x14ac:dyDescent="0.25">
      <c r="A1893" s="1">
        <v>41879</v>
      </c>
      <c r="B1893">
        <v>828</v>
      </c>
      <c r="C1893">
        <v>2014</v>
      </c>
      <c r="D1893">
        <v>175</v>
      </c>
      <c r="E1893">
        <v>12</v>
      </c>
      <c r="F1893">
        <v>38</v>
      </c>
      <c r="G1893">
        <v>25</v>
      </c>
      <c r="H1893">
        <f>SUMIFS($F$2:F1893,$C$2:C1893,C1893)</f>
        <v>301</v>
      </c>
      <c r="I1893" s="8">
        <f>STAMP_Escapement_Data[[#This Row],[DATE]]-DATE(STAMP_Escapement_Data[[#This Row],[YEAR]],8,1)</f>
        <v>27</v>
      </c>
    </row>
    <row r="1894" spans="1:9" x14ac:dyDescent="0.25">
      <c r="A1894" s="1">
        <v>41880</v>
      </c>
      <c r="B1894">
        <v>829</v>
      </c>
      <c r="C1894">
        <v>2014</v>
      </c>
      <c r="D1894">
        <v>261</v>
      </c>
      <c r="E1894">
        <v>17</v>
      </c>
      <c r="F1894">
        <v>51</v>
      </c>
      <c r="G1894">
        <v>36</v>
      </c>
      <c r="H1894">
        <f>SUMIFS($F$2:F1894,$C$2:C1894,C1894)</f>
        <v>352</v>
      </c>
      <c r="I1894" s="8">
        <f>STAMP_Escapement_Data[[#This Row],[DATE]]-DATE(STAMP_Escapement_Data[[#This Row],[YEAR]],8,1)</f>
        <v>28</v>
      </c>
    </row>
    <row r="1895" spans="1:9" x14ac:dyDescent="0.25">
      <c r="A1895" s="1">
        <v>41881</v>
      </c>
      <c r="B1895">
        <v>830</v>
      </c>
      <c r="C1895">
        <v>2014</v>
      </c>
      <c r="D1895">
        <v>346</v>
      </c>
      <c r="E1895">
        <v>23</v>
      </c>
      <c r="F1895">
        <v>63</v>
      </c>
      <c r="G1895">
        <v>47</v>
      </c>
      <c r="H1895">
        <f>SUMIFS($F$2:F1895,$C$2:C1895,C1895)</f>
        <v>415</v>
      </c>
      <c r="I1895" s="8">
        <f>STAMP_Escapement_Data[[#This Row],[DATE]]-DATE(STAMP_Escapement_Data[[#This Row],[YEAR]],8,1)</f>
        <v>29</v>
      </c>
    </row>
    <row r="1896" spans="1:9" x14ac:dyDescent="0.25">
      <c r="A1896" s="1">
        <v>41882</v>
      </c>
      <c r="B1896">
        <v>831</v>
      </c>
      <c r="C1896">
        <v>2014</v>
      </c>
      <c r="D1896">
        <v>432</v>
      </c>
      <c r="E1896">
        <v>28</v>
      </c>
      <c r="F1896">
        <v>75</v>
      </c>
      <c r="G1896">
        <v>59</v>
      </c>
      <c r="H1896">
        <f>SUMIFS($F$2:F1896,$C$2:C1896,C1896)</f>
        <v>490</v>
      </c>
      <c r="I1896" s="8">
        <f>STAMP_Escapement_Data[[#This Row],[DATE]]-DATE(STAMP_Escapement_Data[[#This Row],[YEAR]],8,1)</f>
        <v>30</v>
      </c>
    </row>
    <row r="1897" spans="1:9" x14ac:dyDescent="0.25">
      <c r="A1897" s="1">
        <v>41883</v>
      </c>
      <c r="B1897">
        <v>901</v>
      </c>
      <c r="C1897">
        <v>2014</v>
      </c>
      <c r="D1897">
        <v>517</v>
      </c>
      <c r="E1897">
        <v>34</v>
      </c>
      <c r="F1897">
        <v>87</v>
      </c>
      <c r="G1897">
        <v>70</v>
      </c>
      <c r="H1897">
        <f>SUMIFS($F$2:F1897,$C$2:C1897,C1897)</f>
        <v>577</v>
      </c>
      <c r="I1897" s="8">
        <f>STAMP_Escapement_Data[[#This Row],[DATE]]-DATE(STAMP_Escapement_Data[[#This Row],[YEAR]],8,1)</f>
        <v>31</v>
      </c>
    </row>
    <row r="1898" spans="1:9" x14ac:dyDescent="0.25">
      <c r="A1898" s="1">
        <v>41884</v>
      </c>
      <c r="B1898">
        <v>902</v>
      </c>
      <c r="C1898">
        <v>2014</v>
      </c>
      <c r="D1898">
        <v>602</v>
      </c>
      <c r="E1898">
        <v>39</v>
      </c>
      <c r="F1898">
        <v>99</v>
      </c>
      <c r="G1898">
        <v>81</v>
      </c>
      <c r="H1898">
        <f>SUMIFS($F$2:F1898,$C$2:C1898,C1898)</f>
        <v>676</v>
      </c>
      <c r="I1898" s="8">
        <f>STAMP_Escapement_Data[[#This Row],[DATE]]-DATE(STAMP_Escapement_Data[[#This Row],[YEAR]],8,1)</f>
        <v>32</v>
      </c>
    </row>
    <row r="1899" spans="1:9" x14ac:dyDescent="0.25">
      <c r="A1899" s="1">
        <v>41885</v>
      </c>
      <c r="B1899">
        <v>903</v>
      </c>
      <c r="C1899">
        <v>2014</v>
      </c>
      <c r="D1899">
        <v>688</v>
      </c>
      <c r="E1899">
        <v>45</v>
      </c>
      <c r="F1899">
        <v>111</v>
      </c>
      <c r="G1899">
        <v>92</v>
      </c>
      <c r="H1899">
        <f>SUMIFS($F$2:F1899,$C$2:C1899,C1899)</f>
        <v>787</v>
      </c>
      <c r="I1899" s="8">
        <f>STAMP_Escapement_Data[[#This Row],[DATE]]-DATE(STAMP_Escapement_Data[[#This Row],[YEAR]],8,1)</f>
        <v>33</v>
      </c>
    </row>
    <row r="1900" spans="1:9" x14ac:dyDescent="0.25">
      <c r="A1900" s="1">
        <v>41886</v>
      </c>
      <c r="B1900">
        <v>904</v>
      </c>
      <c r="C1900">
        <v>2014</v>
      </c>
      <c r="D1900">
        <v>773</v>
      </c>
      <c r="E1900">
        <v>50</v>
      </c>
      <c r="F1900">
        <v>124</v>
      </c>
      <c r="G1900">
        <v>104</v>
      </c>
      <c r="H1900">
        <f>SUMIFS($F$2:F1900,$C$2:C1900,C1900)</f>
        <v>911</v>
      </c>
      <c r="I1900" s="8">
        <f>STAMP_Escapement_Data[[#This Row],[DATE]]-DATE(STAMP_Escapement_Data[[#This Row],[YEAR]],8,1)</f>
        <v>34</v>
      </c>
    </row>
    <row r="1901" spans="1:9" x14ac:dyDescent="0.25">
      <c r="A1901" s="1">
        <v>41887</v>
      </c>
      <c r="B1901">
        <v>905</v>
      </c>
      <c r="C1901">
        <v>2014</v>
      </c>
      <c r="D1901">
        <v>737</v>
      </c>
      <c r="E1901">
        <v>40</v>
      </c>
      <c r="F1901">
        <v>95</v>
      </c>
      <c r="G1901">
        <v>61</v>
      </c>
      <c r="H1901">
        <f>SUMIFS($F$2:F1901,$C$2:C1901,C1901)</f>
        <v>1006</v>
      </c>
      <c r="I1901" s="8">
        <f>STAMP_Escapement_Data[[#This Row],[DATE]]-DATE(STAMP_Escapement_Data[[#This Row],[YEAR]],8,1)</f>
        <v>35</v>
      </c>
    </row>
    <row r="1902" spans="1:9" x14ac:dyDescent="0.25">
      <c r="A1902" s="1">
        <v>41888</v>
      </c>
      <c r="B1902">
        <v>906</v>
      </c>
      <c r="C1902">
        <v>2014</v>
      </c>
      <c r="D1902">
        <v>944</v>
      </c>
      <c r="E1902">
        <v>61</v>
      </c>
      <c r="F1902">
        <v>148</v>
      </c>
      <c r="G1902">
        <v>126</v>
      </c>
      <c r="H1902">
        <f>SUMIFS($F$2:F1902,$C$2:C1902,C1902)</f>
        <v>1154</v>
      </c>
      <c r="I1902" s="8">
        <f>STAMP_Escapement_Data[[#This Row],[DATE]]-DATE(STAMP_Escapement_Data[[#This Row],[YEAR]],8,1)</f>
        <v>36</v>
      </c>
    </row>
    <row r="1903" spans="1:9" x14ac:dyDescent="0.25">
      <c r="A1903" s="1">
        <v>41889</v>
      </c>
      <c r="B1903">
        <v>907</v>
      </c>
      <c r="C1903">
        <v>2014</v>
      </c>
      <c r="D1903">
        <v>618</v>
      </c>
      <c r="E1903">
        <v>69</v>
      </c>
      <c r="F1903">
        <v>169</v>
      </c>
      <c r="G1903">
        <v>142</v>
      </c>
      <c r="H1903">
        <f>SUMIFS($F$2:F1903,$C$2:C1903,C1903)</f>
        <v>1323</v>
      </c>
      <c r="I1903" s="8">
        <f>STAMP_Escapement_Data[[#This Row],[DATE]]-DATE(STAMP_Escapement_Data[[#This Row],[YEAR]],8,1)</f>
        <v>37</v>
      </c>
    </row>
    <row r="1904" spans="1:9" x14ac:dyDescent="0.25">
      <c r="A1904" s="1">
        <v>41890</v>
      </c>
      <c r="B1904">
        <v>908</v>
      </c>
      <c r="C1904">
        <v>2014</v>
      </c>
      <c r="D1904">
        <v>537</v>
      </c>
      <c r="E1904">
        <v>100</v>
      </c>
      <c r="F1904">
        <v>249</v>
      </c>
      <c r="G1904">
        <v>250</v>
      </c>
      <c r="H1904">
        <f>SUMIFS($F$2:F1904,$C$2:C1904,C1904)</f>
        <v>1572</v>
      </c>
      <c r="I1904" s="8">
        <f>STAMP_Escapement_Data[[#This Row],[DATE]]-DATE(STAMP_Escapement_Data[[#This Row],[YEAR]],8,1)</f>
        <v>38</v>
      </c>
    </row>
    <row r="1905" spans="1:9" x14ac:dyDescent="0.25">
      <c r="A1905" s="1">
        <v>41891</v>
      </c>
      <c r="B1905">
        <v>909</v>
      </c>
      <c r="C1905">
        <v>2014</v>
      </c>
      <c r="D1905">
        <v>540</v>
      </c>
      <c r="E1905">
        <v>112</v>
      </c>
      <c r="F1905">
        <v>149</v>
      </c>
      <c r="G1905">
        <v>197</v>
      </c>
      <c r="H1905">
        <f>SUMIFS($F$2:F1905,$C$2:C1905,C1905)</f>
        <v>1721</v>
      </c>
      <c r="I1905" s="8">
        <f>STAMP_Escapement_Data[[#This Row],[DATE]]-DATE(STAMP_Escapement_Data[[#This Row],[YEAR]],8,1)</f>
        <v>39</v>
      </c>
    </row>
    <row r="1906" spans="1:9" x14ac:dyDescent="0.25">
      <c r="A1906" s="1">
        <v>41892</v>
      </c>
      <c r="B1906">
        <v>910</v>
      </c>
      <c r="C1906">
        <v>2014</v>
      </c>
      <c r="D1906">
        <v>519</v>
      </c>
      <c r="E1906">
        <v>101</v>
      </c>
      <c r="F1906">
        <v>277</v>
      </c>
      <c r="G1906">
        <v>250</v>
      </c>
      <c r="H1906">
        <f>SUMIFS($F$2:F1906,$C$2:C1906,C1906)</f>
        <v>1998</v>
      </c>
      <c r="I1906" s="8">
        <f>STAMP_Escapement_Data[[#This Row],[DATE]]-DATE(STAMP_Escapement_Data[[#This Row],[YEAR]],8,1)</f>
        <v>40</v>
      </c>
    </row>
    <row r="1907" spans="1:9" x14ac:dyDescent="0.25">
      <c r="A1907" s="1">
        <v>41893</v>
      </c>
      <c r="B1907">
        <v>911</v>
      </c>
      <c r="C1907">
        <v>2014</v>
      </c>
      <c r="D1907">
        <v>437</v>
      </c>
      <c r="E1907">
        <v>78</v>
      </c>
      <c r="F1907">
        <v>190</v>
      </c>
      <c r="G1907">
        <v>207</v>
      </c>
      <c r="H1907">
        <f>SUMIFS($F$2:F1907,$C$2:C1907,C1907)</f>
        <v>2188</v>
      </c>
      <c r="I1907" s="8">
        <f>STAMP_Escapement_Data[[#This Row],[DATE]]-DATE(STAMP_Escapement_Data[[#This Row],[YEAR]],8,1)</f>
        <v>41</v>
      </c>
    </row>
    <row r="1908" spans="1:9" x14ac:dyDescent="0.25">
      <c r="A1908" s="1">
        <v>41894</v>
      </c>
      <c r="B1908">
        <v>912</v>
      </c>
      <c r="C1908">
        <v>2014</v>
      </c>
      <c r="D1908">
        <v>1731</v>
      </c>
      <c r="E1908">
        <v>73</v>
      </c>
      <c r="F1908">
        <v>222</v>
      </c>
      <c r="G1908">
        <v>108</v>
      </c>
      <c r="H1908">
        <f>SUMIFS($F$2:F1908,$C$2:C1908,C1908)</f>
        <v>2410</v>
      </c>
      <c r="I1908" s="8">
        <f>STAMP_Escapement_Data[[#This Row],[DATE]]-DATE(STAMP_Escapement_Data[[#This Row],[YEAR]],8,1)</f>
        <v>42</v>
      </c>
    </row>
    <row r="1909" spans="1:9" x14ac:dyDescent="0.25">
      <c r="A1909" s="1">
        <v>41895</v>
      </c>
      <c r="B1909">
        <v>913</v>
      </c>
      <c r="C1909">
        <v>2014</v>
      </c>
      <c r="D1909">
        <v>1517</v>
      </c>
      <c r="E1909">
        <v>58</v>
      </c>
      <c r="F1909">
        <v>324</v>
      </c>
      <c r="G1909">
        <v>68</v>
      </c>
      <c r="H1909">
        <f>SUMIFS($F$2:F1909,$C$2:C1909,C1909)</f>
        <v>2734</v>
      </c>
      <c r="I1909" s="8">
        <f>STAMP_Escapement_Data[[#This Row],[DATE]]-DATE(STAMP_Escapement_Data[[#This Row],[YEAR]],8,1)</f>
        <v>43</v>
      </c>
    </row>
    <row r="1910" spans="1:9" x14ac:dyDescent="0.25">
      <c r="A1910" s="1">
        <v>41896</v>
      </c>
      <c r="B1910">
        <v>914</v>
      </c>
      <c r="C1910">
        <v>2014</v>
      </c>
      <c r="D1910">
        <v>1276</v>
      </c>
      <c r="E1910">
        <v>79</v>
      </c>
      <c r="F1910">
        <v>255</v>
      </c>
      <c r="G1910">
        <v>70</v>
      </c>
      <c r="H1910">
        <f>SUMIFS($F$2:F1910,$C$2:C1910,C1910)</f>
        <v>2989</v>
      </c>
      <c r="I1910" s="8">
        <f>STAMP_Escapement_Data[[#This Row],[DATE]]-DATE(STAMP_Escapement_Data[[#This Row],[YEAR]],8,1)</f>
        <v>44</v>
      </c>
    </row>
    <row r="1911" spans="1:9" x14ac:dyDescent="0.25">
      <c r="A1911" s="1">
        <v>41897</v>
      </c>
      <c r="B1911">
        <v>915</v>
      </c>
      <c r="C1911">
        <v>2014</v>
      </c>
      <c r="D1911">
        <v>1751</v>
      </c>
      <c r="E1911">
        <v>107</v>
      </c>
      <c r="F1911">
        <v>206</v>
      </c>
      <c r="G1911">
        <v>143</v>
      </c>
      <c r="H1911">
        <f>SUMIFS($F$2:F1911,$C$2:C1911,C1911)</f>
        <v>3195</v>
      </c>
      <c r="I1911" s="8">
        <f>STAMP_Escapement_Data[[#This Row],[DATE]]-DATE(STAMP_Escapement_Data[[#This Row],[YEAR]],8,1)</f>
        <v>45</v>
      </c>
    </row>
    <row r="1912" spans="1:9" x14ac:dyDescent="0.25">
      <c r="A1912" s="1">
        <v>41898</v>
      </c>
      <c r="B1912">
        <v>916</v>
      </c>
      <c r="C1912">
        <v>2014</v>
      </c>
      <c r="D1912">
        <v>1287</v>
      </c>
      <c r="E1912">
        <v>114</v>
      </c>
      <c r="F1912">
        <v>302</v>
      </c>
      <c r="G1912">
        <v>181</v>
      </c>
      <c r="H1912">
        <f>SUMIFS($F$2:F1912,$C$2:C1912,C1912)</f>
        <v>3497</v>
      </c>
      <c r="I1912" s="8">
        <f>STAMP_Escapement_Data[[#This Row],[DATE]]-DATE(STAMP_Escapement_Data[[#This Row],[YEAR]],8,1)</f>
        <v>46</v>
      </c>
    </row>
    <row r="1913" spans="1:9" x14ac:dyDescent="0.25">
      <c r="A1913" s="1">
        <v>41899</v>
      </c>
      <c r="B1913">
        <v>917</v>
      </c>
      <c r="C1913">
        <v>2014</v>
      </c>
      <c r="D1913">
        <v>1293</v>
      </c>
      <c r="E1913">
        <v>106</v>
      </c>
      <c r="F1913">
        <v>274</v>
      </c>
      <c r="G1913">
        <v>162</v>
      </c>
      <c r="H1913">
        <f>SUMIFS($F$2:F1913,$C$2:C1913,C1913)</f>
        <v>3771</v>
      </c>
      <c r="I1913" s="8">
        <f>STAMP_Escapement_Data[[#This Row],[DATE]]-DATE(STAMP_Escapement_Data[[#This Row],[YEAR]],8,1)</f>
        <v>47</v>
      </c>
    </row>
    <row r="1914" spans="1:9" x14ac:dyDescent="0.25">
      <c r="A1914" s="1">
        <v>41900</v>
      </c>
      <c r="B1914">
        <v>918</v>
      </c>
      <c r="C1914">
        <v>2014</v>
      </c>
      <c r="D1914">
        <v>1032</v>
      </c>
      <c r="E1914">
        <v>63</v>
      </c>
      <c r="F1914">
        <v>293</v>
      </c>
      <c r="G1914">
        <v>158</v>
      </c>
      <c r="H1914">
        <f>SUMIFS($F$2:F1914,$C$2:C1914,C1914)</f>
        <v>4064</v>
      </c>
      <c r="I1914" s="8">
        <f>STAMP_Escapement_Data[[#This Row],[DATE]]-DATE(STAMP_Escapement_Data[[#This Row],[YEAR]],8,1)</f>
        <v>48</v>
      </c>
    </row>
    <row r="1915" spans="1:9" x14ac:dyDescent="0.25">
      <c r="A1915" s="1">
        <v>41901</v>
      </c>
      <c r="B1915">
        <v>919</v>
      </c>
      <c r="C1915">
        <v>2014</v>
      </c>
      <c r="D1915">
        <v>713</v>
      </c>
      <c r="E1915">
        <v>57</v>
      </c>
      <c r="F1915">
        <v>185</v>
      </c>
      <c r="G1915">
        <v>141</v>
      </c>
      <c r="H1915">
        <f>SUMIFS($F$2:F1915,$C$2:C1915,C1915)</f>
        <v>4249</v>
      </c>
      <c r="I1915" s="8">
        <f>STAMP_Escapement_Data[[#This Row],[DATE]]-DATE(STAMP_Escapement_Data[[#This Row],[YEAR]],8,1)</f>
        <v>49</v>
      </c>
    </row>
    <row r="1916" spans="1:9" x14ac:dyDescent="0.25">
      <c r="A1916" s="1">
        <v>41902</v>
      </c>
      <c r="B1916">
        <v>920</v>
      </c>
      <c r="C1916">
        <v>2014</v>
      </c>
      <c r="D1916">
        <v>525</v>
      </c>
      <c r="E1916">
        <v>43</v>
      </c>
      <c r="F1916">
        <v>187</v>
      </c>
      <c r="G1916">
        <v>132</v>
      </c>
      <c r="H1916">
        <f>SUMIFS($F$2:F1916,$C$2:C1916,C1916)</f>
        <v>4436</v>
      </c>
      <c r="I1916" s="8">
        <f>STAMP_Escapement_Data[[#This Row],[DATE]]-DATE(STAMP_Escapement_Data[[#This Row],[YEAR]],8,1)</f>
        <v>50</v>
      </c>
    </row>
    <row r="1917" spans="1:9" x14ac:dyDescent="0.25">
      <c r="A1917" s="1">
        <v>41903</v>
      </c>
      <c r="B1917">
        <v>921</v>
      </c>
      <c r="C1917">
        <v>2014</v>
      </c>
      <c r="D1917">
        <v>348</v>
      </c>
      <c r="E1917">
        <v>41</v>
      </c>
      <c r="F1917">
        <v>242</v>
      </c>
      <c r="G1917">
        <v>126</v>
      </c>
      <c r="H1917">
        <f>SUMIFS($F$2:F1917,$C$2:C1917,C1917)</f>
        <v>4678</v>
      </c>
      <c r="I1917" s="8">
        <f>STAMP_Escapement_Data[[#This Row],[DATE]]-DATE(STAMP_Escapement_Data[[#This Row],[YEAR]],8,1)</f>
        <v>51</v>
      </c>
    </row>
    <row r="1918" spans="1:9" x14ac:dyDescent="0.25">
      <c r="A1918" s="1">
        <v>41904</v>
      </c>
      <c r="B1918">
        <v>922</v>
      </c>
      <c r="C1918">
        <v>2014</v>
      </c>
      <c r="D1918">
        <v>824</v>
      </c>
      <c r="E1918">
        <v>103</v>
      </c>
      <c r="F1918">
        <v>341</v>
      </c>
      <c r="G1918">
        <v>196</v>
      </c>
      <c r="H1918">
        <f>SUMIFS($F$2:F1918,$C$2:C1918,C1918)</f>
        <v>5019</v>
      </c>
      <c r="I1918" s="8">
        <f>STAMP_Escapement_Data[[#This Row],[DATE]]-DATE(STAMP_Escapement_Data[[#This Row],[YEAR]],8,1)</f>
        <v>52</v>
      </c>
    </row>
    <row r="1919" spans="1:9" x14ac:dyDescent="0.25">
      <c r="A1919" s="1">
        <v>41905</v>
      </c>
      <c r="B1919">
        <v>923</v>
      </c>
      <c r="C1919">
        <v>2014</v>
      </c>
      <c r="D1919">
        <v>601</v>
      </c>
      <c r="E1919">
        <v>80</v>
      </c>
      <c r="F1919">
        <v>258</v>
      </c>
      <c r="G1919">
        <v>96</v>
      </c>
      <c r="H1919">
        <f>SUMIFS($F$2:F1919,$C$2:C1919,C1919)</f>
        <v>5277</v>
      </c>
      <c r="I1919" s="8">
        <f>STAMP_Escapement_Data[[#This Row],[DATE]]-DATE(STAMP_Escapement_Data[[#This Row],[YEAR]],8,1)</f>
        <v>53</v>
      </c>
    </row>
    <row r="1920" spans="1:9" x14ac:dyDescent="0.25">
      <c r="A1920" s="1">
        <v>41906</v>
      </c>
      <c r="B1920">
        <v>924</v>
      </c>
      <c r="C1920">
        <v>2014</v>
      </c>
      <c r="D1920">
        <v>1065</v>
      </c>
      <c r="E1920">
        <v>89</v>
      </c>
      <c r="F1920">
        <v>385</v>
      </c>
      <c r="G1920">
        <v>162</v>
      </c>
      <c r="H1920">
        <f>SUMIFS($F$2:F1920,$C$2:C1920,C1920)</f>
        <v>5662</v>
      </c>
      <c r="I1920" s="8">
        <f>STAMP_Escapement_Data[[#This Row],[DATE]]-DATE(STAMP_Escapement_Data[[#This Row],[YEAR]],8,1)</f>
        <v>54</v>
      </c>
    </row>
    <row r="1921" spans="1:9" x14ac:dyDescent="0.25">
      <c r="A1921" s="1">
        <v>41907</v>
      </c>
      <c r="B1921">
        <v>925</v>
      </c>
      <c r="C1921">
        <v>2014</v>
      </c>
      <c r="D1921">
        <v>893</v>
      </c>
      <c r="E1921">
        <v>67</v>
      </c>
      <c r="F1921">
        <v>303</v>
      </c>
      <c r="G1921">
        <v>115</v>
      </c>
      <c r="H1921">
        <f>SUMIFS($F$2:F1921,$C$2:C1921,C1921)</f>
        <v>5965</v>
      </c>
      <c r="I1921" s="8">
        <f>STAMP_Escapement_Data[[#This Row],[DATE]]-DATE(STAMP_Escapement_Data[[#This Row],[YEAR]],8,1)</f>
        <v>55</v>
      </c>
    </row>
    <row r="1922" spans="1:9" x14ac:dyDescent="0.25">
      <c r="A1922" s="1">
        <v>41908</v>
      </c>
      <c r="B1922">
        <v>926</v>
      </c>
      <c r="C1922">
        <v>2014</v>
      </c>
      <c r="D1922">
        <v>1043</v>
      </c>
      <c r="E1922">
        <v>85</v>
      </c>
      <c r="F1922">
        <v>313</v>
      </c>
      <c r="G1922">
        <v>147</v>
      </c>
      <c r="H1922">
        <f>SUMIFS($F$2:F1922,$C$2:C1922,C1922)</f>
        <v>6278</v>
      </c>
      <c r="I1922" s="8">
        <f>STAMP_Escapement_Data[[#This Row],[DATE]]-DATE(STAMP_Escapement_Data[[#This Row],[YEAR]],8,1)</f>
        <v>56</v>
      </c>
    </row>
    <row r="1923" spans="1:9" x14ac:dyDescent="0.25">
      <c r="A1923" s="1">
        <v>41909</v>
      </c>
      <c r="B1923">
        <v>927</v>
      </c>
      <c r="C1923">
        <v>2014</v>
      </c>
      <c r="D1923">
        <v>665</v>
      </c>
      <c r="E1923">
        <v>24</v>
      </c>
      <c r="F1923">
        <v>330</v>
      </c>
      <c r="G1923">
        <v>112</v>
      </c>
      <c r="H1923">
        <f>SUMIFS($F$2:F1923,$C$2:C1923,C1923)</f>
        <v>6608</v>
      </c>
      <c r="I1923" s="8">
        <f>STAMP_Escapement_Data[[#This Row],[DATE]]-DATE(STAMP_Escapement_Data[[#This Row],[YEAR]],8,1)</f>
        <v>57</v>
      </c>
    </row>
    <row r="1924" spans="1:9" x14ac:dyDescent="0.25">
      <c r="A1924" s="1">
        <v>41910</v>
      </c>
      <c r="B1924">
        <v>928</v>
      </c>
      <c r="C1924">
        <v>2014</v>
      </c>
      <c r="D1924">
        <v>400</v>
      </c>
      <c r="E1924">
        <v>48</v>
      </c>
      <c r="F1924">
        <v>256</v>
      </c>
      <c r="G1924">
        <v>82</v>
      </c>
      <c r="H1924">
        <f>SUMIFS($F$2:F1924,$C$2:C1924,C1924)</f>
        <v>6864</v>
      </c>
      <c r="I1924" s="8">
        <f>STAMP_Escapement_Data[[#This Row],[DATE]]-DATE(STAMP_Escapement_Data[[#This Row],[YEAR]],8,1)</f>
        <v>58</v>
      </c>
    </row>
    <row r="1925" spans="1:9" x14ac:dyDescent="0.25">
      <c r="A1925" s="1">
        <v>41911</v>
      </c>
      <c r="B1925">
        <v>929</v>
      </c>
      <c r="C1925">
        <v>2014</v>
      </c>
      <c r="D1925">
        <v>704</v>
      </c>
      <c r="E1925">
        <v>108</v>
      </c>
      <c r="F1925">
        <v>456</v>
      </c>
      <c r="G1925">
        <v>132</v>
      </c>
      <c r="H1925">
        <f>SUMIFS($F$2:F1925,$C$2:C1925,C1925)</f>
        <v>7320</v>
      </c>
      <c r="I1925" s="8">
        <f>STAMP_Escapement_Data[[#This Row],[DATE]]-DATE(STAMP_Escapement_Data[[#This Row],[YEAR]],8,1)</f>
        <v>59</v>
      </c>
    </row>
    <row r="1926" spans="1:9" x14ac:dyDescent="0.25">
      <c r="A1926" s="1">
        <v>41912</v>
      </c>
      <c r="B1926">
        <v>930</v>
      </c>
      <c r="C1926">
        <v>2014</v>
      </c>
      <c r="D1926">
        <v>733</v>
      </c>
      <c r="E1926">
        <v>62</v>
      </c>
      <c r="F1926">
        <v>404</v>
      </c>
      <c r="G1926">
        <v>83</v>
      </c>
      <c r="H1926">
        <f>SUMIFS($F$2:F1926,$C$2:C1926,C1926)</f>
        <v>7724</v>
      </c>
      <c r="I1926" s="8">
        <f>STAMP_Escapement_Data[[#This Row],[DATE]]-DATE(STAMP_Escapement_Data[[#This Row],[YEAR]],8,1)</f>
        <v>60</v>
      </c>
    </row>
    <row r="1927" spans="1:9" x14ac:dyDescent="0.25">
      <c r="A1927" s="1">
        <v>41913</v>
      </c>
      <c r="B1927">
        <v>1001</v>
      </c>
      <c r="C1927">
        <v>2014</v>
      </c>
      <c r="D1927">
        <v>675</v>
      </c>
      <c r="E1927">
        <v>33</v>
      </c>
      <c r="F1927">
        <v>289</v>
      </c>
      <c r="G1927">
        <v>94</v>
      </c>
      <c r="H1927">
        <f>SUMIFS($F$2:F1927,$C$2:C1927,C1927)</f>
        <v>8013</v>
      </c>
      <c r="I1927" s="8">
        <f>STAMP_Escapement_Data[[#This Row],[DATE]]-DATE(STAMP_Escapement_Data[[#This Row],[YEAR]],8,1)</f>
        <v>61</v>
      </c>
    </row>
    <row r="1928" spans="1:9" x14ac:dyDescent="0.25">
      <c r="A1928" s="1">
        <v>41914</v>
      </c>
      <c r="B1928">
        <v>1002</v>
      </c>
      <c r="C1928">
        <v>2014</v>
      </c>
      <c r="D1928">
        <v>165</v>
      </c>
      <c r="E1928">
        <v>25</v>
      </c>
      <c r="F1928">
        <v>58</v>
      </c>
      <c r="G1928">
        <v>13</v>
      </c>
      <c r="H1928">
        <f>SUMIFS($F$2:F1928,$C$2:C1928,C1928)</f>
        <v>8071</v>
      </c>
      <c r="I1928" s="8">
        <f>STAMP_Escapement_Data[[#This Row],[DATE]]-DATE(STAMP_Escapement_Data[[#This Row],[YEAR]],8,1)</f>
        <v>62</v>
      </c>
    </row>
    <row r="1929" spans="1:9" x14ac:dyDescent="0.25">
      <c r="A1929" s="1">
        <v>41915</v>
      </c>
      <c r="B1929">
        <v>1003</v>
      </c>
      <c r="C1929">
        <v>2014</v>
      </c>
      <c r="D1929">
        <v>425</v>
      </c>
      <c r="E1929">
        <v>35</v>
      </c>
      <c r="F1929">
        <v>212</v>
      </c>
      <c r="G1929">
        <v>51</v>
      </c>
      <c r="H1929">
        <f>SUMIFS($F$2:F1929,$C$2:C1929,C1929)</f>
        <v>8283</v>
      </c>
      <c r="I1929" s="8">
        <f>STAMP_Escapement_Data[[#This Row],[DATE]]-DATE(STAMP_Escapement_Data[[#This Row],[YEAR]],8,1)</f>
        <v>63</v>
      </c>
    </row>
    <row r="1930" spans="1:9" x14ac:dyDescent="0.25">
      <c r="A1930" s="1">
        <v>41916</v>
      </c>
      <c r="B1930">
        <v>1004</v>
      </c>
      <c r="C1930">
        <v>2014</v>
      </c>
      <c r="D1930">
        <v>627</v>
      </c>
      <c r="E1930">
        <v>31</v>
      </c>
      <c r="F1930">
        <v>460</v>
      </c>
      <c r="G1930">
        <v>130</v>
      </c>
      <c r="H1930">
        <f>SUMIFS($F$2:F1930,$C$2:C1930,C1930)</f>
        <v>8743</v>
      </c>
      <c r="I1930" s="8">
        <f>STAMP_Escapement_Data[[#This Row],[DATE]]-DATE(STAMP_Escapement_Data[[#This Row],[YEAR]],8,1)</f>
        <v>64</v>
      </c>
    </row>
    <row r="1931" spans="1:9" x14ac:dyDescent="0.25">
      <c r="A1931" s="1">
        <v>41917</v>
      </c>
      <c r="B1931">
        <v>1005</v>
      </c>
      <c r="C1931">
        <v>2014</v>
      </c>
      <c r="D1931">
        <v>484</v>
      </c>
      <c r="E1931">
        <v>44</v>
      </c>
      <c r="F1931">
        <v>642</v>
      </c>
      <c r="G1931">
        <v>197</v>
      </c>
      <c r="H1931">
        <f>SUMIFS($F$2:F1931,$C$2:C1931,C1931)</f>
        <v>9385</v>
      </c>
      <c r="I1931" s="8">
        <f>STAMP_Escapement_Data[[#This Row],[DATE]]-DATE(STAMP_Escapement_Data[[#This Row],[YEAR]],8,1)</f>
        <v>65</v>
      </c>
    </row>
    <row r="1932" spans="1:9" x14ac:dyDescent="0.25">
      <c r="A1932" s="1">
        <v>41918</v>
      </c>
      <c r="B1932">
        <v>1006</v>
      </c>
      <c r="C1932">
        <v>2014</v>
      </c>
      <c r="D1932">
        <v>402</v>
      </c>
      <c r="E1932">
        <v>45</v>
      </c>
      <c r="F1932">
        <v>920</v>
      </c>
      <c r="G1932">
        <v>180</v>
      </c>
      <c r="H1932">
        <f>SUMIFS($F$2:F1932,$C$2:C1932,C1932)</f>
        <v>10305</v>
      </c>
      <c r="I1932" s="8">
        <f>STAMP_Escapement_Data[[#This Row],[DATE]]-DATE(STAMP_Escapement_Data[[#This Row],[YEAR]],8,1)</f>
        <v>66</v>
      </c>
    </row>
    <row r="1933" spans="1:9" x14ac:dyDescent="0.25">
      <c r="A1933" s="1">
        <v>41919</v>
      </c>
      <c r="B1933">
        <v>1007</v>
      </c>
      <c r="C1933">
        <v>2014</v>
      </c>
      <c r="D1933">
        <v>401</v>
      </c>
      <c r="E1933">
        <v>40</v>
      </c>
      <c r="F1933">
        <v>715</v>
      </c>
      <c r="G1933">
        <v>172</v>
      </c>
      <c r="H1933">
        <f>SUMIFS($F$2:F1933,$C$2:C1933,C1933)</f>
        <v>11020</v>
      </c>
      <c r="I1933" s="8">
        <f>STAMP_Escapement_Data[[#This Row],[DATE]]-DATE(STAMP_Escapement_Data[[#This Row],[YEAR]],8,1)</f>
        <v>67</v>
      </c>
    </row>
    <row r="1934" spans="1:9" x14ac:dyDescent="0.25">
      <c r="A1934" s="1">
        <v>41920</v>
      </c>
      <c r="B1934">
        <v>1008</v>
      </c>
      <c r="C1934">
        <v>2014</v>
      </c>
      <c r="D1934">
        <v>385</v>
      </c>
      <c r="E1934">
        <v>25</v>
      </c>
      <c r="F1934">
        <v>936</v>
      </c>
      <c r="G1934">
        <v>227</v>
      </c>
      <c r="H1934">
        <f>SUMIFS($F$2:F1934,$C$2:C1934,C1934)</f>
        <v>11956</v>
      </c>
      <c r="I1934" s="8">
        <f>STAMP_Escapement_Data[[#This Row],[DATE]]-DATE(STAMP_Escapement_Data[[#This Row],[YEAR]],8,1)</f>
        <v>68</v>
      </c>
    </row>
    <row r="1935" spans="1:9" x14ac:dyDescent="0.25">
      <c r="A1935" s="1">
        <v>41921</v>
      </c>
      <c r="B1935">
        <v>1009</v>
      </c>
      <c r="C1935">
        <v>2014</v>
      </c>
      <c r="D1935">
        <v>382</v>
      </c>
      <c r="E1935">
        <v>22</v>
      </c>
      <c r="F1935">
        <v>940</v>
      </c>
      <c r="G1935">
        <v>122</v>
      </c>
      <c r="H1935">
        <f>SUMIFS($F$2:F1935,$C$2:C1935,C1935)</f>
        <v>12896</v>
      </c>
      <c r="I1935" s="8">
        <f>STAMP_Escapement_Data[[#This Row],[DATE]]-DATE(STAMP_Escapement_Data[[#This Row],[YEAR]],8,1)</f>
        <v>69</v>
      </c>
    </row>
    <row r="1936" spans="1:9" x14ac:dyDescent="0.25">
      <c r="A1936" s="1">
        <v>41922</v>
      </c>
      <c r="B1936">
        <v>1010</v>
      </c>
      <c r="C1936">
        <v>2014</v>
      </c>
      <c r="D1936">
        <v>337</v>
      </c>
      <c r="E1936">
        <v>21</v>
      </c>
      <c r="F1936">
        <v>686</v>
      </c>
      <c r="G1936">
        <v>175</v>
      </c>
      <c r="H1936">
        <f>SUMIFS($F$2:F1936,$C$2:C1936,C1936)</f>
        <v>13582</v>
      </c>
      <c r="I1936" s="8">
        <f>STAMP_Escapement_Data[[#This Row],[DATE]]-DATE(STAMP_Escapement_Data[[#This Row],[YEAR]],8,1)</f>
        <v>70</v>
      </c>
    </row>
    <row r="1937" spans="1:9" x14ac:dyDescent="0.25">
      <c r="A1937" s="1">
        <v>41923</v>
      </c>
      <c r="B1937">
        <v>1011</v>
      </c>
      <c r="C1937">
        <v>2014</v>
      </c>
      <c r="D1937">
        <v>1488</v>
      </c>
      <c r="E1937">
        <v>42</v>
      </c>
      <c r="F1937">
        <v>672</v>
      </c>
      <c r="G1937">
        <v>166</v>
      </c>
      <c r="H1937">
        <f>SUMIFS($F$2:F1937,$C$2:C1937,C1937)</f>
        <v>14254</v>
      </c>
      <c r="I1937" s="8">
        <f>STAMP_Escapement_Data[[#This Row],[DATE]]-DATE(STAMP_Escapement_Data[[#This Row],[YEAR]],8,1)</f>
        <v>71</v>
      </c>
    </row>
    <row r="1938" spans="1:9" x14ac:dyDescent="0.25">
      <c r="A1938" s="1">
        <v>41924</v>
      </c>
      <c r="B1938">
        <v>1012</v>
      </c>
      <c r="C1938">
        <v>2014</v>
      </c>
      <c r="D1938">
        <v>1217</v>
      </c>
      <c r="E1938">
        <v>24</v>
      </c>
      <c r="F1938">
        <v>356</v>
      </c>
      <c r="G1938">
        <v>82</v>
      </c>
      <c r="H1938">
        <f>SUMIFS($F$2:F1938,$C$2:C1938,C1938)</f>
        <v>14610</v>
      </c>
      <c r="I1938" s="8">
        <f>STAMP_Escapement_Data[[#This Row],[DATE]]-DATE(STAMP_Escapement_Data[[#This Row],[YEAR]],8,1)</f>
        <v>72</v>
      </c>
    </row>
    <row r="1939" spans="1:9" x14ac:dyDescent="0.25">
      <c r="A1939" s="1">
        <v>41925</v>
      </c>
      <c r="B1939">
        <v>1013</v>
      </c>
      <c r="C1939">
        <v>2014</v>
      </c>
      <c r="D1939">
        <v>92</v>
      </c>
      <c r="E1939">
        <v>5</v>
      </c>
      <c r="F1939">
        <v>274</v>
      </c>
      <c r="G1939">
        <v>64</v>
      </c>
      <c r="H1939">
        <f>SUMIFS($F$2:F1939,$C$2:C1939,C1939)</f>
        <v>14884</v>
      </c>
      <c r="I1939" s="8">
        <f>STAMP_Escapement_Data[[#This Row],[DATE]]-DATE(STAMP_Escapement_Data[[#This Row],[YEAR]],8,1)</f>
        <v>73</v>
      </c>
    </row>
    <row r="1940" spans="1:9" x14ac:dyDescent="0.25">
      <c r="A1940" s="1">
        <v>41926</v>
      </c>
      <c r="B1940">
        <v>1014</v>
      </c>
      <c r="C1940">
        <v>2014</v>
      </c>
      <c r="D1940">
        <v>284</v>
      </c>
      <c r="E1940">
        <v>34</v>
      </c>
      <c r="F1940">
        <v>226</v>
      </c>
      <c r="G1940">
        <v>49</v>
      </c>
      <c r="H1940">
        <f>SUMIFS($F$2:F1940,$C$2:C1940,C1940)</f>
        <v>15110</v>
      </c>
      <c r="I1940" s="8">
        <f>STAMP_Escapement_Data[[#This Row],[DATE]]-DATE(STAMP_Escapement_Data[[#This Row],[YEAR]],8,1)</f>
        <v>74</v>
      </c>
    </row>
    <row r="1941" spans="1:9" x14ac:dyDescent="0.25">
      <c r="A1941" s="1">
        <v>41927</v>
      </c>
      <c r="B1941">
        <v>1015</v>
      </c>
      <c r="C1941">
        <v>2014</v>
      </c>
      <c r="D1941">
        <v>247</v>
      </c>
      <c r="E1941">
        <v>11</v>
      </c>
      <c r="F1941">
        <v>205</v>
      </c>
      <c r="G1941">
        <v>34</v>
      </c>
      <c r="H1941">
        <f>SUMIFS($F$2:F1941,$C$2:C1941,C1941)</f>
        <v>15315</v>
      </c>
      <c r="I1941" s="8">
        <f>STAMP_Escapement_Data[[#This Row],[DATE]]-DATE(STAMP_Escapement_Data[[#This Row],[YEAR]],8,1)</f>
        <v>75</v>
      </c>
    </row>
    <row r="1942" spans="1:9" x14ac:dyDescent="0.25">
      <c r="A1942" s="1">
        <v>41928</v>
      </c>
      <c r="B1942">
        <v>1016</v>
      </c>
      <c r="C1942">
        <v>2014</v>
      </c>
      <c r="D1942">
        <v>109</v>
      </c>
      <c r="E1942">
        <v>7</v>
      </c>
      <c r="F1942">
        <v>195</v>
      </c>
      <c r="G1942">
        <v>32</v>
      </c>
      <c r="H1942">
        <f>SUMIFS($F$2:F1942,$C$2:C1942,C1942)</f>
        <v>15510</v>
      </c>
      <c r="I1942" s="8">
        <f>STAMP_Escapement_Data[[#This Row],[DATE]]-DATE(STAMP_Escapement_Data[[#This Row],[YEAR]],8,1)</f>
        <v>76</v>
      </c>
    </row>
    <row r="1943" spans="1:9" x14ac:dyDescent="0.25">
      <c r="A1943" s="1">
        <v>41929</v>
      </c>
      <c r="B1943">
        <v>1017</v>
      </c>
      <c r="C1943">
        <v>2014</v>
      </c>
      <c r="D1943">
        <v>29</v>
      </c>
      <c r="E1943">
        <v>3</v>
      </c>
      <c r="F1943">
        <v>108</v>
      </c>
      <c r="G1943">
        <v>29</v>
      </c>
      <c r="H1943">
        <f>SUMIFS($F$2:F1943,$C$2:C1943,C1943)</f>
        <v>15618</v>
      </c>
      <c r="I1943" s="8">
        <f>STAMP_Escapement_Data[[#This Row],[DATE]]-DATE(STAMP_Escapement_Data[[#This Row],[YEAR]],8,1)</f>
        <v>77</v>
      </c>
    </row>
    <row r="1944" spans="1:9" x14ac:dyDescent="0.25">
      <c r="A1944" s="1">
        <v>41930</v>
      </c>
      <c r="B1944">
        <v>1018</v>
      </c>
      <c r="C1944">
        <v>2014</v>
      </c>
      <c r="D1944">
        <v>24</v>
      </c>
      <c r="E1944">
        <v>4</v>
      </c>
      <c r="F1944">
        <v>37</v>
      </c>
      <c r="G1944">
        <v>8</v>
      </c>
      <c r="H1944">
        <f>SUMIFS($F$2:F1944,$C$2:C1944,C1944)</f>
        <v>15655</v>
      </c>
      <c r="I1944" s="8">
        <f>STAMP_Escapement_Data[[#This Row],[DATE]]-DATE(STAMP_Escapement_Data[[#This Row],[YEAR]],8,1)</f>
        <v>78</v>
      </c>
    </row>
    <row r="1945" spans="1:9" x14ac:dyDescent="0.25">
      <c r="A1945" s="1">
        <v>41931</v>
      </c>
      <c r="B1945">
        <v>1019</v>
      </c>
      <c r="C1945">
        <v>2014</v>
      </c>
      <c r="D1945">
        <v>21</v>
      </c>
      <c r="E1945">
        <v>2</v>
      </c>
      <c r="F1945">
        <v>90</v>
      </c>
      <c r="G1945">
        <v>6</v>
      </c>
      <c r="H1945">
        <f>SUMIFS($F$2:F1945,$C$2:C1945,C1945)</f>
        <v>15745</v>
      </c>
      <c r="I1945" s="8">
        <f>STAMP_Escapement_Data[[#This Row],[DATE]]-DATE(STAMP_Escapement_Data[[#This Row],[YEAR]],8,1)</f>
        <v>79</v>
      </c>
    </row>
    <row r="1946" spans="1:9" x14ac:dyDescent="0.25">
      <c r="A1946" s="1">
        <v>42216</v>
      </c>
      <c r="B1946">
        <v>731</v>
      </c>
      <c r="C1946">
        <v>2015</v>
      </c>
      <c r="D1946">
        <v>0</v>
      </c>
      <c r="E1946">
        <v>-3</v>
      </c>
      <c r="F1946">
        <v>0</v>
      </c>
      <c r="G1946">
        <v>0</v>
      </c>
      <c r="H1946">
        <f>SUMIFS($F$2:F1946,$C$2:C1946,C1946)</f>
        <v>0</v>
      </c>
      <c r="I1946" s="8">
        <f>STAMP_Escapement_Data[[#This Row],[DATE]]-DATE(STAMP_Escapement_Data[[#This Row],[YEAR]],8,1)</f>
        <v>-1</v>
      </c>
    </row>
    <row r="1947" spans="1:9" x14ac:dyDescent="0.25">
      <c r="A1947" s="1">
        <v>42217</v>
      </c>
      <c r="B1947">
        <v>801</v>
      </c>
      <c r="C1947">
        <v>2015</v>
      </c>
      <c r="D1947">
        <v>0</v>
      </c>
      <c r="E1947">
        <v>0</v>
      </c>
      <c r="F1947">
        <v>0</v>
      </c>
      <c r="G1947">
        <v>0</v>
      </c>
      <c r="H1947">
        <f>SUMIFS($F$2:F1947,$C$2:C1947,C1947)</f>
        <v>0</v>
      </c>
      <c r="I1947" s="8">
        <f>STAMP_Escapement_Data[[#This Row],[DATE]]-DATE(STAMP_Escapement_Data[[#This Row],[YEAR]],8,1)</f>
        <v>0</v>
      </c>
    </row>
    <row r="1948" spans="1:9" x14ac:dyDescent="0.25">
      <c r="A1948" s="1">
        <v>42218</v>
      </c>
      <c r="B1948">
        <v>802</v>
      </c>
      <c r="C1948">
        <v>2015</v>
      </c>
      <c r="D1948">
        <v>0</v>
      </c>
      <c r="E1948">
        <v>0</v>
      </c>
      <c r="F1948">
        <v>0</v>
      </c>
      <c r="G1948">
        <v>0</v>
      </c>
      <c r="H1948">
        <f>SUMIFS($F$2:F1948,$C$2:C1948,C1948)</f>
        <v>0</v>
      </c>
      <c r="I1948" s="8">
        <f>STAMP_Escapement_Data[[#This Row],[DATE]]-DATE(STAMP_Escapement_Data[[#This Row],[YEAR]],8,1)</f>
        <v>1</v>
      </c>
    </row>
    <row r="1949" spans="1:9" x14ac:dyDescent="0.25">
      <c r="A1949" s="1">
        <v>42219</v>
      </c>
      <c r="B1949">
        <v>803</v>
      </c>
      <c r="C1949">
        <v>2015</v>
      </c>
      <c r="D1949">
        <v>0</v>
      </c>
      <c r="E1949">
        <v>0</v>
      </c>
      <c r="F1949">
        <v>0</v>
      </c>
      <c r="G1949">
        <v>0</v>
      </c>
      <c r="H1949">
        <f>SUMIFS($F$2:F1949,$C$2:C1949,C1949)</f>
        <v>0</v>
      </c>
      <c r="I1949" s="8">
        <f>STAMP_Escapement_Data[[#This Row],[DATE]]-DATE(STAMP_Escapement_Data[[#This Row],[YEAR]],8,1)</f>
        <v>2</v>
      </c>
    </row>
    <row r="1950" spans="1:9" x14ac:dyDescent="0.25">
      <c r="A1950" s="1">
        <v>42220</v>
      </c>
      <c r="B1950">
        <v>804</v>
      </c>
      <c r="C1950">
        <v>2015</v>
      </c>
      <c r="D1950">
        <v>0</v>
      </c>
      <c r="E1950">
        <v>0</v>
      </c>
      <c r="F1950">
        <v>0</v>
      </c>
      <c r="G1950">
        <v>0</v>
      </c>
      <c r="H1950">
        <f>SUMIFS($F$2:F1950,$C$2:C1950,C1950)</f>
        <v>0</v>
      </c>
      <c r="I1950" s="8">
        <f>STAMP_Escapement_Data[[#This Row],[DATE]]-DATE(STAMP_Escapement_Data[[#This Row],[YEAR]],8,1)</f>
        <v>3</v>
      </c>
    </row>
    <row r="1951" spans="1:9" x14ac:dyDescent="0.25">
      <c r="A1951" s="1">
        <v>42221</v>
      </c>
      <c r="B1951">
        <v>805</v>
      </c>
      <c r="C1951">
        <v>2015</v>
      </c>
      <c r="D1951">
        <v>0</v>
      </c>
      <c r="E1951">
        <v>0</v>
      </c>
      <c r="F1951">
        <v>3</v>
      </c>
      <c r="G1951">
        <v>0</v>
      </c>
      <c r="H1951">
        <f>SUMIFS($F$2:F1951,$C$2:C1951,C1951)</f>
        <v>3</v>
      </c>
      <c r="I1951" s="8">
        <f>STAMP_Escapement_Data[[#This Row],[DATE]]-DATE(STAMP_Escapement_Data[[#This Row],[YEAR]],8,1)</f>
        <v>4</v>
      </c>
    </row>
    <row r="1952" spans="1:9" x14ac:dyDescent="0.25">
      <c r="A1952" s="1">
        <v>42222</v>
      </c>
      <c r="B1952">
        <v>806</v>
      </c>
      <c r="C1952">
        <v>2015</v>
      </c>
      <c r="D1952">
        <v>0</v>
      </c>
      <c r="E1952">
        <v>0</v>
      </c>
      <c r="F1952">
        <v>0</v>
      </c>
      <c r="G1952">
        <v>0</v>
      </c>
      <c r="H1952">
        <f>SUMIFS($F$2:F1952,$C$2:C1952,C1952)</f>
        <v>3</v>
      </c>
      <c r="I1952" s="8">
        <f>STAMP_Escapement_Data[[#This Row],[DATE]]-DATE(STAMP_Escapement_Data[[#This Row],[YEAR]],8,1)</f>
        <v>5</v>
      </c>
    </row>
    <row r="1953" spans="1:9" x14ac:dyDescent="0.25">
      <c r="A1953" s="1">
        <v>42223</v>
      </c>
      <c r="B1953">
        <v>807</v>
      </c>
      <c r="C1953">
        <v>2015</v>
      </c>
      <c r="D1953">
        <v>0</v>
      </c>
      <c r="E1953">
        <v>0</v>
      </c>
      <c r="F1953">
        <v>0</v>
      </c>
      <c r="G1953">
        <v>0</v>
      </c>
      <c r="H1953">
        <f>SUMIFS($F$2:F1953,$C$2:C1953,C1953)</f>
        <v>3</v>
      </c>
      <c r="I1953" s="8">
        <f>STAMP_Escapement_Data[[#This Row],[DATE]]-DATE(STAMP_Escapement_Data[[#This Row],[YEAR]],8,1)</f>
        <v>6</v>
      </c>
    </row>
    <row r="1954" spans="1:9" x14ac:dyDescent="0.25">
      <c r="A1954" s="1">
        <v>42224</v>
      </c>
      <c r="B1954">
        <v>808</v>
      </c>
      <c r="C1954">
        <v>2015</v>
      </c>
      <c r="D1954">
        <v>0</v>
      </c>
      <c r="E1954">
        <v>0</v>
      </c>
      <c r="F1954">
        <v>6</v>
      </c>
      <c r="G1954">
        <v>1</v>
      </c>
      <c r="H1954">
        <f>SUMIFS($F$2:F1954,$C$2:C1954,C1954)</f>
        <v>9</v>
      </c>
      <c r="I1954" s="8">
        <f>STAMP_Escapement_Data[[#This Row],[DATE]]-DATE(STAMP_Escapement_Data[[#This Row],[YEAR]],8,1)</f>
        <v>7</v>
      </c>
    </row>
    <row r="1955" spans="1:9" x14ac:dyDescent="0.25">
      <c r="A1955" s="1">
        <v>42225</v>
      </c>
      <c r="B1955">
        <v>809</v>
      </c>
      <c r="C1955">
        <v>2015</v>
      </c>
      <c r="D1955">
        <v>6</v>
      </c>
      <c r="E1955">
        <v>0</v>
      </c>
      <c r="F1955">
        <v>3</v>
      </c>
      <c r="G1955">
        <v>0</v>
      </c>
      <c r="H1955">
        <f>SUMIFS($F$2:F1955,$C$2:C1955,C1955)</f>
        <v>12</v>
      </c>
      <c r="I1955" s="8">
        <f>STAMP_Escapement_Data[[#This Row],[DATE]]-DATE(STAMP_Escapement_Data[[#This Row],[YEAR]],8,1)</f>
        <v>8</v>
      </c>
    </row>
    <row r="1956" spans="1:9" x14ac:dyDescent="0.25">
      <c r="A1956" s="1">
        <v>42226</v>
      </c>
      <c r="B1956">
        <v>810</v>
      </c>
      <c r="C1956">
        <v>2015</v>
      </c>
      <c r="D1956">
        <v>3</v>
      </c>
      <c r="E1956">
        <v>0</v>
      </c>
      <c r="F1956">
        <v>3</v>
      </c>
      <c r="G1956">
        <v>0</v>
      </c>
      <c r="H1956">
        <f>SUMIFS($F$2:F1956,$C$2:C1956,C1956)</f>
        <v>15</v>
      </c>
      <c r="I1956" s="8">
        <f>STAMP_Escapement_Data[[#This Row],[DATE]]-DATE(STAMP_Escapement_Data[[#This Row],[YEAR]],8,1)</f>
        <v>9</v>
      </c>
    </row>
    <row r="1957" spans="1:9" x14ac:dyDescent="0.25">
      <c r="A1957" s="1">
        <v>42227</v>
      </c>
      <c r="B1957">
        <v>811</v>
      </c>
      <c r="C1957">
        <v>2015</v>
      </c>
      <c r="D1957">
        <v>1</v>
      </c>
      <c r="E1957">
        <v>0</v>
      </c>
      <c r="F1957">
        <v>12</v>
      </c>
      <c r="G1957">
        <v>0</v>
      </c>
      <c r="H1957">
        <f>SUMIFS($F$2:F1957,$C$2:C1957,C1957)</f>
        <v>27</v>
      </c>
      <c r="I1957" s="8">
        <f>STAMP_Escapement_Data[[#This Row],[DATE]]-DATE(STAMP_Escapement_Data[[#This Row],[YEAR]],8,1)</f>
        <v>10</v>
      </c>
    </row>
    <row r="1958" spans="1:9" x14ac:dyDescent="0.25">
      <c r="A1958" s="1">
        <v>42228</v>
      </c>
      <c r="B1958">
        <v>812</v>
      </c>
      <c r="C1958">
        <v>2015</v>
      </c>
      <c r="D1958">
        <v>1</v>
      </c>
      <c r="E1958">
        <v>-3</v>
      </c>
      <c r="F1958">
        <v>15</v>
      </c>
      <c r="G1958">
        <v>0</v>
      </c>
      <c r="H1958">
        <f>SUMIFS($F$2:F1958,$C$2:C1958,C1958)</f>
        <v>42</v>
      </c>
      <c r="I1958" s="8">
        <f>STAMP_Escapement_Data[[#This Row],[DATE]]-DATE(STAMP_Escapement_Data[[#This Row],[YEAR]],8,1)</f>
        <v>11</v>
      </c>
    </row>
    <row r="1959" spans="1:9" x14ac:dyDescent="0.25">
      <c r="A1959" s="1">
        <v>42229</v>
      </c>
      <c r="B1959">
        <v>813</v>
      </c>
      <c r="C1959">
        <v>2015</v>
      </c>
      <c r="D1959">
        <v>0</v>
      </c>
      <c r="E1959">
        <v>0</v>
      </c>
      <c r="F1959">
        <v>8</v>
      </c>
      <c r="G1959">
        <v>1</v>
      </c>
      <c r="H1959">
        <f>SUMIFS($F$2:F1959,$C$2:C1959,C1959)</f>
        <v>50</v>
      </c>
      <c r="I1959" s="8">
        <f>STAMP_Escapement_Data[[#This Row],[DATE]]-DATE(STAMP_Escapement_Data[[#This Row],[YEAR]],8,1)</f>
        <v>12</v>
      </c>
    </row>
    <row r="1960" spans="1:9" x14ac:dyDescent="0.25">
      <c r="A1960" s="1">
        <v>42230</v>
      </c>
      <c r="B1960">
        <v>814</v>
      </c>
      <c r="C1960">
        <v>2015</v>
      </c>
      <c r="D1960">
        <v>0</v>
      </c>
      <c r="E1960">
        <v>0</v>
      </c>
      <c r="F1960">
        <v>9</v>
      </c>
      <c r="G1960">
        <v>0</v>
      </c>
      <c r="H1960">
        <f>SUMIFS($F$2:F1960,$C$2:C1960,C1960)</f>
        <v>59</v>
      </c>
      <c r="I1960" s="8">
        <f>STAMP_Escapement_Data[[#This Row],[DATE]]-DATE(STAMP_Escapement_Data[[#This Row],[YEAR]],8,1)</f>
        <v>13</v>
      </c>
    </row>
    <row r="1961" spans="1:9" x14ac:dyDescent="0.25">
      <c r="A1961" s="1">
        <v>42231</v>
      </c>
      <c r="B1961">
        <v>815</v>
      </c>
      <c r="C1961">
        <v>2015</v>
      </c>
      <c r="D1961">
        <v>7</v>
      </c>
      <c r="E1961">
        <v>0</v>
      </c>
      <c r="F1961">
        <v>16</v>
      </c>
      <c r="G1961">
        <v>1</v>
      </c>
      <c r="H1961">
        <f>SUMIFS($F$2:F1961,$C$2:C1961,C1961)</f>
        <v>75</v>
      </c>
      <c r="I1961" s="8">
        <f>STAMP_Escapement_Data[[#This Row],[DATE]]-DATE(STAMP_Escapement_Data[[#This Row],[YEAR]],8,1)</f>
        <v>14</v>
      </c>
    </row>
    <row r="1962" spans="1:9" x14ac:dyDescent="0.25">
      <c r="A1962" s="1">
        <v>42232</v>
      </c>
      <c r="B1962">
        <v>816</v>
      </c>
      <c r="C1962">
        <v>2015</v>
      </c>
      <c r="D1962">
        <v>5</v>
      </c>
      <c r="E1962">
        <v>0</v>
      </c>
      <c r="F1962">
        <v>1</v>
      </c>
      <c r="G1962">
        <v>0</v>
      </c>
      <c r="H1962">
        <f>SUMIFS($F$2:F1962,$C$2:C1962,C1962)</f>
        <v>76</v>
      </c>
      <c r="I1962" s="8">
        <f>STAMP_Escapement_Data[[#This Row],[DATE]]-DATE(STAMP_Escapement_Data[[#This Row],[YEAR]],8,1)</f>
        <v>15</v>
      </c>
    </row>
    <row r="1963" spans="1:9" x14ac:dyDescent="0.25">
      <c r="A1963" s="1">
        <v>42233</v>
      </c>
      <c r="B1963">
        <v>817</v>
      </c>
      <c r="C1963">
        <v>2015</v>
      </c>
      <c r="D1963">
        <v>4</v>
      </c>
      <c r="E1963">
        <v>0</v>
      </c>
      <c r="F1963">
        <v>20</v>
      </c>
      <c r="G1963">
        <v>2</v>
      </c>
      <c r="H1963">
        <f>SUMIFS($F$2:F1963,$C$2:C1963,C1963)</f>
        <v>96</v>
      </c>
      <c r="I1963" s="8">
        <f>STAMP_Escapement_Data[[#This Row],[DATE]]-DATE(STAMP_Escapement_Data[[#This Row],[YEAR]],8,1)</f>
        <v>16</v>
      </c>
    </row>
    <row r="1964" spans="1:9" x14ac:dyDescent="0.25">
      <c r="A1964" s="1">
        <v>42234</v>
      </c>
      <c r="B1964">
        <v>818</v>
      </c>
      <c r="C1964">
        <v>2015</v>
      </c>
      <c r="D1964">
        <v>1</v>
      </c>
      <c r="E1964">
        <v>0</v>
      </c>
      <c r="F1964">
        <v>83</v>
      </c>
      <c r="G1964">
        <v>0</v>
      </c>
      <c r="H1964">
        <f>SUMIFS($F$2:F1964,$C$2:C1964,C1964)</f>
        <v>179</v>
      </c>
      <c r="I1964" s="8">
        <f>STAMP_Escapement_Data[[#This Row],[DATE]]-DATE(STAMP_Escapement_Data[[#This Row],[YEAR]],8,1)</f>
        <v>17</v>
      </c>
    </row>
    <row r="1965" spans="1:9" x14ac:dyDescent="0.25">
      <c r="A1965" s="1">
        <v>42235</v>
      </c>
      <c r="B1965">
        <v>819</v>
      </c>
      <c r="C1965">
        <v>2015</v>
      </c>
      <c r="D1965">
        <v>0</v>
      </c>
      <c r="E1965">
        <v>0</v>
      </c>
      <c r="F1965">
        <v>63</v>
      </c>
      <c r="G1965">
        <v>0</v>
      </c>
      <c r="H1965">
        <f>SUMIFS($F$2:F1965,$C$2:C1965,C1965)</f>
        <v>242</v>
      </c>
      <c r="I1965" s="8">
        <f>STAMP_Escapement_Data[[#This Row],[DATE]]-DATE(STAMP_Escapement_Data[[#This Row],[YEAR]],8,1)</f>
        <v>18</v>
      </c>
    </row>
    <row r="1966" spans="1:9" x14ac:dyDescent="0.25">
      <c r="A1966" s="1">
        <v>42236</v>
      </c>
      <c r="B1966">
        <v>820</v>
      </c>
      <c r="C1966">
        <v>2015</v>
      </c>
      <c r="D1966">
        <v>5</v>
      </c>
      <c r="E1966">
        <v>1</v>
      </c>
      <c r="F1966">
        <v>32</v>
      </c>
      <c r="G1966">
        <v>2</v>
      </c>
      <c r="H1966">
        <f>SUMIFS($F$2:F1966,$C$2:C1966,C1966)</f>
        <v>274</v>
      </c>
      <c r="I1966" s="8">
        <f>STAMP_Escapement_Data[[#This Row],[DATE]]-DATE(STAMP_Escapement_Data[[#This Row],[YEAR]],8,1)</f>
        <v>19</v>
      </c>
    </row>
    <row r="1967" spans="1:9" x14ac:dyDescent="0.25">
      <c r="A1967" s="1">
        <v>42237</v>
      </c>
      <c r="B1967">
        <v>821</v>
      </c>
      <c r="C1967">
        <v>2015</v>
      </c>
      <c r="D1967">
        <v>3</v>
      </c>
      <c r="E1967">
        <v>0</v>
      </c>
      <c r="F1967">
        <v>13</v>
      </c>
      <c r="G1967">
        <v>1</v>
      </c>
      <c r="H1967">
        <f>SUMIFS($F$2:F1967,$C$2:C1967,C1967)</f>
        <v>287</v>
      </c>
      <c r="I1967" s="8">
        <f>STAMP_Escapement_Data[[#This Row],[DATE]]-DATE(STAMP_Escapement_Data[[#This Row],[YEAR]],8,1)</f>
        <v>20</v>
      </c>
    </row>
    <row r="1968" spans="1:9" x14ac:dyDescent="0.25">
      <c r="A1968" s="1">
        <v>42238</v>
      </c>
      <c r="B1968">
        <v>822</v>
      </c>
      <c r="C1968">
        <v>2015</v>
      </c>
      <c r="D1968">
        <v>7</v>
      </c>
      <c r="E1968">
        <v>0</v>
      </c>
      <c r="F1968">
        <v>24</v>
      </c>
      <c r="G1968">
        <v>0</v>
      </c>
      <c r="H1968">
        <f>SUMIFS($F$2:F1968,$C$2:C1968,C1968)</f>
        <v>311</v>
      </c>
      <c r="I1968" s="8">
        <f>STAMP_Escapement_Data[[#This Row],[DATE]]-DATE(STAMP_Escapement_Data[[#This Row],[YEAR]],8,1)</f>
        <v>21</v>
      </c>
    </row>
    <row r="1969" spans="1:9" x14ac:dyDescent="0.25">
      <c r="A1969" s="1">
        <v>42239</v>
      </c>
      <c r="B1969">
        <v>823</v>
      </c>
      <c r="C1969">
        <v>2015</v>
      </c>
      <c r="D1969">
        <v>9</v>
      </c>
      <c r="E1969">
        <v>2</v>
      </c>
      <c r="F1969">
        <v>50</v>
      </c>
      <c r="G1969">
        <v>2</v>
      </c>
      <c r="H1969">
        <f>SUMIFS($F$2:F1969,$C$2:C1969,C1969)</f>
        <v>361</v>
      </c>
      <c r="I1969" s="8">
        <f>STAMP_Escapement_Data[[#This Row],[DATE]]-DATE(STAMP_Escapement_Data[[#This Row],[YEAR]],8,1)</f>
        <v>22</v>
      </c>
    </row>
    <row r="1970" spans="1:9" x14ac:dyDescent="0.25">
      <c r="A1970" s="1">
        <v>42240</v>
      </c>
      <c r="B1970">
        <v>824</v>
      </c>
      <c r="C1970">
        <v>2015</v>
      </c>
      <c r="D1970">
        <v>3</v>
      </c>
      <c r="E1970">
        <v>1</v>
      </c>
      <c r="F1970">
        <v>60</v>
      </c>
      <c r="G1970">
        <v>12</v>
      </c>
      <c r="H1970">
        <f>SUMIFS($F$2:F1970,$C$2:C1970,C1970)</f>
        <v>421</v>
      </c>
      <c r="I1970" s="8">
        <f>STAMP_Escapement_Data[[#This Row],[DATE]]-DATE(STAMP_Escapement_Data[[#This Row],[YEAR]],8,1)</f>
        <v>23</v>
      </c>
    </row>
    <row r="1971" spans="1:9" x14ac:dyDescent="0.25">
      <c r="A1971" s="1">
        <v>42241</v>
      </c>
      <c r="B1971">
        <v>825</v>
      </c>
      <c r="C1971">
        <v>2015</v>
      </c>
      <c r="D1971">
        <v>43</v>
      </c>
      <c r="E1971">
        <v>6</v>
      </c>
      <c r="F1971">
        <v>142</v>
      </c>
      <c r="G1971">
        <v>1</v>
      </c>
      <c r="H1971">
        <f>SUMIFS($F$2:F1971,$C$2:C1971,C1971)</f>
        <v>563</v>
      </c>
      <c r="I1971" s="8">
        <f>STAMP_Escapement_Data[[#This Row],[DATE]]-DATE(STAMP_Escapement_Data[[#This Row],[YEAR]],8,1)</f>
        <v>24</v>
      </c>
    </row>
    <row r="1972" spans="1:9" x14ac:dyDescent="0.25">
      <c r="A1972" s="1">
        <v>42242</v>
      </c>
      <c r="B1972">
        <v>826</v>
      </c>
      <c r="C1972">
        <v>2015</v>
      </c>
      <c r="D1972">
        <v>102</v>
      </c>
      <c r="E1972">
        <v>12</v>
      </c>
      <c r="F1972">
        <v>201</v>
      </c>
      <c r="G1972">
        <v>3</v>
      </c>
      <c r="H1972">
        <f>SUMIFS($F$2:F1972,$C$2:C1972,C1972)</f>
        <v>764</v>
      </c>
      <c r="I1972" s="8">
        <f>STAMP_Escapement_Data[[#This Row],[DATE]]-DATE(STAMP_Escapement_Data[[#This Row],[YEAR]],8,1)</f>
        <v>25</v>
      </c>
    </row>
    <row r="1973" spans="1:9" x14ac:dyDescent="0.25">
      <c r="A1973" s="1">
        <v>42243</v>
      </c>
      <c r="B1973">
        <v>827</v>
      </c>
      <c r="C1973">
        <v>2015</v>
      </c>
      <c r="D1973">
        <v>40</v>
      </c>
      <c r="E1973">
        <v>10</v>
      </c>
      <c r="F1973">
        <v>77</v>
      </c>
      <c r="G1973">
        <v>8</v>
      </c>
      <c r="H1973">
        <f>SUMIFS($F$2:F1973,$C$2:C1973,C1973)</f>
        <v>841</v>
      </c>
      <c r="I1973" s="8">
        <f>STAMP_Escapement_Data[[#This Row],[DATE]]-DATE(STAMP_Escapement_Data[[#This Row],[YEAR]],8,1)</f>
        <v>26</v>
      </c>
    </row>
    <row r="1974" spans="1:9" x14ac:dyDescent="0.25">
      <c r="A1974" s="1">
        <v>42244</v>
      </c>
      <c r="B1974">
        <v>828</v>
      </c>
      <c r="C1974">
        <v>2015</v>
      </c>
      <c r="D1974">
        <v>48</v>
      </c>
      <c r="E1974">
        <v>0</v>
      </c>
      <c r="F1974">
        <v>168</v>
      </c>
      <c r="G1974">
        <v>6</v>
      </c>
      <c r="H1974">
        <f>SUMIFS($F$2:F1974,$C$2:C1974,C1974)</f>
        <v>1009</v>
      </c>
      <c r="I1974" s="8">
        <f>STAMP_Escapement_Data[[#This Row],[DATE]]-DATE(STAMP_Escapement_Data[[#This Row],[YEAR]],8,1)</f>
        <v>27</v>
      </c>
    </row>
    <row r="1975" spans="1:9" x14ac:dyDescent="0.25">
      <c r="A1975" s="1">
        <v>42245</v>
      </c>
      <c r="B1975">
        <v>829</v>
      </c>
      <c r="C1975">
        <v>2015</v>
      </c>
      <c r="D1975">
        <v>121</v>
      </c>
      <c r="E1975">
        <v>34</v>
      </c>
      <c r="F1975">
        <v>252</v>
      </c>
      <c r="G1975">
        <v>24</v>
      </c>
      <c r="H1975">
        <f>SUMIFS($F$2:F1975,$C$2:C1975,C1975)</f>
        <v>1261</v>
      </c>
      <c r="I1975" s="8">
        <f>STAMP_Escapement_Data[[#This Row],[DATE]]-DATE(STAMP_Escapement_Data[[#This Row],[YEAR]],8,1)</f>
        <v>28</v>
      </c>
    </row>
    <row r="1976" spans="1:9" x14ac:dyDescent="0.25">
      <c r="A1976" s="1">
        <v>42246</v>
      </c>
      <c r="B1976">
        <v>830</v>
      </c>
      <c r="C1976">
        <v>2015</v>
      </c>
      <c r="D1976">
        <v>226</v>
      </c>
      <c r="E1976">
        <v>8</v>
      </c>
      <c r="F1976">
        <v>448</v>
      </c>
      <c r="G1976">
        <v>8</v>
      </c>
      <c r="H1976">
        <f>SUMIFS($F$2:F1976,$C$2:C1976,C1976)</f>
        <v>1709</v>
      </c>
      <c r="I1976" s="8">
        <f>STAMP_Escapement_Data[[#This Row],[DATE]]-DATE(STAMP_Escapement_Data[[#This Row],[YEAR]],8,1)</f>
        <v>29</v>
      </c>
    </row>
    <row r="1977" spans="1:9" x14ac:dyDescent="0.25">
      <c r="A1977" s="1">
        <v>42247</v>
      </c>
      <c r="B1977">
        <v>831</v>
      </c>
      <c r="C1977">
        <v>2015</v>
      </c>
      <c r="D1977">
        <v>105</v>
      </c>
      <c r="E1977">
        <v>15</v>
      </c>
      <c r="F1977">
        <v>543</v>
      </c>
      <c r="G1977">
        <v>3</v>
      </c>
      <c r="H1977">
        <f>SUMIFS($F$2:F1977,$C$2:C1977,C1977)</f>
        <v>2252</v>
      </c>
      <c r="I1977" s="8">
        <f>STAMP_Escapement_Data[[#This Row],[DATE]]-DATE(STAMP_Escapement_Data[[#This Row],[YEAR]],8,1)</f>
        <v>30</v>
      </c>
    </row>
    <row r="1978" spans="1:9" x14ac:dyDescent="0.25">
      <c r="A1978" s="1">
        <v>42248</v>
      </c>
      <c r="B1978">
        <v>901</v>
      </c>
      <c r="C1978">
        <v>2015</v>
      </c>
      <c r="D1978">
        <v>216</v>
      </c>
      <c r="E1978">
        <v>0</v>
      </c>
      <c r="F1978">
        <v>276</v>
      </c>
      <c r="G1978">
        <v>0</v>
      </c>
      <c r="H1978">
        <f>SUMIFS($F$2:F1978,$C$2:C1978,C1978)</f>
        <v>2528</v>
      </c>
      <c r="I1978" s="8">
        <f>STAMP_Escapement_Data[[#This Row],[DATE]]-DATE(STAMP_Escapement_Data[[#This Row],[YEAR]],8,1)</f>
        <v>31</v>
      </c>
    </row>
    <row r="1979" spans="1:9" x14ac:dyDescent="0.25">
      <c r="A1979" s="1">
        <v>42249</v>
      </c>
      <c r="B1979">
        <v>902</v>
      </c>
      <c r="C1979">
        <v>2015</v>
      </c>
      <c r="D1979">
        <v>108</v>
      </c>
      <c r="E1979">
        <v>0</v>
      </c>
      <c r="F1979">
        <v>66</v>
      </c>
      <c r="G1979">
        <v>6</v>
      </c>
      <c r="H1979">
        <f>SUMIFS($F$2:F1979,$C$2:C1979,C1979)</f>
        <v>2594</v>
      </c>
      <c r="I1979" s="8">
        <f>STAMP_Escapement_Data[[#This Row],[DATE]]-DATE(STAMP_Escapement_Data[[#This Row],[YEAR]],8,1)</f>
        <v>32</v>
      </c>
    </row>
    <row r="1980" spans="1:9" x14ac:dyDescent="0.25">
      <c r="A1980" s="1">
        <v>42250</v>
      </c>
      <c r="B1980">
        <v>903</v>
      </c>
      <c r="C1980">
        <v>2015</v>
      </c>
      <c r="D1980">
        <v>36</v>
      </c>
      <c r="E1980">
        <v>0</v>
      </c>
      <c r="F1980">
        <v>18</v>
      </c>
      <c r="G1980">
        <v>0</v>
      </c>
      <c r="H1980">
        <f>SUMIFS($F$2:F1980,$C$2:C1980,C1980)</f>
        <v>2612</v>
      </c>
      <c r="I1980" s="8">
        <f>STAMP_Escapement_Data[[#This Row],[DATE]]-DATE(STAMP_Escapement_Data[[#This Row],[YEAR]],8,1)</f>
        <v>33</v>
      </c>
    </row>
    <row r="1981" spans="1:9" x14ac:dyDescent="0.25">
      <c r="A1981" s="1">
        <v>42251</v>
      </c>
      <c r="B1981">
        <v>904</v>
      </c>
      <c r="C1981">
        <v>2015</v>
      </c>
      <c r="D1981">
        <v>18</v>
      </c>
      <c r="E1981">
        <v>0</v>
      </c>
      <c r="F1981">
        <v>30</v>
      </c>
      <c r="G1981">
        <v>0</v>
      </c>
      <c r="H1981">
        <f>SUMIFS($F$2:F1981,$C$2:C1981,C1981)</f>
        <v>2642</v>
      </c>
      <c r="I1981" s="8">
        <f>STAMP_Escapement_Data[[#This Row],[DATE]]-DATE(STAMP_Escapement_Data[[#This Row],[YEAR]],8,1)</f>
        <v>34</v>
      </c>
    </row>
    <row r="1982" spans="1:9" x14ac:dyDescent="0.25">
      <c r="A1982" s="1">
        <v>42252</v>
      </c>
      <c r="B1982">
        <v>905</v>
      </c>
      <c r="C1982">
        <v>2015</v>
      </c>
      <c r="D1982">
        <v>6</v>
      </c>
      <c r="E1982">
        <v>0</v>
      </c>
      <c r="F1982">
        <v>12</v>
      </c>
      <c r="G1982">
        <v>0</v>
      </c>
      <c r="H1982">
        <f>SUMIFS($F$2:F1982,$C$2:C1982,C1982)</f>
        <v>2654</v>
      </c>
      <c r="I1982" s="8">
        <f>STAMP_Escapement_Data[[#This Row],[DATE]]-DATE(STAMP_Escapement_Data[[#This Row],[YEAR]],8,1)</f>
        <v>35</v>
      </c>
    </row>
    <row r="1983" spans="1:9" x14ac:dyDescent="0.25">
      <c r="A1983" s="1">
        <v>42253</v>
      </c>
      <c r="B1983">
        <v>906</v>
      </c>
      <c r="C1983">
        <v>2015</v>
      </c>
      <c r="D1983">
        <v>24</v>
      </c>
      <c r="E1983">
        <v>0</v>
      </c>
      <c r="F1983">
        <v>12</v>
      </c>
      <c r="G1983">
        <v>0</v>
      </c>
      <c r="H1983">
        <f>SUMIFS($F$2:F1983,$C$2:C1983,C1983)</f>
        <v>2666</v>
      </c>
      <c r="I1983" s="8">
        <f>STAMP_Escapement_Data[[#This Row],[DATE]]-DATE(STAMP_Escapement_Data[[#This Row],[YEAR]],8,1)</f>
        <v>36</v>
      </c>
    </row>
    <row r="1984" spans="1:9" x14ac:dyDescent="0.25">
      <c r="A1984" s="1">
        <v>42254</v>
      </c>
      <c r="B1984">
        <v>907</v>
      </c>
      <c r="C1984">
        <v>2015</v>
      </c>
      <c r="D1984">
        <v>18</v>
      </c>
      <c r="E1984">
        <v>6</v>
      </c>
      <c r="F1984">
        <v>24</v>
      </c>
      <c r="G1984">
        <v>0</v>
      </c>
      <c r="H1984">
        <f>SUMIFS($F$2:F1984,$C$2:C1984,C1984)</f>
        <v>2690</v>
      </c>
      <c r="I1984" s="8">
        <f>STAMP_Escapement_Data[[#This Row],[DATE]]-DATE(STAMP_Escapement_Data[[#This Row],[YEAR]],8,1)</f>
        <v>37</v>
      </c>
    </row>
    <row r="1985" spans="1:9" x14ac:dyDescent="0.25">
      <c r="A1985" s="1">
        <v>42255</v>
      </c>
      <c r="B1985">
        <v>908</v>
      </c>
      <c r="C1985">
        <v>2015</v>
      </c>
      <c r="D1985">
        <v>126</v>
      </c>
      <c r="E1985">
        <v>6</v>
      </c>
      <c r="F1985">
        <v>42</v>
      </c>
      <c r="G1985">
        <v>0</v>
      </c>
      <c r="H1985">
        <f>SUMIFS($F$2:F1985,$C$2:C1985,C1985)</f>
        <v>2732</v>
      </c>
      <c r="I1985" s="8">
        <f>STAMP_Escapement_Data[[#This Row],[DATE]]-DATE(STAMP_Escapement_Data[[#This Row],[YEAR]],8,1)</f>
        <v>38</v>
      </c>
    </row>
    <row r="1986" spans="1:9" x14ac:dyDescent="0.25">
      <c r="A1986" s="1">
        <v>42256</v>
      </c>
      <c r="B1986">
        <v>909</v>
      </c>
      <c r="C1986">
        <v>2015</v>
      </c>
      <c r="D1986">
        <v>132</v>
      </c>
      <c r="E1986">
        <v>0</v>
      </c>
      <c r="F1986">
        <v>18</v>
      </c>
      <c r="G1986">
        <v>6</v>
      </c>
      <c r="H1986">
        <f>SUMIFS($F$2:F1986,$C$2:C1986,C1986)</f>
        <v>2750</v>
      </c>
      <c r="I1986" s="8">
        <f>STAMP_Escapement_Data[[#This Row],[DATE]]-DATE(STAMP_Escapement_Data[[#This Row],[YEAR]],8,1)</f>
        <v>39</v>
      </c>
    </row>
    <row r="1987" spans="1:9" x14ac:dyDescent="0.25">
      <c r="A1987" s="1">
        <v>42257</v>
      </c>
      <c r="B1987">
        <v>910</v>
      </c>
      <c r="C1987">
        <v>2015</v>
      </c>
      <c r="D1987">
        <v>323</v>
      </c>
      <c r="E1987">
        <v>56</v>
      </c>
      <c r="F1987">
        <v>105</v>
      </c>
      <c r="G1987">
        <v>6</v>
      </c>
      <c r="H1987">
        <f>SUMIFS($F$2:F1987,$C$2:C1987,C1987)</f>
        <v>2855</v>
      </c>
      <c r="I1987" s="8">
        <f>STAMP_Escapement_Data[[#This Row],[DATE]]-DATE(STAMP_Escapement_Data[[#This Row],[YEAR]],8,1)</f>
        <v>40</v>
      </c>
    </row>
    <row r="1988" spans="1:9" x14ac:dyDescent="0.25">
      <c r="A1988" s="1">
        <v>42258</v>
      </c>
      <c r="B1988">
        <v>911</v>
      </c>
      <c r="C1988">
        <v>2015</v>
      </c>
      <c r="D1988">
        <v>624</v>
      </c>
      <c r="E1988">
        <v>108</v>
      </c>
      <c r="F1988">
        <v>102</v>
      </c>
      <c r="G1988">
        <v>12</v>
      </c>
      <c r="H1988">
        <f>SUMIFS($F$2:F1988,$C$2:C1988,C1988)</f>
        <v>2957</v>
      </c>
      <c r="I1988" s="8">
        <f>STAMP_Escapement_Data[[#This Row],[DATE]]-DATE(STAMP_Escapement_Data[[#This Row],[YEAR]],8,1)</f>
        <v>41</v>
      </c>
    </row>
    <row r="1989" spans="1:9" x14ac:dyDescent="0.25">
      <c r="A1989" s="1">
        <v>42259</v>
      </c>
      <c r="B1989">
        <v>912</v>
      </c>
      <c r="C1989">
        <v>2015</v>
      </c>
      <c r="D1989">
        <v>762</v>
      </c>
      <c r="E1989">
        <v>168</v>
      </c>
      <c r="F1989">
        <v>240</v>
      </c>
      <c r="G1989">
        <v>12</v>
      </c>
      <c r="H1989">
        <f>SUMIFS($F$2:F1989,$C$2:C1989,C1989)</f>
        <v>3197</v>
      </c>
      <c r="I1989" s="8">
        <f>STAMP_Escapement_Data[[#This Row],[DATE]]-DATE(STAMP_Escapement_Data[[#This Row],[YEAR]],8,1)</f>
        <v>42</v>
      </c>
    </row>
    <row r="1990" spans="1:9" x14ac:dyDescent="0.25">
      <c r="A1990" s="1">
        <v>42260</v>
      </c>
      <c r="B1990">
        <v>913</v>
      </c>
      <c r="C1990">
        <v>2015</v>
      </c>
      <c r="D1990">
        <v>528</v>
      </c>
      <c r="E1990">
        <v>174</v>
      </c>
      <c r="F1990">
        <v>384</v>
      </c>
      <c r="G1990">
        <v>18</v>
      </c>
      <c r="H1990">
        <f>SUMIFS($F$2:F1990,$C$2:C1990,C1990)</f>
        <v>3581</v>
      </c>
      <c r="I1990" s="8">
        <f>STAMP_Escapement_Data[[#This Row],[DATE]]-DATE(STAMP_Escapement_Data[[#This Row],[YEAR]],8,1)</f>
        <v>43</v>
      </c>
    </row>
    <row r="1991" spans="1:9" x14ac:dyDescent="0.25">
      <c r="A1991" s="1">
        <v>42261</v>
      </c>
      <c r="B1991">
        <v>914</v>
      </c>
      <c r="C1991">
        <v>2015</v>
      </c>
      <c r="D1991">
        <v>911</v>
      </c>
      <c r="E1991">
        <v>197</v>
      </c>
      <c r="F1991">
        <v>638</v>
      </c>
      <c r="G1991">
        <v>84</v>
      </c>
      <c r="H1991">
        <f>SUMIFS($F$2:F1991,$C$2:C1991,C1991)</f>
        <v>4219</v>
      </c>
      <c r="I1991" s="8">
        <f>STAMP_Escapement_Data[[#This Row],[DATE]]-DATE(STAMP_Escapement_Data[[#This Row],[YEAR]],8,1)</f>
        <v>44</v>
      </c>
    </row>
    <row r="1992" spans="1:9" x14ac:dyDescent="0.25">
      <c r="A1992" s="1">
        <v>42262</v>
      </c>
      <c r="B1992">
        <v>915</v>
      </c>
      <c r="C1992">
        <v>2015</v>
      </c>
      <c r="D1992">
        <v>699</v>
      </c>
      <c r="E1992">
        <v>203</v>
      </c>
      <c r="F1992">
        <v>534</v>
      </c>
      <c r="G1992">
        <v>50</v>
      </c>
      <c r="H1992">
        <f>SUMIFS($F$2:F1992,$C$2:C1992,C1992)</f>
        <v>4753</v>
      </c>
      <c r="I1992" s="8">
        <f>STAMP_Escapement_Data[[#This Row],[DATE]]-DATE(STAMP_Escapement_Data[[#This Row],[YEAR]],8,1)</f>
        <v>45</v>
      </c>
    </row>
    <row r="1993" spans="1:9" x14ac:dyDescent="0.25">
      <c r="A1993" s="1">
        <v>42263</v>
      </c>
      <c r="B1993">
        <v>916</v>
      </c>
      <c r="C1993">
        <v>2015</v>
      </c>
      <c r="D1993">
        <v>565</v>
      </c>
      <c r="E1993">
        <v>157</v>
      </c>
      <c r="F1993">
        <v>686</v>
      </c>
      <c r="G1993">
        <v>51</v>
      </c>
      <c r="H1993">
        <f>SUMIFS($F$2:F1993,$C$2:C1993,C1993)</f>
        <v>5439</v>
      </c>
      <c r="I1993" s="8">
        <f>STAMP_Escapement_Data[[#This Row],[DATE]]-DATE(STAMP_Escapement_Data[[#This Row],[YEAR]],8,1)</f>
        <v>46</v>
      </c>
    </row>
    <row r="1994" spans="1:9" x14ac:dyDescent="0.25">
      <c r="A1994" s="1">
        <v>42264</v>
      </c>
      <c r="B1994">
        <v>917</v>
      </c>
      <c r="C1994">
        <v>2015</v>
      </c>
      <c r="D1994">
        <v>599</v>
      </c>
      <c r="E1994">
        <v>205</v>
      </c>
      <c r="F1994">
        <v>993</v>
      </c>
      <c r="G1994">
        <v>40</v>
      </c>
      <c r="H1994">
        <f>SUMIFS($F$2:F1994,$C$2:C1994,C1994)</f>
        <v>6432</v>
      </c>
      <c r="I1994" s="8">
        <f>STAMP_Escapement_Data[[#This Row],[DATE]]-DATE(STAMP_Escapement_Data[[#This Row],[YEAR]],8,1)</f>
        <v>47</v>
      </c>
    </row>
    <row r="1995" spans="1:9" x14ac:dyDescent="0.25">
      <c r="A1995" s="1">
        <v>42265</v>
      </c>
      <c r="B1995">
        <v>918</v>
      </c>
      <c r="C1995">
        <v>2015</v>
      </c>
      <c r="D1995">
        <v>398</v>
      </c>
      <c r="E1995">
        <v>120</v>
      </c>
      <c r="F1995">
        <v>494</v>
      </c>
      <c r="G1995">
        <v>14</v>
      </c>
      <c r="H1995">
        <f>SUMIFS($F$2:F1995,$C$2:C1995,C1995)</f>
        <v>6926</v>
      </c>
      <c r="I1995" s="8">
        <f>STAMP_Escapement_Data[[#This Row],[DATE]]-DATE(STAMP_Escapement_Data[[#This Row],[YEAR]],8,1)</f>
        <v>48</v>
      </c>
    </row>
    <row r="1996" spans="1:9" x14ac:dyDescent="0.25">
      <c r="A1996" s="1">
        <v>42266</v>
      </c>
      <c r="B1996">
        <v>919</v>
      </c>
      <c r="C1996">
        <v>2015</v>
      </c>
      <c r="D1996">
        <v>326</v>
      </c>
      <c r="E1996">
        <v>88</v>
      </c>
      <c r="F1996">
        <v>764</v>
      </c>
      <c r="G1996">
        <v>46</v>
      </c>
      <c r="H1996">
        <f>SUMIFS($F$2:F1996,$C$2:C1996,C1996)</f>
        <v>7690</v>
      </c>
      <c r="I1996" s="8">
        <f>STAMP_Escapement_Data[[#This Row],[DATE]]-DATE(STAMP_Escapement_Data[[#This Row],[YEAR]],8,1)</f>
        <v>49</v>
      </c>
    </row>
    <row r="1997" spans="1:9" x14ac:dyDescent="0.25">
      <c r="A1997" s="1">
        <v>42267</v>
      </c>
      <c r="B1997">
        <v>920</v>
      </c>
      <c r="C1997">
        <v>2015</v>
      </c>
      <c r="D1997">
        <v>740</v>
      </c>
      <c r="E1997">
        <v>97</v>
      </c>
      <c r="F1997">
        <v>4657</v>
      </c>
      <c r="G1997">
        <v>141</v>
      </c>
      <c r="H1997">
        <f>SUMIFS($F$2:F1997,$C$2:C1997,C1997)</f>
        <v>12347</v>
      </c>
      <c r="I1997" s="8">
        <f>STAMP_Escapement_Data[[#This Row],[DATE]]-DATE(STAMP_Escapement_Data[[#This Row],[YEAR]],8,1)</f>
        <v>50</v>
      </c>
    </row>
    <row r="1998" spans="1:9" x14ac:dyDescent="0.25">
      <c r="A1998" s="1">
        <v>42268</v>
      </c>
      <c r="B1998">
        <v>921</v>
      </c>
      <c r="C1998">
        <v>2015</v>
      </c>
      <c r="D1998">
        <v>948</v>
      </c>
      <c r="E1998">
        <v>183</v>
      </c>
      <c r="F1998">
        <v>11322</v>
      </c>
      <c r="G1998">
        <v>189</v>
      </c>
      <c r="H1998">
        <f>SUMIFS($F$2:F1998,$C$2:C1998,C1998)</f>
        <v>23669</v>
      </c>
      <c r="I1998" s="8">
        <f>STAMP_Escapement_Data[[#This Row],[DATE]]-DATE(STAMP_Escapement_Data[[#This Row],[YEAR]],8,1)</f>
        <v>51</v>
      </c>
    </row>
    <row r="1999" spans="1:9" x14ac:dyDescent="0.25">
      <c r="A1999" s="1">
        <v>42269</v>
      </c>
      <c r="B1999">
        <v>922</v>
      </c>
      <c r="C1999">
        <v>2015</v>
      </c>
      <c r="D1999">
        <v>579</v>
      </c>
      <c r="E1999">
        <v>156</v>
      </c>
      <c r="F1999">
        <v>6351</v>
      </c>
      <c r="G1999">
        <v>255</v>
      </c>
      <c r="H1999">
        <f>SUMIFS($F$2:F1999,$C$2:C1999,C1999)</f>
        <v>30020</v>
      </c>
      <c r="I1999" s="8">
        <f>STAMP_Escapement_Data[[#This Row],[DATE]]-DATE(STAMP_Escapement_Data[[#This Row],[YEAR]],8,1)</f>
        <v>52</v>
      </c>
    </row>
    <row r="2000" spans="1:9" x14ac:dyDescent="0.25">
      <c r="A2000" s="1">
        <v>42270</v>
      </c>
      <c r="B2000">
        <v>923</v>
      </c>
      <c r="C2000">
        <v>2015</v>
      </c>
      <c r="D2000">
        <v>297</v>
      </c>
      <c r="E2000">
        <v>117</v>
      </c>
      <c r="F2000">
        <v>3627</v>
      </c>
      <c r="G2000">
        <v>96</v>
      </c>
      <c r="H2000">
        <f>SUMIFS($F$2:F2000,$C$2:C2000,C2000)</f>
        <v>33647</v>
      </c>
      <c r="I2000" s="8">
        <f>STAMP_Escapement_Data[[#This Row],[DATE]]-DATE(STAMP_Escapement_Data[[#This Row],[YEAR]],8,1)</f>
        <v>53</v>
      </c>
    </row>
    <row r="2001" spans="1:9" x14ac:dyDescent="0.25">
      <c r="A2001" s="1">
        <v>42271</v>
      </c>
      <c r="B2001">
        <v>924</v>
      </c>
      <c r="C2001">
        <v>2015</v>
      </c>
      <c r="D2001">
        <v>228</v>
      </c>
      <c r="E2001">
        <v>42</v>
      </c>
      <c r="F2001">
        <v>1308</v>
      </c>
      <c r="G2001">
        <v>18</v>
      </c>
      <c r="H2001">
        <f>SUMIFS($F$2:F2001,$C$2:C2001,C2001)</f>
        <v>34955</v>
      </c>
      <c r="I2001" s="8">
        <f>STAMP_Escapement_Data[[#This Row],[DATE]]-DATE(STAMP_Escapement_Data[[#This Row],[YEAR]],8,1)</f>
        <v>54</v>
      </c>
    </row>
    <row r="2002" spans="1:9" x14ac:dyDescent="0.25">
      <c r="A2002" s="1">
        <v>42272</v>
      </c>
      <c r="B2002">
        <v>925</v>
      </c>
      <c r="C2002">
        <v>2015</v>
      </c>
      <c r="D2002">
        <v>378</v>
      </c>
      <c r="E2002">
        <v>42</v>
      </c>
      <c r="F2002">
        <v>1632</v>
      </c>
      <c r="G2002">
        <v>60</v>
      </c>
      <c r="H2002">
        <f>SUMIFS($F$2:F2002,$C$2:C2002,C2002)</f>
        <v>36587</v>
      </c>
      <c r="I2002" s="8">
        <f>STAMP_Escapement_Data[[#This Row],[DATE]]-DATE(STAMP_Escapement_Data[[#This Row],[YEAR]],8,1)</f>
        <v>55</v>
      </c>
    </row>
    <row r="2003" spans="1:9" x14ac:dyDescent="0.25">
      <c r="A2003" s="1">
        <v>42273</v>
      </c>
      <c r="B2003">
        <v>926</v>
      </c>
      <c r="C2003">
        <v>2015</v>
      </c>
      <c r="D2003">
        <v>348</v>
      </c>
      <c r="E2003">
        <v>48</v>
      </c>
      <c r="F2003">
        <v>2328</v>
      </c>
      <c r="G2003">
        <v>54</v>
      </c>
      <c r="H2003">
        <f>SUMIFS($F$2:F2003,$C$2:C2003,C2003)</f>
        <v>38915</v>
      </c>
      <c r="I2003" s="8">
        <f>STAMP_Escapement_Data[[#This Row],[DATE]]-DATE(STAMP_Escapement_Data[[#This Row],[YEAR]],8,1)</f>
        <v>56</v>
      </c>
    </row>
    <row r="2004" spans="1:9" x14ac:dyDescent="0.25">
      <c r="A2004" s="1">
        <v>42274</v>
      </c>
      <c r="B2004">
        <v>927</v>
      </c>
      <c r="C2004">
        <v>2015</v>
      </c>
      <c r="D2004">
        <v>279</v>
      </c>
      <c r="E2004">
        <v>87</v>
      </c>
      <c r="F2004">
        <v>1766</v>
      </c>
      <c r="G2004">
        <v>69</v>
      </c>
      <c r="H2004">
        <f>SUMIFS($F$2:F2004,$C$2:C2004,C2004)</f>
        <v>40681</v>
      </c>
      <c r="I2004" s="8">
        <f>STAMP_Escapement_Data[[#This Row],[DATE]]-DATE(STAMP_Escapement_Data[[#This Row],[YEAR]],8,1)</f>
        <v>57</v>
      </c>
    </row>
    <row r="2005" spans="1:9" x14ac:dyDescent="0.25">
      <c r="A2005" s="1">
        <v>42275</v>
      </c>
      <c r="B2005">
        <v>928</v>
      </c>
      <c r="C2005">
        <v>2015</v>
      </c>
      <c r="D2005">
        <v>114</v>
      </c>
      <c r="E2005">
        <v>36</v>
      </c>
      <c r="F2005">
        <v>747</v>
      </c>
      <c r="G2005">
        <v>9</v>
      </c>
      <c r="H2005">
        <f>SUMIFS($F$2:F2005,$C$2:C2005,C2005)</f>
        <v>41428</v>
      </c>
      <c r="I2005" s="8">
        <f>STAMP_Escapement_Data[[#This Row],[DATE]]-DATE(STAMP_Escapement_Data[[#This Row],[YEAR]],8,1)</f>
        <v>58</v>
      </c>
    </row>
    <row r="2006" spans="1:9" x14ac:dyDescent="0.25">
      <c r="A2006" s="1">
        <v>42276</v>
      </c>
      <c r="B2006">
        <v>929</v>
      </c>
      <c r="C2006">
        <v>2015</v>
      </c>
      <c r="D2006">
        <v>82</v>
      </c>
      <c r="E2006">
        <v>14</v>
      </c>
      <c r="F2006">
        <v>1082</v>
      </c>
      <c r="G2006">
        <v>17</v>
      </c>
      <c r="H2006">
        <f>SUMIFS($F$2:F2006,$C$2:C2006,C2006)</f>
        <v>42510</v>
      </c>
      <c r="I2006" s="8">
        <f>STAMP_Escapement_Data[[#This Row],[DATE]]-DATE(STAMP_Escapement_Data[[#This Row],[YEAR]],8,1)</f>
        <v>59</v>
      </c>
    </row>
    <row r="2007" spans="1:9" x14ac:dyDescent="0.25">
      <c r="A2007" s="1">
        <v>42277</v>
      </c>
      <c r="B2007">
        <v>930</v>
      </c>
      <c r="C2007">
        <v>2015</v>
      </c>
      <c r="D2007">
        <v>51</v>
      </c>
      <c r="E2007">
        <v>12</v>
      </c>
      <c r="F2007">
        <v>779</v>
      </c>
      <c r="G2007">
        <v>3</v>
      </c>
      <c r="H2007">
        <f>SUMIFS($F$2:F2007,$C$2:C2007,C2007)</f>
        <v>43289</v>
      </c>
      <c r="I2007" s="8">
        <f>STAMP_Escapement_Data[[#This Row],[DATE]]-DATE(STAMP_Escapement_Data[[#This Row],[YEAR]],8,1)</f>
        <v>60</v>
      </c>
    </row>
    <row r="2008" spans="1:9" x14ac:dyDescent="0.25">
      <c r="A2008" s="1">
        <v>42278</v>
      </c>
      <c r="B2008">
        <v>1001</v>
      </c>
      <c r="C2008">
        <v>2015</v>
      </c>
      <c r="D2008">
        <v>57</v>
      </c>
      <c r="E2008">
        <v>33</v>
      </c>
      <c r="F2008">
        <v>80</v>
      </c>
      <c r="G2008">
        <v>2</v>
      </c>
      <c r="H2008">
        <f>SUMIFS($F$2:F2008,$C$2:C2008,C2008)</f>
        <v>43369</v>
      </c>
      <c r="I2008" s="8">
        <f>STAMP_Escapement_Data[[#This Row],[DATE]]-DATE(STAMP_Escapement_Data[[#This Row],[YEAR]],8,1)</f>
        <v>61</v>
      </c>
    </row>
    <row r="2009" spans="1:9" x14ac:dyDescent="0.25">
      <c r="A2009" s="1">
        <v>42279</v>
      </c>
      <c r="B2009">
        <v>1002</v>
      </c>
      <c r="C2009">
        <v>2015</v>
      </c>
      <c r="D2009">
        <v>164</v>
      </c>
      <c r="E2009">
        <v>46</v>
      </c>
      <c r="F2009">
        <v>682</v>
      </c>
      <c r="G2009">
        <v>17</v>
      </c>
      <c r="H2009">
        <f>SUMIFS($F$2:F2009,$C$2:C2009,C2009)</f>
        <v>44051</v>
      </c>
      <c r="I2009" s="8">
        <f>STAMP_Escapement_Data[[#This Row],[DATE]]-DATE(STAMP_Escapement_Data[[#This Row],[YEAR]],8,1)</f>
        <v>62</v>
      </c>
    </row>
    <row r="2010" spans="1:9" x14ac:dyDescent="0.25">
      <c r="A2010" s="1">
        <v>42280</v>
      </c>
      <c r="B2010">
        <v>1003</v>
      </c>
      <c r="C2010">
        <v>2015</v>
      </c>
      <c r="D2010">
        <v>166</v>
      </c>
      <c r="E2010">
        <v>12</v>
      </c>
      <c r="F2010">
        <v>743</v>
      </c>
      <c r="G2010">
        <v>22</v>
      </c>
      <c r="H2010">
        <f>SUMIFS($F$2:F2010,$C$2:C2010,C2010)</f>
        <v>44794</v>
      </c>
      <c r="I2010" s="8">
        <f>STAMP_Escapement_Data[[#This Row],[DATE]]-DATE(STAMP_Escapement_Data[[#This Row],[YEAR]],8,1)</f>
        <v>63</v>
      </c>
    </row>
    <row r="2011" spans="1:9" x14ac:dyDescent="0.25">
      <c r="A2011" s="1">
        <v>42281</v>
      </c>
      <c r="B2011">
        <v>1004</v>
      </c>
      <c r="C2011">
        <v>2015</v>
      </c>
      <c r="D2011">
        <v>78</v>
      </c>
      <c r="E2011">
        <v>10</v>
      </c>
      <c r="F2011">
        <v>739</v>
      </c>
      <c r="G2011">
        <v>24</v>
      </c>
      <c r="H2011">
        <f>SUMIFS($F$2:F2011,$C$2:C2011,C2011)</f>
        <v>45533</v>
      </c>
      <c r="I2011" s="8">
        <f>STAMP_Escapement_Data[[#This Row],[DATE]]-DATE(STAMP_Escapement_Data[[#This Row],[YEAR]],8,1)</f>
        <v>64</v>
      </c>
    </row>
    <row r="2012" spans="1:9" x14ac:dyDescent="0.25">
      <c r="A2012" s="1">
        <v>42282</v>
      </c>
      <c r="B2012">
        <v>1005</v>
      </c>
      <c r="C2012">
        <v>2015</v>
      </c>
      <c r="D2012">
        <v>99</v>
      </c>
      <c r="E2012">
        <v>32</v>
      </c>
      <c r="F2012">
        <v>858</v>
      </c>
      <c r="G2012">
        <v>29</v>
      </c>
      <c r="H2012">
        <f>SUMIFS($F$2:F2012,$C$2:C2012,C2012)</f>
        <v>46391</v>
      </c>
      <c r="I2012" s="8">
        <f>STAMP_Escapement_Data[[#This Row],[DATE]]-DATE(STAMP_Escapement_Data[[#This Row],[YEAR]],8,1)</f>
        <v>65</v>
      </c>
    </row>
    <row r="2013" spans="1:9" x14ac:dyDescent="0.25">
      <c r="A2013" s="1">
        <v>42283</v>
      </c>
      <c r="B2013">
        <v>1006</v>
      </c>
      <c r="C2013">
        <v>2015</v>
      </c>
      <c r="D2013">
        <v>175</v>
      </c>
      <c r="E2013">
        <v>28</v>
      </c>
      <c r="F2013">
        <v>1534</v>
      </c>
      <c r="G2013">
        <v>59</v>
      </c>
      <c r="H2013">
        <f>SUMIFS($F$2:F2013,$C$2:C2013,C2013)</f>
        <v>47925</v>
      </c>
      <c r="I2013" s="8">
        <f>STAMP_Escapement_Data[[#This Row],[DATE]]-DATE(STAMP_Escapement_Data[[#This Row],[YEAR]],8,1)</f>
        <v>66</v>
      </c>
    </row>
    <row r="2014" spans="1:9" x14ac:dyDescent="0.25">
      <c r="A2014" s="1">
        <v>42284</v>
      </c>
      <c r="B2014">
        <v>1007</v>
      </c>
      <c r="C2014">
        <v>2015</v>
      </c>
      <c r="D2014">
        <v>88</v>
      </c>
      <c r="E2014">
        <v>11</v>
      </c>
      <c r="F2014">
        <v>945</v>
      </c>
      <c r="G2014">
        <v>31</v>
      </c>
      <c r="H2014">
        <f>SUMIFS($F$2:F2014,$C$2:C2014,C2014)</f>
        <v>48870</v>
      </c>
      <c r="I2014" s="8">
        <f>STAMP_Escapement_Data[[#This Row],[DATE]]-DATE(STAMP_Escapement_Data[[#This Row],[YEAR]],8,1)</f>
        <v>67</v>
      </c>
    </row>
    <row r="2015" spans="1:9" x14ac:dyDescent="0.25">
      <c r="A2015" s="1">
        <v>42285</v>
      </c>
      <c r="B2015">
        <v>1008</v>
      </c>
      <c r="C2015">
        <v>2015</v>
      </c>
      <c r="D2015">
        <v>82</v>
      </c>
      <c r="E2015">
        <v>23</v>
      </c>
      <c r="F2015">
        <v>661</v>
      </c>
      <c r="G2015">
        <v>19</v>
      </c>
      <c r="H2015">
        <f>SUMIFS($F$2:F2015,$C$2:C2015,C2015)</f>
        <v>49531</v>
      </c>
      <c r="I2015" s="8">
        <f>STAMP_Escapement_Data[[#This Row],[DATE]]-DATE(STAMP_Escapement_Data[[#This Row],[YEAR]],8,1)</f>
        <v>68</v>
      </c>
    </row>
    <row r="2016" spans="1:9" x14ac:dyDescent="0.25">
      <c r="A2016" s="1">
        <v>42286</v>
      </c>
      <c r="B2016">
        <v>1009</v>
      </c>
      <c r="C2016">
        <v>2015</v>
      </c>
      <c r="D2016">
        <v>175</v>
      </c>
      <c r="E2016">
        <v>47</v>
      </c>
      <c r="F2016">
        <v>1193</v>
      </c>
      <c r="G2016">
        <v>84</v>
      </c>
      <c r="H2016">
        <f>SUMIFS($F$2:F2016,$C$2:C2016,C2016)</f>
        <v>50724</v>
      </c>
      <c r="I2016" s="8">
        <f>STAMP_Escapement_Data[[#This Row],[DATE]]-DATE(STAMP_Escapement_Data[[#This Row],[YEAR]],8,1)</f>
        <v>69</v>
      </c>
    </row>
    <row r="2017" spans="1:9" x14ac:dyDescent="0.25">
      <c r="A2017" s="1">
        <v>42287</v>
      </c>
      <c r="B2017">
        <v>1010</v>
      </c>
      <c r="C2017">
        <v>2015</v>
      </c>
      <c r="D2017">
        <v>60</v>
      </c>
      <c r="E2017">
        <v>0</v>
      </c>
      <c r="F2017">
        <v>318</v>
      </c>
      <c r="G2017">
        <v>9</v>
      </c>
      <c r="H2017">
        <f>SUMIFS($F$2:F2017,$C$2:C2017,C2017)</f>
        <v>51042</v>
      </c>
      <c r="I2017" s="8">
        <f>STAMP_Escapement_Data[[#This Row],[DATE]]-DATE(STAMP_Escapement_Data[[#This Row],[YEAR]],8,1)</f>
        <v>70</v>
      </c>
    </row>
    <row r="2018" spans="1:9" x14ac:dyDescent="0.25">
      <c r="A2018" s="1">
        <v>42288</v>
      </c>
      <c r="B2018">
        <v>1011</v>
      </c>
      <c r="C2018">
        <v>2015</v>
      </c>
      <c r="D2018">
        <v>133</v>
      </c>
      <c r="E2018">
        <v>8</v>
      </c>
      <c r="F2018">
        <v>283</v>
      </c>
      <c r="G2018">
        <v>8</v>
      </c>
      <c r="H2018">
        <f>SUMIFS($F$2:F2018,$C$2:C2018,C2018)</f>
        <v>51325</v>
      </c>
      <c r="I2018" s="8">
        <f>STAMP_Escapement_Data[[#This Row],[DATE]]-DATE(STAMP_Escapement_Data[[#This Row],[YEAR]],8,1)</f>
        <v>71</v>
      </c>
    </row>
    <row r="2019" spans="1:9" x14ac:dyDescent="0.25">
      <c r="A2019" s="1">
        <v>42289</v>
      </c>
      <c r="B2019">
        <v>1012</v>
      </c>
      <c r="C2019">
        <v>2015</v>
      </c>
      <c r="D2019">
        <v>213</v>
      </c>
      <c r="E2019">
        <v>14</v>
      </c>
      <c r="F2019">
        <v>860</v>
      </c>
      <c r="G2019">
        <v>28</v>
      </c>
      <c r="H2019">
        <f>SUMIFS($F$2:F2019,$C$2:C2019,C2019)</f>
        <v>52185</v>
      </c>
      <c r="I2019" s="8">
        <f>STAMP_Escapement_Data[[#This Row],[DATE]]-DATE(STAMP_Escapement_Data[[#This Row],[YEAR]],8,1)</f>
        <v>72</v>
      </c>
    </row>
    <row r="2020" spans="1:9" x14ac:dyDescent="0.25">
      <c r="A2020" s="1">
        <v>42290</v>
      </c>
      <c r="B2020">
        <v>1013</v>
      </c>
      <c r="C2020">
        <v>2015</v>
      </c>
      <c r="D2020">
        <v>79</v>
      </c>
      <c r="E2020">
        <v>3</v>
      </c>
      <c r="F2020">
        <v>186</v>
      </c>
      <c r="G2020">
        <v>4</v>
      </c>
      <c r="H2020">
        <f>SUMIFS($F$2:F2020,$C$2:C2020,C2020)</f>
        <v>52371</v>
      </c>
      <c r="I2020" s="8">
        <f>STAMP_Escapement_Data[[#This Row],[DATE]]-DATE(STAMP_Escapement_Data[[#This Row],[YEAR]],8,1)</f>
        <v>73</v>
      </c>
    </row>
    <row r="2021" spans="1:9" x14ac:dyDescent="0.25">
      <c r="A2021" s="1">
        <v>42291</v>
      </c>
      <c r="B2021">
        <v>1014</v>
      </c>
      <c r="C2021">
        <v>2015</v>
      </c>
      <c r="D2021">
        <v>26</v>
      </c>
      <c r="E2021">
        <v>2</v>
      </c>
      <c r="F2021">
        <v>224</v>
      </c>
      <c r="G2021">
        <v>5</v>
      </c>
      <c r="H2021">
        <f>SUMIFS($F$2:F2021,$C$2:C2021,C2021)</f>
        <v>52595</v>
      </c>
      <c r="I2021" s="8">
        <f>STAMP_Escapement_Data[[#This Row],[DATE]]-DATE(STAMP_Escapement_Data[[#This Row],[YEAR]],8,1)</f>
        <v>74</v>
      </c>
    </row>
    <row r="2022" spans="1:9" x14ac:dyDescent="0.25">
      <c r="A2022" s="1">
        <v>42292</v>
      </c>
      <c r="B2022">
        <v>1015</v>
      </c>
      <c r="C2022">
        <v>2015</v>
      </c>
      <c r="D2022">
        <v>3</v>
      </c>
      <c r="E2022">
        <v>0</v>
      </c>
      <c r="F2022">
        <v>12</v>
      </c>
      <c r="G2022">
        <v>1</v>
      </c>
      <c r="H2022">
        <f>SUMIFS($F$2:F2022,$C$2:C2022,C2022)</f>
        <v>52607</v>
      </c>
      <c r="I2022" s="8">
        <f>STAMP_Escapement_Data[[#This Row],[DATE]]-DATE(STAMP_Escapement_Data[[#This Row],[YEAR]],8,1)</f>
        <v>75</v>
      </c>
    </row>
    <row r="2023" spans="1:9" x14ac:dyDescent="0.25">
      <c r="A2023" s="1">
        <v>42293</v>
      </c>
      <c r="B2023">
        <v>1016</v>
      </c>
      <c r="C2023">
        <v>2015</v>
      </c>
      <c r="D2023">
        <v>31</v>
      </c>
      <c r="E2023">
        <v>6</v>
      </c>
      <c r="F2023">
        <v>281</v>
      </c>
      <c r="G2023">
        <v>6</v>
      </c>
      <c r="H2023">
        <f>SUMIFS($F$2:F2023,$C$2:C2023,C2023)</f>
        <v>52888</v>
      </c>
      <c r="I2023" s="8">
        <f>STAMP_Escapement_Data[[#This Row],[DATE]]-DATE(STAMP_Escapement_Data[[#This Row],[YEAR]],8,1)</f>
        <v>76</v>
      </c>
    </row>
    <row r="2024" spans="1:9" x14ac:dyDescent="0.25">
      <c r="A2024" s="1">
        <v>42294</v>
      </c>
      <c r="B2024">
        <v>1017</v>
      </c>
      <c r="C2024">
        <v>2015</v>
      </c>
      <c r="D2024">
        <v>31</v>
      </c>
      <c r="E2024">
        <v>5</v>
      </c>
      <c r="F2024">
        <v>163</v>
      </c>
      <c r="G2024">
        <v>13</v>
      </c>
      <c r="H2024">
        <f>SUMIFS($F$2:F2024,$C$2:C2024,C2024)</f>
        <v>53051</v>
      </c>
      <c r="I2024" s="8">
        <f>STAMP_Escapement_Data[[#This Row],[DATE]]-DATE(STAMP_Escapement_Data[[#This Row],[YEAR]],8,1)</f>
        <v>77</v>
      </c>
    </row>
    <row r="2025" spans="1:9" x14ac:dyDescent="0.25">
      <c r="A2025" s="1">
        <v>42295</v>
      </c>
      <c r="B2025">
        <v>1018</v>
      </c>
      <c r="C2025">
        <v>2015</v>
      </c>
      <c r="D2025">
        <v>11</v>
      </c>
      <c r="E2025">
        <v>4</v>
      </c>
      <c r="F2025">
        <v>40</v>
      </c>
      <c r="G2025">
        <v>4</v>
      </c>
      <c r="H2025">
        <f>SUMIFS($F$2:F2025,$C$2:C2025,C2025)</f>
        <v>53091</v>
      </c>
      <c r="I2025" s="8">
        <f>STAMP_Escapement_Data[[#This Row],[DATE]]-DATE(STAMP_Escapement_Data[[#This Row],[YEAR]],8,1)</f>
        <v>78</v>
      </c>
    </row>
    <row r="2026" spans="1:9" x14ac:dyDescent="0.25">
      <c r="A2026" s="1">
        <v>42296</v>
      </c>
      <c r="B2026">
        <v>1019</v>
      </c>
      <c r="C2026">
        <v>2015</v>
      </c>
      <c r="D2026">
        <v>26</v>
      </c>
      <c r="E2026">
        <v>1</v>
      </c>
      <c r="F2026">
        <v>78</v>
      </c>
      <c r="G2026">
        <v>0</v>
      </c>
      <c r="H2026">
        <f>SUMIFS($F$2:F2026,$C$2:C2026,C2026)</f>
        <v>53169</v>
      </c>
      <c r="I2026" s="8">
        <f>STAMP_Escapement_Data[[#This Row],[DATE]]-DATE(STAMP_Escapement_Data[[#This Row],[YEAR]],8,1)</f>
        <v>79</v>
      </c>
    </row>
    <row r="2027" spans="1:9" x14ac:dyDescent="0.25">
      <c r="A2027" s="1">
        <v>42297</v>
      </c>
      <c r="B2027">
        <v>1020</v>
      </c>
      <c r="C2027">
        <v>2015</v>
      </c>
      <c r="D2027">
        <v>54</v>
      </c>
      <c r="E2027">
        <v>3</v>
      </c>
      <c r="F2027">
        <v>358</v>
      </c>
      <c r="G2027">
        <v>20</v>
      </c>
      <c r="H2027">
        <f>SUMIFS($F$2:F2027,$C$2:C2027,C2027)</f>
        <v>53527</v>
      </c>
      <c r="I2027" s="8">
        <f>STAMP_Escapement_Data[[#This Row],[DATE]]-DATE(STAMP_Escapement_Data[[#This Row],[YEAR]],8,1)</f>
        <v>80</v>
      </c>
    </row>
    <row r="2028" spans="1:9" x14ac:dyDescent="0.25">
      <c r="A2028" s="1">
        <v>42298</v>
      </c>
      <c r="B2028">
        <v>1021</v>
      </c>
      <c r="C2028">
        <v>2015</v>
      </c>
      <c r="D2028">
        <v>50</v>
      </c>
      <c r="E2028">
        <v>1</v>
      </c>
      <c r="F2028">
        <v>333</v>
      </c>
      <c r="G2028">
        <v>24</v>
      </c>
      <c r="H2028">
        <f>SUMIFS($F$2:F2028,$C$2:C2028,C2028)</f>
        <v>53860</v>
      </c>
      <c r="I2028" s="8">
        <f>STAMP_Escapement_Data[[#This Row],[DATE]]-DATE(STAMP_Escapement_Data[[#This Row],[YEAR]],8,1)</f>
        <v>81</v>
      </c>
    </row>
    <row r="2029" spans="1:9" x14ac:dyDescent="0.25">
      <c r="A2029" s="1">
        <v>42299</v>
      </c>
      <c r="B2029">
        <v>1022</v>
      </c>
      <c r="C2029">
        <v>2015</v>
      </c>
      <c r="D2029">
        <v>36</v>
      </c>
      <c r="E2029">
        <v>1</v>
      </c>
      <c r="F2029">
        <v>178</v>
      </c>
      <c r="G2029">
        <v>4</v>
      </c>
      <c r="H2029">
        <f>SUMIFS($F$2:F2029,$C$2:C2029,C2029)</f>
        <v>54038</v>
      </c>
      <c r="I2029" s="8">
        <f>STAMP_Escapement_Data[[#This Row],[DATE]]-DATE(STAMP_Escapement_Data[[#This Row],[YEAR]],8,1)</f>
        <v>82</v>
      </c>
    </row>
    <row r="2030" spans="1:9" x14ac:dyDescent="0.25">
      <c r="A2030" s="1">
        <v>42300</v>
      </c>
      <c r="B2030">
        <v>1023</v>
      </c>
      <c r="C2030">
        <v>2015</v>
      </c>
      <c r="D2030">
        <v>39</v>
      </c>
      <c r="E2030">
        <v>8</v>
      </c>
      <c r="F2030">
        <v>183</v>
      </c>
      <c r="G2030">
        <v>11</v>
      </c>
      <c r="H2030">
        <f>SUMIFS($F$2:F2030,$C$2:C2030,C2030)</f>
        <v>54221</v>
      </c>
      <c r="I2030" s="8">
        <f>STAMP_Escapement_Data[[#This Row],[DATE]]-DATE(STAMP_Escapement_Data[[#This Row],[YEAR]],8,1)</f>
        <v>83</v>
      </c>
    </row>
    <row r="2031" spans="1:9" x14ac:dyDescent="0.25">
      <c r="A2031" s="1">
        <v>42301</v>
      </c>
      <c r="B2031">
        <v>1024</v>
      </c>
      <c r="C2031">
        <v>2015</v>
      </c>
      <c r="D2031">
        <v>28</v>
      </c>
      <c r="E2031">
        <v>3</v>
      </c>
      <c r="F2031">
        <v>95</v>
      </c>
      <c r="G2031">
        <v>7</v>
      </c>
      <c r="H2031">
        <f>SUMIFS($F$2:F2031,$C$2:C2031,C2031)</f>
        <v>54316</v>
      </c>
      <c r="I2031" s="8">
        <f>STAMP_Escapement_Data[[#This Row],[DATE]]-DATE(STAMP_Escapement_Data[[#This Row],[YEAR]],8,1)</f>
        <v>84</v>
      </c>
    </row>
    <row r="2032" spans="1:9" x14ac:dyDescent="0.25">
      <c r="A2032" s="1">
        <v>42302</v>
      </c>
      <c r="B2032">
        <v>1025</v>
      </c>
      <c r="C2032">
        <v>2015</v>
      </c>
      <c r="D2032">
        <v>31</v>
      </c>
      <c r="E2032">
        <v>6</v>
      </c>
      <c r="F2032">
        <v>102</v>
      </c>
      <c r="G2032">
        <v>8</v>
      </c>
      <c r="H2032">
        <f>SUMIFS($F$2:F2032,$C$2:C2032,C2032)</f>
        <v>54418</v>
      </c>
      <c r="I2032" s="8">
        <f>STAMP_Escapement_Data[[#This Row],[DATE]]-DATE(STAMP_Escapement_Data[[#This Row],[YEAR]],8,1)</f>
        <v>85</v>
      </c>
    </row>
    <row r="2033" spans="1:9" x14ac:dyDescent="0.25">
      <c r="A2033" s="1">
        <v>42303</v>
      </c>
      <c r="B2033">
        <v>1026</v>
      </c>
      <c r="C2033">
        <v>2015</v>
      </c>
      <c r="D2033">
        <v>28</v>
      </c>
      <c r="E2033">
        <v>4</v>
      </c>
      <c r="F2033">
        <v>105</v>
      </c>
      <c r="G2033">
        <v>7</v>
      </c>
      <c r="H2033">
        <f>SUMIFS($F$2:F2033,$C$2:C2033,C2033)</f>
        <v>54523</v>
      </c>
      <c r="I2033" s="8">
        <f>STAMP_Escapement_Data[[#This Row],[DATE]]-DATE(STAMP_Escapement_Data[[#This Row],[YEAR]],8,1)</f>
        <v>86</v>
      </c>
    </row>
    <row r="2034" spans="1:9" x14ac:dyDescent="0.25">
      <c r="A2034" s="1">
        <v>42304</v>
      </c>
      <c r="B2034">
        <v>1027</v>
      </c>
      <c r="C2034">
        <v>2015</v>
      </c>
      <c r="D2034">
        <v>23</v>
      </c>
      <c r="E2034">
        <v>0</v>
      </c>
      <c r="F2034">
        <v>59</v>
      </c>
      <c r="G2034">
        <v>0</v>
      </c>
      <c r="H2034">
        <f>SUMIFS($F$2:F2034,$C$2:C2034,C2034)</f>
        <v>54582</v>
      </c>
      <c r="I2034" s="8">
        <f>STAMP_Escapement_Data[[#This Row],[DATE]]-DATE(STAMP_Escapement_Data[[#This Row],[YEAR]],8,1)</f>
        <v>87</v>
      </c>
    </row>
    <row r="2035" spans="1:9" x14ac:dyDescent="0.25">
      <c r="A2035" s="1">
        <v>42305</v>
      </c>
      <c r="B2035">
        <v>1028</v>
      </c>
      <c r="C2035">
        <v>2015</v>
      </c>
      <c r="D2035">
        <v>36</v>
      </c>
      <c r="E2035">
        <v>1</v>
      </c>
      <c r="F2035">
        <v>35</v>
      </c>
      <c r="G2035">
        <v>5</v>
      </c>
      <c r="H2035">
        <f>SUMIFS($F$2:F2035,$C$2:C2035,C2035)</f>
        <v>54617</v>
      </c>
      <c r="I2035" s="8">
        <f>STAMP_Escapement_Data[[#This Row],[DATE]]-DATE(STAMP_Escapement_Data[[#This Row],[YEAR]],8,1)</f>
        <v>88</v>
      </c>
    </row>
    <row r="2036" spans="1:9" x14ac:dyDescent="0.25">
      <c r="A2036" s="1">
        <v>42306</v>
      </c>
      <c r="B2036">
        <v>1029</v>
      </c>
      <c r="C2036">
        <v>2015</v>
      </c>
      <c r="D2036">
        <v>31</v>
      </c>
      <c r="E2036">
        <v>2</v>
      </c>
      <c r="F2036">
        <v>48</v>
      </c>
      <c r="G2036">
        <v>7</v>
      </c>
      <c r="H2036">
        <f>SUMIFS($F$2:F2036,$C$2:C2036,C2036)</f>
        <v>54665</v>
      </c>
      <c r="I2036" s="8">
        <f>STAMP_Escapement_Data[[#This Row],[DATE]]-DATE(STAMP_Escapement_Data[[#This Row],[YEAR]],8,1)</f>
        <v>89</v>
      </c>
    </row>
    <row r="2037" spans="1:9" x14ac:dyDescent="0.25">
      <c r="A2037" s="1">
        <v>42307</v>
      </c>
      <c r="B2037">
        <v>1030</v>
      </c>
      <c r="C2037">
        <v>2015</v>
      </c>
      <c r="D2037">
        <v>48</v>
      </c>
      <c r="E2037">
        <v>7</v>
      </c>
      <c r="F2037">
        <v>46</v>
      </c>
      <c r="G2037">
        <v>4</v>
      </c>
      <c r="H2037">
        <f>SUMIFS($F$2:F2037,$C$2:C2037,C2037)</f>
        <v>54711</v>
      </c>
      <c r="I2037" s="8">
        <f>STAMP_Escapement_Data[[#This Row],[DATE]]-DATE(STAMP_Escapement_Data[[#This Row],[YEAR]],8,1)</f>
        <v>90</v>
      </c>
    </row>
    <row r="2038" spans="1:9" x14ac:dyDescent="0.25">
      <c r="A2038" s="1">
        <v>42308</v>
      </c>
      <c r="B2038">
        <v>1031</v>
      </c>
      <c r="C2038">
        <v>2015</v>
      </c>
      <c r="D2038">
        <v>44</v>
      </c>
      <c r="E2038">
        <v>9</v>
      </c>
      <c r="F2038">
        <v>43</v>
      </c>
      <c r="G2038">
        <v>2</v>
      </c>
      <c r="H2038">
        <f>SUMIFS($F$2:F2038,$C$2:C2038,C2038)</f>
        <v>54754</v>
      </c>
      <c r="I2038" s="8">
        <f>STAMP_Escapement_Data[[#This Row],[DATE]]-DATE(STAMP_Escapement_Data[[#This Row],[YEAR]],8,1)</f>
        <v>91</v>
      </c>
    </row>
    <row r="2039" spans="1:9" x14ac:dyDescent="0.25">
      <c r="A2039" s="1">
        <v>42309</v>
      </c>
      <c r="B2039">
        <v>1101</v>
      </c>
      <c r="C2039">
        <v>2015</v>
      </c>
      <c r="D2039">
        <v>44</v>
      </c>
      <c r="E2039">
        <v>5</v>
      </c>
      <c r="F2039">
        <v>17</v>
      </c>
      <c r="G2039">
        <v>5</v>
      </c>
      <c r="H2039">
        <f>SUMIFS($F$2:F2039,$C$2:C2039,C2039)</f>
        <v>54771</v>
      </c>
      <c r="I2039" s="8">
        <f>STAMP_Escapement_Data[[#This Row],[DATE]]-DATE(STAMP_Escapement_Data[[#This Row],[YEAR]],8,1)</f>
        <v>92</v>
      </c>
    </row>
    <row r="2040" spans="1:9" x14ac:dyDescent="0.25">
      <c r="A2040" s="1">
        <v>42310</v>
      </c>
      <c r="B2040">
        <v>1102</v>
      </c>
      <c r="C2040">
        <v>2015</v>
      </c>
      <c r="D2040">
        <v>9</v>
      </c>
      <c r="E2040">
        <v>3</v>
      </c>
      <c r="F2040">
        <v>7</v>
      </c>
      <c r="G2040">
        <v>2</v>
      </c>
      <c r="H2040">
        <f>SUMIFS($F$2:F2040,$C$2:C2040,C2040)</f>
        <v>54778</v>
      </c>
      <c r="I2040" s="8">
        <f>STAMP_Escapement_Data[[#This Row],[DATE]]-DATE(STAMP_Escapement_Data[[#This Row],[YEAR]],8,1)</f>
        <v>93</v>
      </c>
    </row>
    <row r="2041" spans="1:9" x14ac:dyDescent="0.25">
      <c r="A2041" s="1">
        <v>42311</v>
      </c>
      <c r="B2041">
        <v>1103</v>
      </c>
      <c r="C2041">
        <v>2015</v>
      </c>
      <c r="D2041">
        <v>10</v>
      </c>
      <c r="E2041">
        <v>1</v>
      </c>
      <c r="F2041">
        <v>4</v>
      </c>
      <c r="G2041">
        <v>1</v>
      </c>
      <c r="H2041">
        <f>SUMIFS($F$2:F2041,$C$2:C2041,C2041)</f>
        <v>54782</v>
      </c>
      <c r="I2041" s="8">
        <f>STAMP_Escapement_Data[[#This Row],[DATE]]-DATE(STAMP_Escapement_Data[[#This Row],[YEAR]],8,1)</f>
        <v>94</v>
      </c>
    </row>
    <row r="2042" spans="1:9" x14ac:dyDescent="0.25">
      <c r="A2042" s="1">
        <v>42312</v>
      </c>
      <c r="B2042">
        <v>1104</v>
      </c>
      <c r="C2042">
        <v>2015</v>
      </c>
      <c r="D2042">
        <v>15</v>
      </c>
      <c r="E2042">
        <v>2</v>
      </c>
      <c r="F2042">
        <v>3</v>
      </c>
      <c r="G2042">
        <v>1</v>
      </c>
      <c r="H2042">
        <f>SUMIFS($F$2:F2042,$C$2:C2042,C2042)</f>
        <v>54785</v>
      </c>
      <c r="I2042" s="8">
        <f>STAMP_Escapement_Data[[#This Row],[DATE]]-DATE(STAMP_Escapement_Data[[#This Row],[YEAR]],8,1)</f>
        <v>95</v>
      </c>
    </row>
    <row r="2043" spans="1:9" x14ac:dyDescent="0.25">
      <c r="A2043" s="1">
        <v>42313</v>
      </c>
      <c r="B2043">
        <v>1105</v>
      </c>
      <c r="C2043">
        <v>2015</v>
      </c>
      <c r="D2043">
        <v>9</v>
      </c>
      <c r="E2043">
        <v>2</v>
      </c>
      <c r="F2043">
        <v>5</v>
      </c>
      <c r="G2043">
        <v>1</v>
      </c>
      <c r="H2043">
        <f>SUMIFS($F$2:F2043,$C$2:C2043,C2043)</f>
        <v>54790</v>
      </c>
      <c r="I2043" s="8">
        <f>STAMP_Escapement_Data[[#This Row],[DATE]]-DATE(STAMP_Escapement_Data[[#This Row],[YEAR]],8,1)</f>
        <v>96</v>
      </c>
    </row>
    <row r="2044" spans="1:9" x14ac:dyDescent="0.25">
      <c r="A2044" s="1">
        <v>42314</v>
      </c>
      <c r="B2044">
        <v>1106</v>
      </c>
      <c r="C2044">
        <v>2015</v>
      </c>
      <c r="D2044">
        <v>4</v>
      </c>
      <c r="E2044">
        <v>0</v>
      </c>
      <c r="F2044">
        <v>0</v>
      </c>
      <c r="G2044">
        <v>0</v>
      </c>
      <c r="H2044">
        <f>SUMIFS($F$2:F2044,$C$2:C2044,C2044)</f>
        <v>54790</v>
      </c>
      <c r="I2044" s="8">
        <f>STAMP_Escapement_Data[[#This Row],[DATE]]-DATE(STAMP_Escapement_Data[[#This Row],[YEAR]],8,1)</f>
        <v>97</v>
      </c>
    </row>
    <row r="2045" spans="1:9" x14ac:dyDescent="0.25">
      <c r="A2045" s="1">
        <v>42582</v>
      </c>
      <c r="B2045">
        <v>731</v>
      </c>
      <c r="C2045">
        <v>2016</v>
      </c>
      <c r="D2045">
        <v>22</v>
      </c>
      <c r="E2045">
        <v>0</v>
      </c>
      <c r="F2045">
        <v>6</v>
      </c>
      <c r="G2045">
        <v>0</v>
      </c>
      <c r="H2045">
        <f>SUMIFS($F$2:F2045,$C$2:C2045,C2045)</f>
        <v>6</v>
      </c>
      <c r="I2045" s="8">
        <f>STAMP_Escapement_Data[[#This Row],[DATE]]-DATE(STAMP_Escapement_Data[[#This Row],[YEAR]],8,1)</f>
        <v>-1</v>
      </c>
    </row>
    <row r="2046" spans="1:9" x14ac:dyDescent="0.25">
      <c r="A2046" s="1">
        <v>42583</v>
      </c>
      <c r="B2046">
        <v>801</v>
      </c>
      <c r="C2046">
        <v>2016</v>
      </c>
      <c r="D2046">
        <v>1</v>
      </c>
      <c r="E2046">
        <v>0</v>
      </c>
      <c r="F2046">
        <v>0</v>
      </c>
      <c r="G2046">
        <v>0</v>
      </c>
      <c r="H2046">
        <f>SUMIFS($F$2:F2046,$C$2:C2046,C2046)</f>
        <v>6</v>
      </c>
      <c r="I2046" s="8">
        <f>STAMP_Escapement_Data[[#This Row],[DATE]]-DATE(STAMP_Escapement_Data[[#This Row],[YEAR]],8,1)</f>
        <v>0</v>
      </c>
    </row>
    <row r="2047" spans="1:9" x14ac:dyDescent="0.25">
      <c r="A2047" s="1">
        <v>42584</v>
      </c>
      <c r="B2047">
        <v>802</v>
      </c>
      <c r="C2047">
        <v>2016</v>
      </c>
      <c r="D2047">
        <v>9</v>
      </c>
      <c r="E2047">
        <v>1</v>
      </c>
      <c r="F2047">
        <v>7</v>
      </c>
      <c r="G2047">
        <v>0</v>
      </c>
      <c r="H2047">
        <f>SUMIFS($F$2:F2047,$C$2:C2047,C2047)</f>
        <v>13</v>
      </c>
      <c r="I2047" s="8">
        <f>STAMP_Escapement_Data[[#This Row],[DATE]]-DATE(STAMP_Escapement_Data[[#This Row],[YEAR]],8,1)</f>
        <v>1</v>
      </c>
    </row>
    <row r="2048" spans="1:9" x14ac:dyDescent="0.25">
      <c r="A2048" s="1">
        <v>42585</v>
      </c>
      <c r="B2048">
        <v>803</v>
      </c>
      <c r="C2048">
        <v>2016</v>
      </c>
      <c r="D2048">
        <v>13</v>
      </c>
      <c r="E2048">
        <v>0</v>
      </c>
      <c r="F2048">
        <v>3</v>
      </c>
      <c r="G2048">
        <v>0</v>
      </c>
      <c r="H2048">
        <f>SUMIFS($F$2:F2048,$C$2:C2048,C2048)</f>
        <v>16</v>
      </c>
      <c r="I2048" s="8">
        <f>STAMP_Escapement_Data[[#This Row],[DATE]]-DATE(STAMP_Escapement_Data[[#This Row],[YEAR]],8,1)</f>
        <v>2</v>
      </c>
    </row>
    <row r="2049" spans="1:9" x14ac:dyDescent="0.25">
      <c r="A2049" s="1">
        <v>42586</v>
      </c>
      <c r="B2049">
        <v>804</v>
      </c>
      <c r="C2049">
        <v>2016</v>
      </c>
      <c r="D2049">
        <v>10</v>
      </c>
      <c r="E2049">
        <v>0</v>
      </c>
      <c r="F2049">
        <v>12</v>
      </c>
      <c r="G2049">
        <v>0</v>
      </c>
      <c r="H2049">
        <f>SUMIFS($F$2:F2049,$C$2:C2049,C2049)</f>
        <v>28</v>
      </c>
      <c r="I2049" s="8">
        <f>STAMP_Escapement_Data[[#This Row],[DATE]]-DATE(STAMP_Escapement_Data[[#This Row],[YEAR]],8,1)</f>
        <v>3</v>
      </c>
    </row>
    <row r="2050" spans="1:9" x14ac:dyDescent="0.25">
      <c r="A2050" s="1">
        <v>42587</v>
      </c>
      <c r="B2050">
        <v>805</v>
      </c>
      <c r="C2050">
        <v>2016</v>
      </c>
      <c r="D2050">
        <v>36</v>
      </c>
      <c r="E2050">
        <v>0</v>
      </c>
      <c r="F2050">
        <v>4</v>
      </c>
      <c r="G2050">
        <v>0</v>
      </c>
      <c r="H2050">
        <f>SUMIFS($F$2:F2050,$C$2:C2050,C2050)</f>
        <v>32</v>
      </c>
      <c r="I2050" s="8">
        <f>STAMP_Escapement_Data[[#This Row],[DATE]]-DATE(STAMP_Escapement_Data[[#This Row],[YEAR]],8,1)</f>
        <v>4</v>
      </c>
    </row>
    <row r="2051" spans="1:9" x14ac:dyDescent="0.25">
      <c r="A2051" s="1">
        <v>42588</v>
      </c>
      <c r="B2051">
        <v>806</v>
      </c>
      <c r="C2051">
        <v>2016</v>
      </c>
      <c r="D2051">
        <v>64</v>
      </c>
      <c r="E2051">
        <v>0</v>
      </c>
      <c r="F2051">
        <v>12</v>
      </c>
      <c r="G2051">
        <v>0</v>
      </c>
      <c r="H2051">
        <f>SUMIFS($F$2:F2051,$C$2:C2051,C2051)</f>
        <v>44</v>
      </c>
      <c r="I2051" s="8">
        <f>STAMP_Escapement_Data[[#This Row],[DATE]]-DATE(STAMP_Escapement_Data[[#This Row],[YEAR]],8,1)</f>
        <v>5</v>
      </c>
    </row>
    <row r="2052" spans="1:9" x14ac:dyDescent="0.25">
      <c r="A2052" s="1">
        <v>42589</v>
      </c>
      <c r="B2052">
        <v>807</v>
      </c>
      <c r="C2052">
        <v>2016</v>
      </c>
      <c r="D2052">
        <v>44</v>
      </c>
      <c r="E2052">
        <v>1</v>
      </c>
      <c r="F2052">
        <v>13</v>
      </c>
      <c r="G2052">
        <v>0</v>
      </c>
      <c r="H2052">
        <f>SUMIFS($F$2:F2052,$C$2:C2052,C2052)</f>
        <v>57</v>
      </c>
      <c r="I2052" s="8">
        <f>STAMP_Escapement_Data[[#This Row],[DATE]]-DATE(STAMP_Escapement_Data[[#This Row],[YEAR]],8,1)</f>
        <v>6</v>
      </c>
    </row>
    <row r="2053" spans="1:9" x14ac:dyDescent="0.25">
      <c r="A2053" s="1">
        <v>42590</v>
      </c>
      <c r="B2053">
        <v>808</v>
      </c>
      <c r="C2053">
        <v>2016</v>
      </c>
      <c r="D2053">
        <v>59</v>
      </c>
      <c r="E2053">
        <v>2</v>
      </c>
      <c r="F2053">
        <v>11</v>
      </c>
      <c r="G2053">
        <v>0</v>
      </c>
      <c r="H2053">
        <f>SUMIFS($F$2:F2053,$C$2:C2053,C2053)</f>
        <v>68</v>
      </c>
      <c r="I2053" s="8">
        <f>STAMP_Escapement_Data[[#This Row],[DATE]]-DATE(STAMP_Escapement_Data[[#This Row],[YEAR]],8,1)</f>
        <v>7</v>
      </c>
    </row>
    <row r="2054" spans="1:9" x14ac:dyDescent="0.25">
      <c r="A2054" s="1">
        <v>42591</v>
      </c>
      <c r="B2054">
        <v>809</v>
      </c>
      <c r="C2054">
        <v>2016</v>
      </c>
      <c r="D2054">
        <v>48</v>
      </c>
      <c r="E2054">
        <v>0</v>
      </c>
      <c r="F2054">
        <v>8</v>
      </c>
      <c r="G2054">
        <v>1</v>
      </c>
      <c r="H2054">
        <f>SUMIFS($F$2:F2054,$C$2:C2054,C2054)</f>
        <v>76</v>
      </c>
      <c r="I2054" s="8">
        <f>STAMP_Escapement_Data[[#This Row],[DATE]]-DATE(STAMP_Escapement_Data[[#This Row],[YEAR]],8,1)</f>
        <v>8</v>
      </c>
    </row>
    <row r="2055" spans="1:9" x14ac:dyDescent="0.25">
      <c r="A2055" s="1">
        <v>42592</v>
      </c>
      <c r="B2055">
        <v>810</v>
      </c>
      <c r="C2055">
        <v>2016</v>
      </c>
      <c r="D2055">
        <v>83</v>
      </c>
      <c r="E2055">
        <v>0</v>
      </c>
      <c r="F2055">
        <v>8</v>
      </c>
      <c r="G2055">
        <v>1</v>
      </c>
      <c r="H2055">
        <f>SUMIFS($F$2:F2055,$C$2:C2055,C2055)</f>
        <v>84</v>
      </c>
      <c r="I2055" s="8">
        <f>STAMP_Escapement_Data[[#This Row],[DATE]]-DATE(STAMP_Escapement_Data[[#This Row],[YEAR]],8,1)</f>
        <v>9</v>
      </c>
    </row>
    <row r="2056" spans="1:9" x14ac:dyDescent="0.25">
      <c r="A2056" s="1">
        <v>42593</v>
      </c>
      <c r="B2056">
        <v>811</v>
      </c>
      <c r="C2056">
        <v>2016</v>
      </c>
      <c r="D2056">
        <v>92</v>
      </c>
      <c r="E2056">
        <v>0</v>
      </c>
      <c r="F2056">
        <v>16</v>
      </c>
      <c r="G2056">
        <v>0</v>
      </c>
      <c r="H2056">
        <f>SUMIFS($F$2:F2056,$C$2:C2056,C2056)</f>
        <v>100</v>
      </c>
      <c r="I2056" s="8">
        <f>STAMP_Escapement_Data[[#This Row],[DATE]]-DATE(STAMP_Escapement_Data[[#This Row],[YEAR]],8,1)</f>
        <v>10</v>
      </c>
    </row>
    <row r="2057" spans="1:9" x14ac:dyDescent="0.25">
      <c r="A2057" s="1">
        <v>42594</v>
      </c>
      <c r="B2057">
        <v>812</v>
      </c>
      <c r="C2057">
        <v>2016</v>
      </c>
      <c r="D2057">
        <v>98</v>
      </c>
      <c r="E2057">
        <v>1</v>
      </c>
      <c r="F2057">
        <v>36</v>
      </c>
      <c r="G2057">
        <v>0</v>
      </c>
      <c r="H2057">
        <f>SUMIFS($F$2:F2057,$C$2:C2057,C2057)</f>
        <v>136</v>
      </c>
      <c r="I2057" s="8">
        <f>STAMP_Escapement_Data[[#This Row],[DATE]]-DATE(STAMP_Escapement_Data[[#This Row],[YEAR]],8,1)</f>
        <v>11</v>
      </c>
    </row>
    <row r="2058" spans="1:9" x14ac:dyDescent="0.25">
      <c r="A2058" s="1">
        <v>42595</v>
      </c>
      <c r="B2058">
        <v>813</v>
      </c>
      <c r="C2058">
        <v>2016</v>
      </c>
      <c r="D2058">
        <v>55</v>
      </c>
      <c r="E2058">
        <v>0</v>
      </c>
      <c r="F2058">
        <v>34</v>
      </c>
      <c r="G2058">
        <v>2</v>
      </c>
      <c r="H2058">
        <f>SUMIFS($F$2:F2058,$C$2:C2058,C2058)</f>
        <v>170</v>
      </c>
      <c r="I2058" s="8">
        <f>STAMP_Escapement_Data[[#This Row],[DATE]]-DATE(STAMP_Escapement_Data[[#This Row],[YEAR]],8,1)</f>
        <v>12</v>
      </c>
    </row>
    <row r="2059" spans="1:9" x14ac:dyDescent="0.25">
      <c r="A2059" s="1">
        <v>42596</v>
      </c>
      <c r="B2059">
        <v>814</v>
      </c>
      <c r="C2059">
        <v>2016</v>
      </c>
      <c r="D2059">
        <v>6</v>
      </c>
      <c r="E2059">
        <v>1</v>
      </c>
      <c r="F2059">
        <v>6</v>
      </c>
      <c r="G2059">
        <v>0</v>
      </c>
      <c r="H2059">
        <f>SUMIFS($F$2:F2059,$C$2:C2059,C2059)</f>
        <v>176</v>
      </c>
      <c r="I2059" s="8">
        <f>STAMP_Escapement_Data[[#This Row],[DATE]]-DATE(STAMP_Escapement_Data[[#This Row],[YEAR]],8,1)</f>
        <v>13</v>
      </c>
    </row>
    <row r="2060" spans="1:9" x14ac:dyDescent="0.25">
      <c r="A2060" s="1">
        <v>42597</v>
      </c>
      <c r="B2060">
        <v>815</v>
      </c>
      <c r="C2060">
        <v>2016</v>
      </c>
      <c r="D2060">
        <v>3</v>
      </c>
      <c r="E2060">
        <v>3</v>
      </c>
      <c r="F2060">
        <v>9</v>
      </c>
      <c r="G2060">
        <v>1</v>
      </c>
      <c r="H2060">
        <f>SUMIFS($F$2:F2060,$C$2:C2060,C2060)</f>
        <v>185</v>
      </c>
      <c r="I2060" s="8">
        <f>STAMP_Escapement_Data[[#This Row],[DATE]]-DATE(STAMP_Escapement_Data[[#This Row],[YEAR]],8,1)</f>
        <v>14</v>
      </c>
    </row>
    <row r="2061" spans="1:9" x14ac:dyDescent="0.25">
      <c r="A2061" s="1">
        <v>42598</v>
      </c>
      <c r="B2061">
        <v>816</v>
      </c>
      <c r="C2061">
        <v>2016</v>
      </c>
      <c r="D2061">
        <v>13</v>
      </c>
      <c r="E2061">
        <v>5</v>
      </c>
      <c r="F2061">
        <v>18</v>
      </c>
      <c r="G2061">
        <v>0</v>
      </c>
      <c r="H2061">
        <f>SUMIFS($F$2:F2061,$C$2:C2061,C2061)</f>
        <v>203</v>
      </c>
      <c r="I2061" s="8">
        <f>STAMP_Escapement_Data[[#This Row],[DATE]]-DATE(STAMP_Escapement_Data[[#This Row],[YEAR]],8,1)</f>
        <v>15</v>
      </c>
    </row>
    <row r="2062" spans="1:9" x14ac:dyDescent="0.25">
      <c r="A2062" s="1">
        <v>42599</v>
      </c>
      <c r="B2062">
        <v>817</v>
      </c>
      <c r="C2062">
        <v>2016</v>
      </c>
      <c r="D2062">
        <v>25</v>
      </c>
      <c r="E2062">
        <v>2</v>
      </c>
      <c r="F2062">
        <v>9</v>
      </c>
      <c r="G2062">
        <v>0</v>
      </c>
      <c r="H2062">
        <f>SUMIFS($F$2:F2062,$C$2:C2062,C2062)</f>
        <v>212</v>
      </c>
      <c r="I2062" s="8">
        <f>STAMP_Escapement_Data[[#This Row],[DATE]]-DATE(STAMP_Escapement_Data[[#This Row],[YEAR]],8,1)</f>
        <v>16</v>
      </c>
    </row>
    <row r="2063" spans="1:9" x14ac:dyDescent="0.25">
      <c r="A2063" s="1">
        <v>42600</v>
      </c>
      <c r="B2063">
        <v>818</v>
      </c>
      <c r="C2063">
        <v>2016</v>
      </c>
      <c r="D2063">
        <v>15</v>
      </c>
      <c r="E2063">
        <v>2</v>
      </c>
      <c r="F2063">
        <v>21</v>
      </c>
      <c r="G2063">
        <v>2</v>
      </c>
      <c r="H2063">
        <f>SUMIFS($F$2:F2063,$C$2:C2063,C2063)</f>
        <v>233</v>
      </c>
      <c r="I2063" s="8">
        <f>STAMP_Escapement_Data[[#This Row],[DATE]]-DATE(STAMP_Escapement_Data[[#This Row],[YEAR]],8,1)</f>
        <v>17</v>
      </c>
    </row>
    <row r="2064" spans="1:9" x14ac:dyDescent="0.25">
      <c r="A2064" s="1">
        <v>42601</v>
      </c>
      <c r="B2064">
        <v>819</v>
      </c>
      <c r="C2064">
        <v>2016</v>
      </c>
      <c r="D2064">
        <v>12</v>
      </c>
      <c r="E2064">
        <v>0</v>
      </c>
      <c r="F2064">
        <v>13</v>
      </c>
      <c r="G2064">
        <v>1</v>
      </c>
      <c r="H2064">
        <f>SUMIFS($F$2:F2064,$C$2:C2064,C2064)</f>
        <v>246</v>
      </c>
      <c r="I2064" s="8">
        <f>STAMP_Escapement_Data[[#This Row],[DATE]]-DATE(STAMP_Escapement_Data[[#This Row],[YEAR]],8,1)</f>
        <v>18</v>
      </c>
    </row>
    <row r="2065" spans="1:9" x14ac:dyDescent="0.25">
      <c r="A2065" s="1">
        <v>42602</v>
      </c>
      <c r="B2065">
        <v>820</v>
      </c>
      <c r="C2065">
        <v>2016</v>
      </c>
      <c r="D2065">
        <v>8</v>
      </c>
      <c r="E2065">
        <v>2</v>
      </c>
      <c r="F2065">
        <v>19</v>
      </c>
      <c r="G2065">
        <v>1</v>
      </c>
      <c r="H2065">
        <f>SUMIFS($F$2:F2065,$C$2:C2065,C2065)</f>
        <v>265</v>
      </c>
      <c r="I2065" s="8">
        <f>STAMP_Escapement_Data[[#This Row],[DATE]]-DATE(STAMP_Escapement_Data[[#This Row],[YEAR]],8,1)</f>
        <v>19</v>
      </c>
    </row>
    <row r="2066" spans="1:9" x14ac:dyDescent="0.25">
      <c r="A2066" s="1">
        <v>42603</v>
      </c>
      <c r="B2066">
        <v>821</v>
      </c>
      <c r="C2066">
        <v>2016</v>
      </c>
      <c r="D2066">
        <v>9</v>
      </c>
      <c r="E2066">
        <v>4</v>
      </c>
      <c r="F2066">
        <v>11</v>
      </c>
      <c r="G2066">
        <v>2</v>
      </c>
      <c r="H2066">
        <f>SUMIFS($F$2:F2066,$C$2:C2066,C2066)</f>
        <v>276</v>
      </c>
      <c r="I2066" s="8">
        <f>STAMP_Escapement_Data[[#This Row],[DATE]]-DATE(STAMP_Escapement_Data[[#This Row],[YEAR]],8,1)</f>
        <v>20</v>
      </c>
    </row>
    <row r="2067" spans="1:9" x14ac:dyDescent="0.25">
      <c r="A2067" s="1">
        <v>42604</v>
      </c>
      <c r="B2067">
        <v>822</v>
      </c>
      <c r="C2067">
        <v>2016</v>
      </c>
      <c r="D2067">
        <v>18</v>
      </c>
      <c r="E2067">
        <v>7</v>
      </c>
      <c r="F2067">
        <v>36</v>
      </c>
      <c r="G2067">
        <v>7</v>
      </c>
      <c r="H2067">
        <f>SUMIFS($F$2:F2067,$C$2:C2067,C2067)</f>
        <v>312</v>
      </c>
      <c r="I2067" s="8">
        <f>STAMP_Escapement_Data[[#This Row],[DATE]]-DATE(STAMP_Escapement_Data[[#This Row],[YEAR]],8,1)</f>
        <v>21</v>
      </c>
    </row>
    <row r="2068" spans="1:9" x14ac:dyDescent="0.25">
      <c r="A2068" s="1">
        <v>42605</v>
      </c>
      <c r="B2068">
        <v>823</v>
      </c>
      <c r="C2068">
        <v>2016</v>
      </c>
      <c r="D2068">
        <v>67</v>
      </c>
      <c r="E2068">
        <v>7</v>
      </c>
      <c r="F2068">
        <v>111</v>
      </c>
      <c r="G2068">
        <v>1</v>
      </c>
      <c r="H2068">
        <f>SUMIFS($F$2:F2068,$C$2:C2068,C2068)</f>
        <v>423</v>
      </c>
      <c r="I2068" s="8">
        <f>STAMP_Escapement_Data[[#This Row],[DATE]]-DATE(STAMP_Escapement_Data[[#This Row],[YEAR]],8,1)</f>
        <v>22</v>
      </c>
    </row>
    <row r="2069" spans="1:9" x14ac:dyDescent="0.25">
      <c r="A2069" s="1">
        <v>42606</v>
      </c>
      <c r="B2069">
        <v>824</v>
      </c>
      <c r="C2069">
        <v>2016</v>
      </c>
      <c r="D2069">
        <v>52</v>
      </c>
      <c r="E2069">
        <v>1</v>
      </c>
      <c r="F2069">
        <v>217</v>
      </c>
      <c r="G2069">
        <v>5</v>
      </c>
      <c r="H2069">
        <f>SUMIFS($F$2:F2069,$C$2:C2069,C2069)</f>
        <v>640</v>
      </c>
      <c r="I2069" s="8">
        <f>STAMP_Escapement_Data[[#This Row],[DATE]]-DATE(STAMP_Escapement_Data[[#This Row],[YEAR]],8,1)</f>
        <v>23</v>
      </c>
    </row>
    <row r="2070" spans="1:9" x14ac:dyDescent="0.25">
      <c r="A2070" s="1">
        <v>42607</v>
      </c>
      <c r="B2070">
        <v>825</v>
      </c>
      <c r="C2070">
        <v>2016</v>
      </c>
      <c r="D2070">
        <v>54</v>
      </c>
      <c r="E2070">
        <v>13</v>
      </c>
      <c r="F2070">
        <v>200</v>
      </c>
      <c r="G2070">
        <v>13</v>
      </c>
      <c r="H2070">
        <f>SUMIFS($F$2:F2070,$C$2:C2070,C2070)</f>
        <v>840</v>
      </c>
      <c r="I2070" s="8">
        <f>STAMP_Escapement_Data[[#This Row],[DATE]]-DATE(STAMP_Escapement_Data[[#This Row],[YEAR]],8,1)</f>
        <v>24</v>
      </c>
    </row>
    <row r="2071" spans="1:9" x14ac:dyDescent="0.25">
      <c r="A2071" s="1">
        <v>42608</v>
      </c>
      <c r="B2071">
        <v>826</v>
      </c>
      <c r="C2071">
        <v>2016</v>
      </c>
      <c r="D2071">
        <v>44</v>
      </c>
      <c r="E2071">
        <v>11</v>
      </c>
      <c r="F2071">
        <v>118</v>
      </c>
      <c r="G2071">
        <v>13</v>
      </c>
      <c r="H2071">
        <f>SUMIFS($F$2:F2071,$C$2:C2071,C2071)</f>
        <v>958</v>
      </c>
      <c r="I2071" s="8">
        <f>STAMP_Escapement_Data[[#This Row],[DATE]]-DATE(STAMP_Escapement_Data[[#This Row],[YEAR]],8,1)</f>
        <v>25</v>
      </c>
    </row>
    <row r="2072" spans="1:9" x14ac:dyDescent="0.25">
      <c r="A2072" s="1">
        <v>42609</v>
      </c>
      <c r="B2072">
        <v>827</v>
      </c>
      <c r="C2072">
        <v>2016</v>
      </c>
      <c r="D2072">
        <v>60</v>
      </c>
      <c r="E2072">
        <v>16</v>
      </c>
      <c r="F2072">
        <v>126</v>
      </c>
      <c r="G2072">
        <v>14</v>
      </c>
      <c r="H2072">
        <f>SUMIFS($F$2:F2072,$C$2:C2072,C2072)</f>
        <v>1084</v>
      </c>
      <c r="I2072" s="8">
        <f>STAMP_Escapement_Data[[#This Row],[DATE]]-DATE(STAMP_Escapement_Data[[#This Row],[YEAR]],8,1)</f>
        <v>26</v>
      </c>
    </row>
    <row r="2073" spans="1:9" x14ac:dyDescent="0.25">
      <c r="A2073" s="1">
        <v>42610</v>
      </c>
      <c r="B2073">
        <v>828</v>
      </c>
      <c r="C2073">
        <v>2016</v>
      </c>
      <c r="D2073">
        <v>185</v>
      </c>
      <c r="E2073">
        <v>56</v>
      </c>
      <c r="F2073">
        <v>232</v>
      </c>
      <c r="G2073">
        <v>29</v>
      </c>
      <c r="H2073">
        <f>SUMIFS($F$2:F2073,$C$2:C2073,C2073)</f>
        <v>1316</v>
      </c>
      <c r="I2073" s="8">
        <f>STAMP_Escapement_Data[[#This Row],[DATE]]-DATE(STAMP_Escapement_Data[[#This Row],[YEAR]],8,1)</f>
        <v>27</v>
      </c>
    </row>
    <row r="2074" spans="1:9" x14ac:dyDescent="0.25">
      <c r="A2074" s="1">
        <v>42611</v>
      </c>
      <c r="B2074">
        <v>829</v>
      </c>
      <c r="C2074">
        <v>2016</v>
      </c>
      <c r="D2074">
        <v>756</v>
      </c>
      <c r="E2074">
        <v>74</v>
      </c>
      <c r="F2074">
        <v>178</v>
      </c>
      <c r="G2074">
        <v>17</v>
      </c>
      <c r="H2074">
        <f>SUMIFS($F$2:F2074,$C$2:C2074,C2074)</f>
        <v>1494</v>
      </c>
      <c r="I2074" s="8">
        <f>STAMP_Escapement_Data[[#This Row],[DATE]]-DATE(STAMP_Escapement_Data[[#This Row],[YEAR]],8,1)</f>
        <v>28</v>
      </c>
    </row>
    <row r="2075" spans="1:9" x14ac:dyDescent="0.25">
      <c r="A2075" s="1">
        <v>42612</v>
      </c>
      <c r="B2075">
        <v>830</v>
      </c>
      <c r="C2075">
        <v>2016</v>
      </c>
      <c r="D2075">
        <v>765</v>
      </c>
      <c r="E2075">
        <v>70</v>
      </c>
      <c r="F2075">
        <v>344</v>
      </c>
      <c r="G2075">
        <v>27</v>
      </c>
      <c r="H2075">
        <f>SUMIFS($F$2:F2075,$C$2:C2075,C2075)</f>
        <v>1838</v>
      </c>
      <c r="I2075" s="8">
        <f>STAMP_Escapement_Data[[#This Row],[DATE]]-DATE(STAMP_Escapement_Data[[#This Row],[YEAR]],8,1)</f>
        <v>29</v>
      </c>
    </row>
    <row r="2076" spans="1:9" x14ac:dyDescent="0.25">
      <c r="A2076" s="1">
        <v>42613</v>
      </c>
      <c r="B2076">
        <v>831</v>
      </c>
      <c r="C2076">
        <v>2016</v>
      </c>
      <c r="D2076">
        <v>846</v>
      </c>
      <c r="E2076">
        <v>54</v>
      </c>
      <c r="F2076">
        <v>279</v>
      </c>
      <c r="G2076">
        <v>39</v>
      </c>
      <c r="H2076">
        <f>SUMIFS($F$2:F2076,$C$2:C2076,C2076)</f>
        <v>2117</v>
      </c>
      <c r="I2076" s="8">
        <f>STAMP_Escapement_Data[[#This Row],[DATE]]-DATE(STAMP_Escapement_Data[[#This Row],[YEAR]],8,1)</f>
        <v>30</v>
      </c>
    </row>
    <row r="2077" spans="1:9" x14ac:dyDescent="0.25">
      <c r="A2077" s="1">
        <v>42614</v>
      </c>
      <c r="B2077">
        <v>901</v>
      </c>
      <c r="C2077">
        <v>2016</v>
      </c>
      <c r="D2077">
        <v>695</v>
      </c>
      <c r="E2077">
        <v>49</v>
      </c>
      <c r="F2077">
        <v>440</v>
      </c>
      <c r="G2077">
        <v>16</v>
      </c>
      <c r="H2077">
        <f>SUMIFS($F$2:F2077,$C$2:C2077,C2077)</f>
        <v>2557</v>
      </c>
      <c r="I2077" s="8">
        <f>STAMP_Escapement_Data[[#This Row],[DATE]]-DATE(STAMP_Escapement_Data[[#This Row],[YEAR]],8,1)</f>
        <v>31</v>
      </c>
    </row>
    <row r="2078" spans="1:9" x14ac:dyDescent="0.25">
      <c r="A2078" s="1">
        <v>42615</v>
      </c>
      <c r="B2078">
        <v>902</v>
      </c>
      <c r="C2078">
        <v>2016</v>
      </c>
      <c r="D2078">
        <v>762</v>
      </c>
      <c r="E2078">
        <v>105</v>
      </c>
      <c r="F2078">
        <v>465</v>
      </c>
      <c r="G2078">
        <v>21</v>
      </c>
      <c r="H2078">
        <f>SUMIFS($F$2:F2078,$C$2:C2078,C2078)</f>
        <v>3022</v>
      </c>
      <c r="I2078" s="8">
        <f>STAMP_Escapement_Data[[#This Row],[DATE]]-DATE(STAMP_Escapement_Data[[#This Row],[YEAR]],8,1)</f>
        <v>32</v>
      </c>
    </row>
    <row r="2079" spans="1:9" x14ac:dyDescent="0.25">
      <c r="A2079" s="1">
        <v>42616</v>
      </c>
      <c r="B2079">
        <v>903</v>
      </c>
      <c r="C2079">
        <v>2016</v>
      </c>
      <c r="D2079">
        <v>934</v>
      </c>
      <c r="E2079">
        <v>100</v>
      </c>
      <c r="F2079">
        <v>302</v>
      </c>
      <c r="G2079">
        <v>56</v>
      </c>
      <c r="H2079">
        <f>SUMIFS($F$2:F2079,$C$2:C2079,C2079)</f>
        <v>3324</v>
      </c>
      <c r="I2079" s="8">
        <f>STAMP_Escapement_Data[[#This Row],[DATE]]-DATE(STAMP_Escapement_Data[[#This Row],[YEAR]],8,1)</f>
        <v>33</v>
      </c>
    </row>
    <row r="2080" spans="1:9" x14ac:dyDescent="0.25">
      <c r="A2080" s="1">
        <v>42617</v>
      </c>
      <c r="B2080">
        <v>904</v>
      </c>
      <c r="C2080">
        <v>2016</v>
      </c>
      <c r="D2080">
        <v>1113</v>
      </c>
      <c r="E2080">
        <v>168</v>
      </c>
      <c r="F2080">
        <v>231</v>
      </c>
      <c r="G2080">
        <v>26</v>
      </c>
      <c r="H2080">
        <f>SUMIFS($F$2:F2080,$C$2:C2080,C2080)</f>
        <v>3555</v>
      </c>
      <c r="I2080" s="8">
        <f>STAMP_Escapement_Data[[#This Row],[DATE]]-DATE(STAMP_Escapement_Data[[#This Row],[YEAR]],8,1)</f>
        <v>34</v>
      </c>
    </row>
    <row r="2081" spans="1:9" x14ac:dyDescent="0.25">
      <c r="A2081" s="1">
        <v>42618</v>
      </c>
      <c r="B2081">
        <v>905</v>
      </c>
      <c r="C2081">
        <v>2016</v>
      </c>
      <c r="D2081">
        <v>642</v>
      </c>
      <c r="E2081">
        <v>100</v>
      </c>
      <c r="F2081">
        <v>298</v>
      </c>
      <c r="G2081">
        <v>56</v>
      </c>
      <c r="H2081">
        <f>SUMIFS($F$2:F2081,$C$2:C2081,C2081)</f>
        <v>3853</v>
      </c>
      <c r="I2081" s="8">
        <f>STAMP_Escapement_Data[[#This Row],[DATE]]-DATE(STAMP_Escapement_Data[[#This Row],[YEAR]],8,1)</f>
        <v>35</v>
      </c>
    </row>
    <row r="2082" spans="1:9" x14ac:dyDescent="0.25">
      <c r="A2082" s="1">
        <v>42619</v>
      </c>
      <c r="B2082">
        <v>906</v>
      </c>
      <c r="C2082">
        <v>2016</v>
      </c>
      <c r="D2082">
        <v>868</v>
      </c>
      <c r="E2082">
        <v>157</v>
      </c>
      <c r="F2082">
        <v>335</v>
      </c>
      <c r="G2082">
        <v>49</v>
      </c>
      <c r="H2082">
        <f>SUMIFS($F$2:F2082,$C$2:C2082,C2082)</f>
        <v>4188</v>
      </c>
      <c r="I2082" s="8">
        <f>STAMP_Escapement_Data[[#This Row],[DATE]]-DATE(STAMP_Escapement_Data[[#This Row],[YEAR]],8,1)</f>
        <v>36</v>
      </c>
    </row>
    <row r="2083" spans="1:9" x14ac:dyDescent="0.25">
      <c r="A2083" s="1">
        <v>42620</v>
      </c>
      <c r="B2083">
        <v>907</v>
      </c>
      <c r="C2083">
        <v>2016</v>
      </c>
      <c r="D2083">
        <v>928</v>
      </c>
      <c r="E2083">
        <v>119</v>
      </c>
      <c r="F2083">
        <v>233</v>
      </c>
      <c r="G2083">
        <v>53</v>
      </c>
      <c r="H2083">
        <f>SUMIFS($F$2:F2083,$C$2:C2083,C2083)</f>
        <v>4421</v>
      </c>
      <c r="I2083" s="8">
        <f>STAMP_Escapement_Data[[#This Row],[DATE]]-DATE(STAMP_Escapement_Data[[#This Row],[YEAR]],8,1)</f>
        <v>37</v>
      </c>
    </row>
    <row r="2084" spans="1:9" x14ac:dyDescent="0.25">
      <c r="A2084" s="1">
        <v>42621</v>
      </c>
      <c r="B2084">
        <v>908</v>
      </c>
      <c r="C2084">
        <v>2016</v>
      </c>
      <c r="D2084">
        <v>1165</v>
      </c>
      <c r="E2084">
        <v>168</v>
      </c>
      <c r="F2084">
        <v>208</v>
      </c>
      <c r="G2084">
        <v>36</v>
      </c>
      <c r="H2084">
        <f>SUMIFS($F$2:F2084,$C$2:C2084,C2084)</f>
        <v>4629</v>
      </c>
      <c r="I2084" s="8">
        <f>STAMP_Escapement_Data[[#This Row],[DATE]]-DATE(STAMP_Escapement_Data[[#This Row],[YEAR]],8,1)</f>
        <v>38</v>
      </c>
    </row>
    <row r="2085" spans="1:9" x14ac:dyDescent="0.25">
      <c r="A2085" s="1">
        <v>42622</v>
      </c>
      <c r="B2085">
        <v>909</v>
      </c>
      <c r="C2085">
        <v>2016</v>
      </c>
      <c r="D2085">
        <v>1185</v>
      </c>
      <c r="E2085">
        <v>156</v>
      </c>
      <c r="F2085">
        <v>168</v>
      </c>
      <c r="G2085">
        <v>30</v>
      </c>
      <c r="H2085">
        <f>SUMIFS($F$2:F2085,$C$2:C2085,C2085)</f>
        <v>4797</v>
      </c>
      <c r="I2085" s="8">
        <f>STAMP_Escapement_Data[[#This Row],[DATE]]-DATE(STAMP_Escapement_Data[[#This Row],[YEAR]],8,1)</f>
        <v>39</v>
      </c>
    </row>
    <row r="2086" spans="1:9" x14ac:dyDescent="0.25">
      <c r="A2086" s="1">
        <v>42623</v>
      </c>
      <c r="B2086">
        <v>910</v>
      </c>
      <c r="C2086">
        <v>2016</v>
      </c>
      <c r="D2086">
        <v>783</v>
      </c>
      <c r="E2086">
        <v>125</v>
      </c>
      <c r="F2086">
        <v>216</v>
      </c>
      <c r="G2086">
        <v>65</v>
      </c>
      <c r="H2086">
        <f>SUMIFS($F$2:F2086,$C$2:C2086,C2086)</f>
        <v>5013</v>
      </c>
      <c r="I2086" s="8">
        <f>STAMP_Escapement_Data[[#This Row],[DATE]]-DATE(STAMP_Escapement_Data[[#This Row],[YEAR]],8,1)</f>
        <v>40</v>
      </c>
    </row>
    <row r="2087" spans="1:9" x14ac:dyDescent="0.25">
      <c r="A2087" s="1">
        <v>42624</v>
      </c>
      <c r="B2087">
        <v>911</v>
      </c>
      <c r="C2087">
        <v>2016</v>
      </c>
      <c r="D2087">
        <v>816</v>
      </c>
      <c r="E2087">
        <v>177</v>
      </c>
      <c r="F2087">
        <v>267</v>
      </c>
      <c r="G2087">
        <v>84</v>
      </c>
      <c r="H2087">
        <f>SUMIFS($F$2:F2087,$C$2:C2087,C2087)</f>
        <v>5280</v>
      </c>
      <c r="I2087" s="8">
        <f>STAMP_Escapement_Data[[#This Row],[DATE]]-DATE(STAMP_Escapement_Data[[#This Row],[YEAR]],8,1)</f>
        <v>41</v>
      </c>
    </row>
    <row r="2088" spans="1:9" x14ac:dyDescent="0.25">
      <c r="A2088" s="1">
        <v>42625</v>
      </c>
      <c r="B2088">
        <v>912</v>
      </c>
      <c r="C2088">
        <v>2016</v>
      </c>
      <c r="D2088">
        <v>628</v>
      </c>
      <c r="E2088">
        <v>79</v>
      </c>
      <c r="F2088">
        <v>230</v>
      </c>
      <c r="G2088">
        <v>59</v>
      </c>
      <c r="H2088">
        <f>SUMIFS($F$2:F2088,$C$2:C2088,C2088)</f>
        <v>5510</v>
      </c>
      <c r="I2088" s="8">
        <f>STAMP_Escapement_Data[[#This Row],[DATE]]-DATE(STAMP_Escapement_Data[[#This Row],[YEAR]],8,1)</f>
        <v>42</v>
      </c>
    </row>
    <row r="2089" spans="1:9" x14ac:dyDescent="0.25">
      <c r="A2089" s="1">
        <v>42626</v>
      </c>
      <c r="B2089">
        <v>913</v>
      </c>
      <c r="C2089">
        <v>2016</v>
      </c>
      <c r="D2089">
        <v>605</v>
      </c>
      <c r="E2089">
        <v>183</v>
      </c>
      <c r="F2089">
        <v>368</v>
      </c>
      <c r="G2089">
        <v>88</v>
      </c>
      <c r="H2089">
        <f>SUMIFS($F$2:F2089,$C$2:C2089,C2089)</f>
        <v>5878</v>
      </c>
      <c r="I2089" s="8">
        <f>STAMP_Escapement_Data[[#This Row],[DATE]]-DATE(STAMP_Escapement_Data[[#This Row],[YEAR]],8,1)</f>
        <v>43</v>
      </c>
    </row>
    <row r="2090" spans="1:9" x14ac:dyDescent="0.25">
      <c r="A2090" s="1">
        <v>42627</v>
      </c>
      <c r="B2090">
        <v>914</v>
      </c>
      <c r="C2090">
        <v>2016</v>
      </c>
      <c r="D2090">
        <v>524</v>
      </c>
      <c r="E2090">
        <v>118</v>
      </c>
      <c r="F2090">
        <v>229</v>
      </c>
      <c r="G2090">
        <v>75</v>
      </c>
      <c r="H2090">
        <f>SUMIFS($F$2:F2090,$C$2:C2090,C2090)</f>
        <v>6107</v>
      </c>
      <c r="I2090" s="8">
        <f>STAMP_Escapement_Data[[#This Row],[DATE]]-DATE(STAMP_Escapement_Data[[#This Row],[YEAR]],8,1)</f>
        <v>44</v>
      </c>
    </row>
    <row r="2091" spans="1:9" x14ac:dyDescent="0.25">
      <c r="A2091" s="1">
        <v>42628</v>
      </c>
      <c r="B2091">
        <v>915</v>
      </c>
      <c r="C2091">
        <v>2016</v>
      </c>
      <c r="D2091">
        <v>333</v>
      </c>
      <c r="E2091">
        <v>67</v>
      </c>
      <c r="F2091">
        <v>559</v>
      </c>
      <c r="G2091">
        <v>159</v>
      </c>
      <c r="H2091">
        <f>SUMIFS($F$2:F2091,$C$2:C2091,C2091)</f>
        <v>6666</v>
      </c>
      <c r="I2091" s="8">
        <f>STAMP_Escapement_Data[[#This Row],[DATE]]-DATE(STAMP_Escapement_Data[[#This Row],[YEAR]],8,1)</f>
        <v>45</v>
      </c>
    </row>
    <row r="2092" spans="1:9" x14ac:dyDescent="0.25">
      <c r="A2092" s="1">
        <v>42629</v>
      </c>
      <c r="B2092">
        <v>916</v>
      </c>
      <c r="C2092">
        <v>2016</v>
      </c>
      <c r="D2092">
        <v>288</v>
      </c>
      <c r="E2092">
        <v>86</v>
      </c>
      <c r="F2092">
        <v>704</v>
      </c>
      <c r="G2092">
        <v>126</v>
      </c>
      <c r="H2092">
        <f>SUMIFS($F$2:F2092,$C$2:C2092,C2092)</f>
        <v>7370</v>
      </c>
      <c r="I2092" s="8">
        <f>STAMP_Escapement_Data[[#This Row],[DATE]]-DATE(STAMP_Escapement_Data[[#This Row],[YEAR]],8,1)</f>
        <v>46</v>
      </c>
    </row>
    <row r="2093" spans="1:9" x14ac:dyDescent="0.25">
      <c r="A2093" s="1">
        <v>42630</v>
      </c>
      <c r="B2093">
        <v>917</v>
      </c>
      <c r="C2093">
        <v>2016</v>
      </c>
      <c r="D2093">
        <v>190</v>
      </c>
      <c r="E2093">
        <v>70</v>
      </c>
      <c r="F2093">
        <v>748</v>
      </c>
      <c r="G2093">
        <v>152</v>
      </c>
      <c r="H2093">
        <f>SUMIFS($F$2:F2093,$C$2:C2093,C2093)</f>
        <v>8118</v>
      </c>
      <c r="I2093" s="8">
        <f>STAMP_Escapement_Data[[#This Row],[DATE]]-DATE(STAMP_Escapement_Data[[#This Row],[YEAR]],8,1)</f>
        <v>47</v>
      </c>
    </row>
    <row r="2094" spans="1:9" x14ac:dyDescent="0.25">
      <c r="A2094" s="1">
        <v>42631</v>
      </c>
      <c r="B2094">
        <v>918</v>
      </c>
      <c r="C2094">
        <v>2016</v>
      </c>
      <c r="D2094">
        <v>307</v>
      </c>
      <c r="E2094">
        <v>70</v>
      </c>
      <c r="F2094">
        <v>847</v>
      </c>
      <c r="G2094">
        <v>170</v>
      </c>
      <c r="H2094">
        <f>SUMIFS($F$2:F2094,$C$2:C2094,C2094)</f>
        <v>8965</v>
      </c>
      <c r="I2094" s="8">
        <f>STAMP_Escapement_Data[[#This Row],[DATE]]-DATE(STAMP_Escapement_Data[[#This Row],[YEAR]],8,1)</f>
        <v>48</v>
      </c>
    </row>
    <row r="2095" spans="1:9" x14ac:dyDescent="0.25">
      <c r="A2095" s="1">
        <v>42632</v>
      </c>
      <c r="B2095">
        <v>919</v>
      </c>
      <c r="C2095">
        <v>2016</v>
      </c>
      <c r="D2095">
        <v>395</v>
      </c>
      <c r="E2095">
        <v>88</v>
      </c>
      <c r="F2095">
        <v>792</v>
      </c>
      <c r="G2095">
        <v>156</v>
      </c>
      <c r="H2095">
        <f>SUMIFS($F$2:F2095,$C$2:C2095,C2095)</f>
        <v>9757</v>
      </c>
      <c r="I2095" s="8">
        <f>STAMP_Escapement_Data[[#This Row],[DATE]]-DATE(STAMP_Escapement_Data[[#This Row],[YEAR]],8,1)</f>
        <v>49</v>
      </c>
    </row>
    <row r="2096" spans="1:9" x14ac:dyDescent="0.25">
      <c r="A2096" s="1">
        <v>42633</v>
      </c>
      <c r="B2096">
        <v>920</v>
      </c>
      <c r="C2096">
        <v>2016</v>
      </c>
      <c r="D2096">
        <v>483</v>
      </c>
      <c r="E2096">
        <v>106</v>
      </c>
      <c r="F2096">
        <v>737</v>
      </c>
      <c r="G2096">
        <v>143</v>
      </c>
      <c r="H2096">
        <f>SUMIFS($F$2:F2096,$C$2:C2096,C2096)</f>
        <v>10494</v>
      </c>
      <c r="I2096" s="8">
        <f>STAMP_Escapement_Data[[#This Row],[DATE]]-DATE(STAMP_Escapement_Data[[#This Row],[YEAR]],8,1)</f>
        <v>50</v>
      </c>
    </row>
    <row r="2097" spans="1:9" x14ac:dyDescent="0.25">
      <c r="A2097" s="1">
        <v>42634</v>
      </c>
      <c r="B2097">
        <v>921</v>
      </c>
      <c r="C2097">
        <v>2016</v>
      </c>
      <c r="D2097">
        <v>513</v>
      </c>
      <c r="E2097">
        <v>102</v>
      </c>
      <c r="F2097">
        <v>672</v>
      </c>
      <c r="G2097">
        <v>123</v>
      </c>
      <c r="H2097">
        <f>SUMIFS($F$2:F2097,$C$2:C2097,C2097)</f>
        <v>11166</v>
      </c>
      <c r="I2097" s="8">
        <f>STAMP_Escapement_Data[[#This Row],[DATE]]-DATE(STAMP_Escapement_Data[[#This Row],[YEAR]],8,1)</f>
        <v>51</v>
      </c>
    </row>
    <row r="2098" spans="1:9" x14ac:dyDescent="0.25">
      <c r="A2098" s="1">
        <v>42635</v>
      </c>
      <c r="B2098">
        <v>922</v>
      </c>
      <c r="C2098">
        <v>2016</v>
      </c>
      <c r="D2098">
        <v>507</v>
      </c>
      <c r="E2098">
        <v>110</v>
      </c>
      <c r="F2098">
        <v>762</v>
      </c>
      <c r="G2098">
        <v>145</v>
      </c>
      <c r="H2098">
        <f>SUMIFS($F$2:F2098,$C$2:C2098,C2098)</f>
        <v>11928</v>
      </c>
      <c r="I2098" s="8">
        <f>STAMP_Escapement_Data[[#This Row],[DATE]]-DATE(STAMP_Escapement_Data[[#This Row],[YEAR]],8,1)</f>
        <v>52</v>
      </c>
    </row>
    <row r="2099" spans="1:9" x14ac:dyDescent="0.25">
      <c r="A2099" s="1">
        <v>42636</v>
      </c>
      <c r="B2099">
        <v>923</v>
      </c>
      <c r="C2099">
        <v>2016</v>
      </c>
      <c r="D2099">
        <v>465</v>
      </c>
      <c r="E2099">
        <v>84</v>
      </c>
      <c r="F2099">
        <v>840</v>
      </c>
      <c r="G2099">
        <v>192</v>
      </c>
      <c r="H2099">
        <f>SUMIFS($F$2:F2099,$C$2:C2099,C2099)</f>
        <v>12768</v>
      </c>
      <c r="I2099" s="8">
        <f>STAMP_Escapement_Data[[#This Row],[DATE]]-DATE(STAMP_Escapement_Data[[#This Row],[YEAR]],8,1)</f>
        <v>53</v>
      </c>
    </row>
    <row r="2100" spans="1:9" x14ac:dyDescent="0.25">
      <c r="A2100" s="1">
        <v>42637</v>
      </c>
      <c r="B2100">
        <v>924</v>
      </c>
      <c r="C2100">
        <v>2016</v>
      </c>
      <c r="D2100">
        <v>543</v>
      </c>
      <c r="E2100">
        <v>123</v>
      </c>
      <c r="F2100">
        <v>942</v>
      </c>
      <c r="G2100">
        <v>147</v>
      </c>
      <c r="H2100">
        <f>SUMIFS($F$2:F2100,$C$2:C2100,C2100)</f>
        <v>13710</v>
      </c>
      <c r="I2100" s="8">
        <f>STAMP_Escapement_Data[[#This Row],[DATE]]-DATE(STAMP_Escapement_Data[[#This Row],[YEAR]],8,1)</f>
        <v>54</v>
      </c>
    </row>
    <row r="2101" spans="1:9" x14ac:dyDescent="0.25">
      <c r="A2101" s="1">
        <v>42638</v>
      </c>
      <c r="B2101">
        <v>925</v>
      </c>
      <c r="C2101">
        <v>2016</v>
      </c>
      <c r="D2101">
        <v>381</v>
      </c>
      <c r="E2101">
        <v>81</v>
      </c>
      <c r="F2101">
        <v>919</v>
      </c>
      <c r="G2101">
        <v>126</v>
      </c>
      <c r="H2101">
        <f>SUMIFS($F$2:F2101,$C$2:C2101,C2101)</f>
        <v>14629</v>
      </c>
      <c r="I2101" s="8">
        <f>STAMP_Escapement_Data[[#This Row],[DATE]]-DATE(STAMP_Escapement_Data[[#This Row],[YEAR]],8,1)</f>
        <v>55</v>
      </c>
    </row>
    <row r="2102" spans="1:9" x14ac:dyDescent="0.25">
      <c r="A2102" s="1">
        <v>42639</v>
      </c>
      <c r="B2102">
        <v>926</v>
      </c>
      <c r="C2102">
        <v>2016</v>
      </c>
      <c r="D2102">
        <v>532</v>
      </c>
      <c r="E2102">
        <v>100</v>
      </c>
      <c r="F2102">
        <v>911</v>
      </c>
      <c r="G2102">
        <v>150</v>
      </c>
      <c r="H2102">
        <f>SUMIFS($F$2:F2102,$C$2:C2102,C2102)</f>
        <v>15540</v>
      </c>
      <c r="I2102" s="8">
        <f>STAMP_Escapement_Data[[#This Row],[DATE]]-DATE(STAMP_Escapement_Data[[#This Row],[YEAR]],8,1)</f>
        <v>56</v>
      </c>
    </row>
    <row r="2103" spans="1:9" x14ac:dyDescent="0.25">
      <c r="A2103" s="1">
        <v>42640</v>
      </c>
      <c r="B2103">
        <v>927</v>
      </c>
      <c r="C2103">
        <v>2016</v>
      </c>
      <c r="D2103">
        <v>530</v>
      </c>
      <c r="E2103">
        <v>87</v>
      </c>
      <c r="F2103">
        <v>935</v>
      </c>
      <c r="G2103">
        <v>182</v>
      </c>
      <c r="H2103">
        <f>SUMIFS($F$2:F2103,$C$2:C2103,C2103)</f>
        <v>16475</v>
      </c>
      <c r="I2103" s="8">
        <f>STAMP_Escapement_Data[[#This Row],[DATE]]-DATE(STAMP_Escapement_Data[[#This Row],[YEAR]],8,1)</f>
        <v>57</v>
      </c>
    </row>
    <row r="2104" spans="1:9" x14ac:dyDescent="0.25">
      <c r="A2104" s="1">
        <v>42641</v>
      </c>
      <c r="B2104">
        <v>928</v>
      </c>
      <c r="C2104">
        <v>2016</v>
      </c>
      <c r="D2104">
        <v>361</v>
      </c>
      <c r="E2104">
        <v>61</v>
      </c>
      <c r="F2104">
        <v>841</v>
      </c>
      <c r="G2104">
        <v>99</v>
      </c>
      <c r="H2104">
        <f>SUMIFS($F$2:F2104,$C$2:C2104,C2104)</f>
        <v>17316</v>
      </c>
      <c r="I2104" s="8">
        <f>STAMP_Escapement_Data[[#This Row],[DATE]]-DATE(STAMP_Escapement_Data[[#This Row],[YEAR]],8,1)</f>
        <v>58</v>
      </c>
    </row>
    <row r="2105" spans="1:9" x14ac:dyDescent="0.25">
      <c r="A2105" s="1">
        <v>42642</v>
      </c>
      <c r="B2105">
        <v>929</v>
      </c>
      <c r="C2105">
        <v>2016</v>
      </c>
      <c r="D2105">
        <v>274</v>
      </c>
      <c r="E2105">
        <v>55</v>
      </c>
      <c r="F2105">
        <v>735</v>
      </c>
      <c r="G2105">
        <v>91</v>
      </c>
      <c r="H2105">
        <f>SUMIFS($F$2:F2105,$C$2:C2105,C2105)</f>
        <v>18051</v>
      </c>
      <c r="I2105" s="8">
        <f>STAMP_Escapement_Data[[#This Row],[DATE]]-DATE(STAMP_Escapement_Data[[#This Row],[YEAR]],8,1)</f>
        <v>59</v>
      </c>
    </row>
    <row r="2106" spans="1:9" x14ac:dyDescent="0.25">
      <c r="A2106" s="1">
        <v>42643</v>
      </c>
      <c r="B2106">
        <v>930</v>
      </c>
      <c r="C2106">
        <v>2016</v>
      </c>
      <c r="D2106">
        <v>202</v>
      </c>
      <c r="E2106">
        <v>55</v>
      </c>
      <c r="F2106">
        <v>676</v>
      </c>
      <c r="G2106">
        <v>87</v>
      </c>
      <c r="H2106">
        <f>SUMIFS($F$2:F2106,$C$2:C2106,C2106)</f>
        <v>18727</v>
      </c>
      <c r="I2106" s="8">
        <f>STAMP_Escapement_Data[[#This Row],[DATE]]-DATE(STAMP_Escapement_Data[[#This Row],[YEAR]],8,1)</f>
        <v>60</v>
      </c>
    </row>
    <row r="2107" spans="1:9" x14ac:dyDescent="0.25">
      <c r="A2107" s="1">
        <v>42644</v>
      </c>
      <c r="B2107">
        <v>1001</v>
      </c>
      <c r="C2107">
        <v>2016</v>
      </c>
      <c r="D2107">
        <v>110</v>
      </c>
      <c r="E2107">
        <v>29</v>
      </c>
      <c r="F2107">
        <v>890</v>
      </c>
      <c r="G2107">
        <v>113</v>
      </c>
      <c r="H2107">
        <f>SUMIFS($F$2:F2107,$C$2:C2107,C2107)</f>
        <v>19617</v>
      </c>
      <c r="I2107" s="8">
        <f>STAMP_Escapement_Data[[#This Row],[DATE]]-DATE(STAMP_Escapement_Data[[#This Row],[YEAR]],8,1)</f>
        <v>61</v>
      </c>
    </row>
    <row r="2108" spans="1:9" x14ac:dyDescent="0.25">
      <c r="A2108" s="1">
        <v>42645</v>
      </c>
      <c r="B2108">
        <v>1002</v>
      </c>
      <c r="C2108">
        <v>2016</v>
      </c>
      <c r="D2108">
        <v>197</v>
      </c>
      <c r="E2108">
        <v>44</v>
      </c>
      <c r="F2108">
        <v>828</v>
      </c>
      <c r="G2108">
        <v>131</v>
      </c>
      <c r="H2108">
        <f>SUMIFS($F$2:F2108,$C$2:C2108,C2108)</f>
        <v>20445</v>
      </c>
      <c r="I2108" s="8">
        <f>STAMP_Escapement_Data[[#This Row],[DATE]]-DATE(STAMP_Escapement_Data[[#This Row],[YEAR]],8,1)</f>
        <v>62</v>
      </c>
    </row>
    <row r="2109" spans="1:9" x14ac:dyDescent="0.25">
      <c r="A2109" s="1">
        <v>42646</v>
      </c>
      <c r="B2109">
        <v>1003</v>
      </c>
      <c r="C2109">
        <v>2016</v>
      </c>
      <c r="D2109">
        <v>179</v>
      </c>
      <c r="E2109">
        <v>27</v>
      </c>
      <c r="F2109">
        <v>711</v>
      </c>
      <c r="G2109">
        <v>190</v>
      </c>
      <c r="H2109">
        <f>SUMIFS($F$2:F2109,$C$2:C2109,C2109)</f>
        <v>21156</v>
      </c>
      <c r="I2109" s="8">
        <f>STAMP_Escapement_Data[[#This Row],[DATE]]-DATE(STAMP_Escapement_Data[[#This Row],[YEAR]],8,1)</f>
        <v>63</v>
      </c>
    </row>
    <row r="2110" spans="1:9" x14ac:dyDescent="0.25">
      <c r="A2110" s="1">
        <v>42647</v>
      </c>
      <c r="B2110">
        <v>1004</v>
      </c>
      <c r="C2110">
        <v>2016</v>
      </c>
      <c r="D2110">
        <v>108</v>
      </c>
      <c r="E2110">
        <v>16</v>
      </c>
      <c r="F2110">
        <v>1076</v>
      </c>
      <c r="G2110">
        <v>126</v>
      </c>
      <c r="H2110">
        <f>SUMIFS($F$2:F2110,$C$2:C2110,C2110)</f>
        <v>22232</v>
      </c>
      <c r="I2110" s="8">
        <f>STAMP_Escapement_Data[[#This Row],[DATE]]-DATE(STAMP_Escapement_Data[[#This Row],[YEAR]],8,1)</f>
        <v>64</v>
      </c>
    </row>
    <row r="2111" spans="1:9" x14ac:dyDescent="0.25">
      <c r="A2111" s="1">
        <v>42648</v>
      </c>
      <c r="B2111">
        <v>1005</v>
      </c>
      <c r="C2111">
        <v>2016</v>
      </c>
      <c r="D2111">
        <v>133</v>
      </c>
      <c r="E2111">
        <v>9</v>
      </c>
      <c r="F2111">
        <v>1011</v>
      </c>
      <c r="G2111">
        <v>155</v>
      </c>
      <c r="H2111">
        <f>SUMIFS($F$2:F2111,$C$2:C2111,C2111)</f>
        <v>23243</v>
      </c>
      <c r="I2111" s="8">
        <f>STAMP_Escapement_Data[[#This Row],[DATE]]-DATE(STAMP_Escapement_Data[[#This Row],[YEAR]],8,1)</f>
        <v>65</v>
      </c>
    </row>
    <row r="2112" spans="1:9" x14ac:dyDescent="0.25">
      <c r="A2112" s="1">
        <v>42649</v>
      </c>
      <c r="B2112">
        <v>1006</v>
      </c>
      <c r="C2112">
        <v>2016</v>
      </c>
      <c r="D2112">
        <v>126</v>
      </c>
      <c r="E2112">
        <v>18</v>
      </c>
      <c r="F2112">
        <v>904</v>
      </c>
      <c r="G2112">
        <v>46</v>
      </c>
      <c r="H2112">
        <f>SUMIFS($F$2:F2112,$C$2:C2112,C2112)</f>
        <v>24147</v>
      </c>
      <c r="I2112" s="8">
        <f>STAMP_Escapement_Data[[#This Row],[DATE]]-DATE(STAMP_Escapement_Data[[#This Row],[YEAR]],8,1)</f>
        <v>66</v>
      </c>
    </row>
    <row r="2113" spans="1:9" x14ac:dyDescent="0.25">
      <c r="A2113" s="1">
        <v>42650</v>
      </c>
      <c r="B2113">
        <v>1007</v>
      </c>
      <c r="C2113">
        <v>2016</v>
      </c>
      <c r="D2113">
        <v>459</v>
      </c>
      <c r="E2113">
        <v>36</v>
      </c>
      <c r="F2113">
        <v>5299</v>
      </c>
      <c r="G2113">
        <v>319</v>
      </c>
      <c r="H2113">
        <f>SUMIFS($F$2:F2113,$C$2:C2113,C2113)</f>
        <v>29446</v>
      </c>
      <c r="I2113" s="8">
        <f>STAMP_Escapement_Data[[#This Row],[DATE]]-DATE(STAMP_Escapement_Data[[#This Row],[YEAR]],8,1)</f>
        <v>67</v>
      </c>
    </row>
    <row r="2114" spans="1:9" x14ac:dyDescent="0.25">
      <c r="A2114" s="1">
        <v>42651</v>
      </c>
      <c r="B2114">
        <v>1008</v>
      </c>
      <c r="C2114">
        <v>2016</v>
      </c>
      <c r="D2114">
        <v>102</v>
      </c>
      <c r="E2114">
        <v>6</v>
      </c>
      <c r="F2114">
        <v>2157</v>
      </c>
      <c r="G2114">
        <v>153</v>
      </c>
      <c r="H2114">
        <f>SUMIFS($F$2:F2114,$C$2:C2114,C2114)</f>
        <v>31603</v>
      </c>
      <c r="I2114" s="8">
        <f>STAMP_Escapement_Data[[#This Row],[DATE]]-DATE(STAMP_Escapement_Data[[#This Row],[YEAR]],8,1)</f>
        <v>68</v>
      </c>
    </row>
    <row r="2115" spans="1:9" x14ac:dyDescent="0.25">
      <c r="A2115" s="1">
        <v>42652</v>
      </c>
      <c r="B2115">
        <v>1009</v>
      </c>
      <c r="C2115">
        <v>2016</v>
      </c>
      <c r="D2115">
        <v>139</v>
      </c>
      <c r="E2115">
        <v>16</v>
      </c>
      <c r="F2115">
        <v>1995</v>
      </c>
      <c r="G2115">
        <v>173</v>
      </c>
      <c r="H2115">
        <f>SUMIFS($F$2:F2115,$C$2:C2115,C2115)</f>
        <v>33598</v>
      </c>
      <c r="I2115" s="8">
        <f>STAMP_Escapement_Data[[#This Row],[DATE]]-DATE(STAMP_Escapement_Data[[#This Row],[YEAR]],8,1)</f>
        <v>69</v>
      </c>
    </row>
    <row r="2116" spans="1:9" x14ac:dyDescent="0.25">
      <c r="A2116" s="1">
        <v>42653</v>
      </c>
      <c r="B2116">
        <v>1010</v>
      </c>
      <c r="C2116">
        <v>2016</v>
      </c>
      <c r="D2116">
        <v>48</v>
      </c>
      <c r="E2116">
        <v>6</v>
      </c>
      <c r="F2116">
        <v>1444</v>
      </c>
      <c r="G2116">
        <v>140</v>
      </c>
      <c r="H2116">
        <f>SUMIFS($F$2:F2116,$C$2:C2116,C2116)</f>
        <v>35042</v>
      </c>
      <c r="I2116" s="8">
        <f>STAMP_Escapement_Data[[#This Row],[DATE]]-DATE(STAMP_Escapement_Data[[#This Row],[YEAR]],8,1)</f>
        <v>70</v>
      </c>
    </row>
    <row r="2117" spans="1:9" x14ac:dyDescent="0.25">
      <c r="A2117" s="1">
        <v>42654</v>
      </c>
      <c r="B2117">
        <v>1011</v>
      </c>
      <c r="C2117">
        <v>2016</v>
      </c>
      <c r="D2117">
        <v>34</v>
      </c>
      <c r="E2117">
        <v>4</v>
      </c>
      <c r="F2117">
        <v>1422</v>
      </c>
      <c r="G2117">
        <v>128</v>
      </c>
      <c r="H2117">
        <f>SUMIFS($F$2:F2117,$C$2:C2117,C2117)</f>
        <v>36464</v>
      </c>
      <c r="I2117" s="8">
        <f>STAMP_Escapement_Data[[#This Row],[DATE]]-DATE(STAMP_Escapement_Data[[#This Row],[YEAR]],8,1)</f>
        <v>71</v>
      </c>
    </row>
    <row r="2118" spans="1:9" x14ac:dyDescent="0.25">
      <c r="A2118" s="1">
        <v>42655</v>
      </c>
      <c r="B2118">
        <v>1012</v>
      </c>
      <c r="C2118">
        <v>2016</v>
      </c>
      <c r="D2118">
        <v>64</v>
      </c>
      <c r="E2118">
        <v>3</v>
      </c>
      <c r="F2118">
        <v>1385</v>
      </c>
      <c r="G2118">
        <v>60</v>
      </c>
      <c r="H2118">
        <f>SUMIFS($F$2:F2118,$C$2:C2118,C2118)</f>
        <v>37849</v>
      </c>
      <c r="I2118" s="8">
        <f>STAMP_Escapement_Data[[#This Row],[DATE]]-DATE(STAMP_Escapement_Data[[#This Row],[YEAR]],8,1)</f>
        <v>72</v>
      </c>
    </row>
    <row r="2119" spans="1:9" x14ac:dyDescent="0.25">
      <c r="A2119" s="1">
        <v>42656</v>
      </c>
      <c r="B2119">
        <v>1013</v>
      </c>
      <c r="C2119">
        <v>2016</v>
      </c>
      <c r="D2119">
        <v>72</v>
      </c>
      <c r="E2119">
        <v>3</v>
      </c>
      <c r="F2119">
        <v>1322</v>
      </c>
      <c r="G2119">
        <v>51</v>
      </c>
      <c r="H2119">
        <f>SUMIFS($F$2:F2119,$C$2:C2119,C2119)</f>
        <v>39171</v>
      </c>
      <c r="I2119" s="8">
        <f>STAMP_Escapement_Data[[#This Row],[DATE]]-DATE(STAMP_Escapement_Data[[#This Row],[YEAR]],8,1)</f>
        <v>73</v>
      </c>
    </row>
    <row r="2120" spans="1:9" x14ac:dyDescent="0.25">
      <c r="A2120" s="1">
        <v>42657</v>
      </c>
      <c r="B2120">
        <v>1014</v>
      </c>
      <c r="C2120">
        <v>2016</v>
      </c>
      <c r="D2120">
        <v>64</v>
      </c>
      <c r="E2120">
        <v>3</v>
      </c>
      <c r="F2120">
        <v>1220</v>
      </c>
      <c r="G2120">
        <v>46</v>
      </c>
      <c r="H2120">
        <f>SUMIFS($F$2:F2120,$C$2:C2120,C2120)</f>
        <v>40391</v>
      </c>
      <c r="I2120" s="8">
        <f>STAMP_Escapement_Data[[#This Row],[DATE]]-DATE(STAMP_Escapement_Data[[#This Row],[YEAR]],8,1)</f>
        <v>74</v>
      </c>
    </row>
    <row r="2121" spans="1:9" x14ac:dyDescent="0.25">
      <c r="A2121" s="1">
        <v>42658</v>
      </c>
      <c r="B2121">
        <v>1015</v>
      </c>
      <c r="C2121">
        <v>2016</v>
      </c>
      <c r="D2121">
        <v>56</v>
      </c>
      <c r="E2121">
        <v>2</v>
      </c>
      <c r="F2121">
        <v>1118</v>
      </c>
      <c r="G2121">
        <v>40</v>
      </c>
      <c r="H2121">
        <f>SUMIFS($F$2:F2121,$C$2:C2121,C2121)</f>
        <v>41509</v>
      </c>
      <c r="I2121" s="8">
        <f>STAMP_Escapement_Data[[#This Row],[DATE]]-DATE(STAMP_Escapement_Data[[#This Row],[YEAR]],8,1)</f>
        <v>75</v>
      </c>
    </row>
    <row r="2122" spans="1:9" x14ac:dyDescent="0.25">
      <c r="A2122" s="1">
        <v>42659</v>
      </c>
      <c r="B2122">
        <v>1016</v>
      </c>
      <c r="C2122">
        <v>2016</v>
      </c>
      <c r="D2122">
        <v>48</v>
      </c>
      <c r="E2122">
        <v>2</v>
      </c>
      <c r="F2122">
        <v>1016</v>
      </c>
      <c r="G2122">
        <v>35</v>
      </c>
      <c r="H2122">
        <f>SUMIFS($F$2:F2122,$C$2:C2122,C2122)</f>
        <v>42525</v>
      </c>
      <c r="I2122" s="8">
        <f>STAMP_Escapement_Data[[#This Row],[DATE]]-DATE(STAMP_Escapement_Data[[#This Row],[YEAR]],8,1)</f>
        <v>76</v>
      </c>
    </row>
    <row r="2123" spans="1:9" x14ac:dyDescent="0.25">
      <c r="A2123" s="1">
        <v>42660</v>
      </c>
      <c r="B2123">
        <v>1017</v>
      </c>
      <c r="C2123">
        <v>2016</v>
      </c>
      <c r="D2123">
        <v>40</v>
      </c>
      <c r="E2123">
        <v>2</v>
      </c>
      <c r="F2123">
        <v>914</v>
      </c>
      <c r="G2123">
        <v>30</v>
      </c>
      <c r="H2123">
        <f>SUMIFS($F$2:F2123,$C$2:C2123,C2123)</f>
        <v>43439</v>
      </c>
      <c r="I2123" s="8">
        <f>STAMP_Escapement_Data[[#This Row],[DATE]]-DATE(STAMP_Escapement_Data[[#This Row],[YEAR]],8,1)</f>
        <v>77</v>
      </c>
    </row>
    <row r="2124" spans="1:9" x14ac:dyDescent="0.25">
      <c r="A2124" s="1">
        <v>42661</v>
      </c>
      <c r="B2124">
        <v>1018</v>
      </c>
      <c r="C2124">
        <v>2016</v>
      </c>
      <c r="D2124">
        <v>32</v>
      </c>
      <c r="E2124">
        <v>1</v>
      </c>
      <c r="F2124">
        <v>812</v>
      </c>
      <c r="G2124">
        <v>25</v>
      </c>
      <c r="H2124">
        <f>SUMIFS($F$2:F2124,$C$2:C2124,C2124)</f>
        <v>44251</v>
      </c>
      <c r="I2124" s="8">
        <f>STAMP_Escapement_Data[[#This Row],[DATE]]-DATE(STAMP_Escapement_Data[[#This Row],[YEAR]],8,1)</f>
        <v>78</v>
      </c>
    </row>
    <row r="2125" spans="1:9" x14ac:dyDescent="0.25">
      <c r="A2125" s="1">
        <v>42662</v>
      </c>
      <c r="B2125">
        <v>1019</v>
      </c>
      <c r="C2125">
        <v>2016</v>
      </c>
      <c r="D2125">
        <v>24</v>
      </c>
      <c r="E2125">
        <v>1</v>
      </c>
      <c r="F2125">
        <v>711</v>
      </c>
      <c r="G2125">
        <v>19</v>
      </c>
      <c r="H2125">
        <f>SUMIFS($F$2:F2125,$C$2:C2125,C2125)</f>
        <v>44962</v>
      </c>
      <c r="I2125" s="8">
        <f>STAMP_Escapement_Data[[#This Row],[DATE]]-DATE(STAMP_Escapement_Data[[#This Row],[YEAR]],8,1)</f>
        <v>79</v>
      </c>
    </row>
    <row r="2126" spans="1:9" x14ac:dyDescent="0.25">
      <c r="A2126" s="1">
        <v>42663</v>
      </c>
      <c r="B2126">
        <v>1020</v>
      </c>
      <c r="C2126">
        <v>2016</v>
      </c>
      <c r="D2126">
        <v>17</v>
      </c>
      <c r="E2126">
        <v>0</v>
      </c>
      <c r="F2126">
        <v>609</v>
      </c>
      <c r="G2126">
        <v>14</v>
      </c>
      <c r="H2126">
        <f>SUMIFS($F$2:F2126,$C$2:C2126,C2126)</f>
        <v>45571</v>
      </c>
      <c r="I2126" s="8">
        <f>STAMP_Escapement_Data[[#This Row],[DATE]]-DATE(STAMP_Escapement_Data[[#This Row],[YEAR]],8,1)</f>
        <v>80</v>
      </c>
    </row>
    <row r="2127" spans="1:9" x14ac:dyDescent="0.25">
      <c r="A2127" s="1">
        <v>42664</v>
      </c>
      <c r="B2127">
        <v>1021</v>
      </c>
      <c r="C2127">
        <v>2016</v>
      </c>
      <c r="D2127">
        <v>9</v>
      </c>
      <c r="E2127">
        <v>0</v>
      </c>
      <c r="F2127">
        <v>507</v>
      </c>
      <c r="G2127">
        <v>9</v>
      </c>
      <c r="H2127">
        <f>SUMIFS($F$2:F2127,$C$2:C2127,C2127)</f>
        <v>46078</v>
      </c>
      <c r="I2127" s="8">
        <f>STAMP_Escapement_Data[[#This Row],[DATE]]-DATE(STAMP_Escapement_Data[[#This Row],[YEAR]],8,1)</f>
        <v>81</v>
      </c>
    </row>
    <row r="2128" spans="1:9" x14ac:dyDescent="0.25">
      <c r="A2128" s="1">
        <v>42665</v>
      </c>
      <c r="B2128">
        <v>1022</v>
      </c>
      <c r="C2128">
        <v>2016</v>
      </c>
      <c r="D2128">
        <v>12</v>
      </c>
      <c r="E2128">
        <v>0</v>
      </c>
      <c r="F2128">
        <v>515</v>
      </c>
      <c r="G2128">
        <v>14</v>
      </c>
      <c r="H2128">
        <f>SUMIFS($F$2:F2128,$C$2:C2128,C2128)</f>
        <v>46593</v>
      </c>
      <c r="I2128" s="8">
        <f>STAMP_Escapement_Data[[#This Row],[DATE]]-DATE(STAMP_Escapement_Data[[#This Row],[YEAR]],8,1)</f>
        <v>82</v>
      </c>
    </row>
    <row r="2129" spans="1:9" x14ac:dyDescent="0.25">
      <c r="A2129" s="1">
        <v>42666</v>
      </c>
      <c r="B2129">
        <v>1023</v>
      </c>
      <c r="C2129">
        <v>2016</v>
      </c>
      <c r="D2129">
        <v>55</v>
      </c>
      <c r="E2129">
        <v>5</v>
      </c>
      <c r="F2129">
        <v>288</v>
      </c>
      <c r="G2129">
        <v>20</v>
      </c>
      <c r="H2129">
        <f>SUMIFS($F$2:F2129,$C$2:C2129,C2129)</f>
        <v>46881</v>
      </c>
      <c r="I2129" s="8">
        <f>STAMP_Escapement_Data[[#This Row],[DATE]]-DATE(STAMP_Escapement_Data[[#This Row],[YEAR]],8,1)</f>
        <v>83</v>
      </c>
    </row>
    <row r="2130" spans="1:9" x14ac:dyDescent="0.25">
      <c r="A2130" s="1">
        <v>42667</v>
      </c>
      <c r="B2130">
        <v>1024</v>
      </c>
      <c r="C2130">
        <v>2016</v>
      </c>
      <c r="D2130">
        <v>46</v>
      </c>
      <c r="E2130">
        <v>4</v>
      </c>
      <c r="F2130">
        <v>312</v>
      </c>
      <c r="G2130">
        <v>14</v>
      </c>
      <c r="H2130">
        <f>SUMIFS($F$2:F2130,$C$2:C2130,C2130)</f>
        <v>47193</v>
      </c>
      <c r="I2130" s="8">
        <f>STAMP_Escapement_Data[[#This Row],[DATE]]-DATE(STAMP_Escapement_Data[[#This Row],[YEAR]],8,1)</f>
        <v>84</v>
      </c>
    </row>
    <row r="2131" spans="1:9" x14ac:dyDescent="0.25">
      <c r="A2131" s="1">
        <v>42668</v>
      </c>
      <c r="B2131">
        <v>1025</v>
      </c>
      <c r="C2131">
        <v>2016</v>
      </c>
      <c r="D2131">
        <v>13</v>
      </c>
      <c r="E2131">
        <v>0</v>
      </c>
      <c r="F2131">
        <v>24</v>
      </c>
      <c r="G2131">
        <v>11</v>
      </c>
      <c r="H2131">
        <f>SUMIFS($F$2:F2131,$C$2:C2131,C2131)</f>
        <v>47217</v>
      </c>
      <c r="I2131" s="8">
        <f>STAMP_Escapement_Data[[#This Row],[DATE]]-DATE(STAMP_Escapement_Data[[#This Row],[YEAR]],8,1)</f>
        <v>85</v>
      </c>
    </row>
    <row r="2132" spans="1:9" x14ac:dyDescent="0.25">
      <c r="A2132" s="1">
        <v>42669</v>
      </c>
      <c r="B2132">
        <v>1026</v>
      </c>
      <c r="C2132">
        <v>2016</v>
      </c>
      <c r="D2132">
        <v>4</v>
      </c>
      <c r="E2132">
        <v>0</v>
      </c>
      <c r="F2132">
        <v>7</v>
      </c>
      <c r="G2132">
        <v>3</v>
      </c>
      <c r="H2132">
        <f>SUMIFS($F$2:F2132,$C$2:C2132,C2132)</f>
        <v>47224</v>
      </c>
      <c r="I2132" s="8">
        <f>STAMP_Escapement_Data[[#This Row],[DATE]]-DATE(STAMP_Escapement_Data[[#This Row],[YEAR]],8,1)</f>
        <v>86</v>
      </c>
    </row>
    <row r="2133" spans="1:9" x14ac:dyDescent="0.25">
      <c r="A2133" s="1">
        <v>42670</v>
      </c>
      <c r="B2133">
        <v>1027</v>
      </c>
      <c r="C2133">
        <v>2016</v>
      </c>
      <c r="D2133">
        <v>2</v>
      </c>
      <c r="E2133">
        <v>0</v>
      </c>
      <c r="F2133">
        <v>8</v>
      </c>
      <c r="G2133">
        <v>0</v>
      </c>
      <c r="H2133">
        <f>SUMIFS($F$2:F2133,$C$2:C2133,C2133)</f>
        <v>47232</v>
      </c>
      <c r="I2133" s="8">
        <f>STAMP_Escapement_Data[[#This Row],[DATE]]-DATE(STAMP_Escapement_Data[[#This Row],[YEAR]],8,1)</f>
        <v>87</v>
      </c>
    </row>
    <row r="2134" spans="1:9" x14ac:dyDescent="0.25">
      <c r="A2134" s="1">
        <v>42947</v>
      </c>
      <c r="B2134">
        <v>731</v>
      </c>
      <c r="C2134">
        <v>2017</v>
      </c>
      <c r="D2134">
        <v>35</v>
      </c>
      <c r="E2134">
        <v>0</v>
      </c>
      <c r="F2134">
        <v>29</v>
      </c>
      <c r="G2134">
        <v>2</v>
      </c>
      <c r="H2134">
        <f>SUMIFS($F$2:F2134,$C$2:C2134,C2134)</f>
        <v>29</v>
      </c>
      <c r="I2134" s="8">
        <f>STAMP_Escapement_Data[[#This Row],[DATE]]-DATE(STAMP_Escapement_Data[[#This Row],[YEAR]],8,1)</f>
        <v>-1</v>
      </c>
    </row>
    <row r="2135" spans="1:9" x14ac:dyDescent="0.25">
      <c r="A2135" s="1">
        <v>42948</v>
      </c>
      <c r="B2135">
        <v>801</v>
      </c>
      <c r="C2135">
        <v>2017</v>
      </c>
      <c r="D2135">
        <v>2</v>
      </c>
      <c r="E2135">
        <v>0</v>
      </c>
      <c r="F2135">
        <v>6</v>
      </c>
      <c r="G2135">
        <v>0</v>
      </c>
      <c r="H2135">
        <f>SUMIFS($F$2:F2135,$C$2:C2135,C2135)</f>
        <v>35</v>
      </c>
      <c r="I2135" s="8">
        <f>STAMP_Escapement_Data[[#This Row],[DATE]]-DATE(STAMP_Escapement_Data[[#This Row],[YEAR]],8,1)</f>
        <v>0</v>
      </c>
    </row>
    <row r="2136" spans="1:9" x14ac:dyDescent="0.25">
      <c r="A2136" s="1">
        <v>42949</v>
      </c>
      <c r="B2136">
        <v>802</v>
      </c>
      <c r="C2136">
        <v>2017</v>
      </c>
      <c r="D2136">
        <v>0</v>
      </c>
      <c r="E2136">
        <v>0</v>
      </c>
      <c r="F2136">
        <v>3</v>
      </c>
      <c r="G2136">
        <v>0</v>
      </c>
      <c r="H2136">
        <f>SUMIFS($F$2:F2136,$C$2:C2136,C2136)</f>
        <v>38</v>
      </c>
      <c r="I2136" s="8">
        <f>STAMP_Escapement_Data[[#This Row],[DATE]]-DATE(STAMP_Escapement_Data[[#This Row],[YEAR]],8,1)</f>
        <v>1</v>
      </c>
    </row>
    <row r="2137" spans="1:9" x14ac:dyDescent="0.25">
      <c r="A2137" s="1">
        <v>42950</v>
      </c>
      <c r="B2137">
        <v>803</v>
      </c>
      <c r="C2137">
        <v>2017</v>
      </c>
      <c r="D2137">
        <v>1</v>
      </c>
      <c r="E2137">
        <v>0</v>
      </c>
      <c r="F2137">
        <v>1</v>
      </c>
      <c r="G2137">
        <v>0</v>
      </c>
      <c r="H2137">
        <f>SUMIFS($F$2:F2137,$C$2:C2137,C2137)</f>
        <v>39</v>
      </c>
      <c r="I2137" s="8">
        <f>STAMP_Escapement_Data[[#This Row],[DATE]]-DATE(STAMP_Escapement_Data[[#This Row],[YEAR]],8,1)</f>
        <v>2</v>
      </c>
    </row>
    <row r="2138" spans="1:9" x14ac:dyDescent="0.25">
      <c r="A2138" s="1">
        <v>42951</v>
      </c>
      <c r="B2138">
        <v>804</v>
      </c>
      <c r="C2138">
        <v>2017</v>
      </c>
      <c r="D2138">
        <v>0</v>
      </c>
      <c r="E2138">
        <v>0</v>
      </c>
      <c r="F2138">
        <v>2</v>
      </c>
      <c r="G2138">
        <v>0</v>
      </c>
      <c r="H2138">
        <f>SUMIFS($F$2:F2138,$C$2:C2138,C2138)</f>
        <v>41</v>
      </c>
      <c r="I2138" s="8">
        <f>STAMP_Escapement_Data[[#This Row],[DATE]]-DATE(STAMP_Escapement_Data[[#This Row],[YEAR]],8,1)</f>
        <v>3</v>
      </c>
    </row>
    <row r="2139" spans="1:9" x14ac:dyDescent="0.25">
      <c r="A2139" s="1">
        <v>42952</v>
      </c>
      <c r="B2139">
        <v>805</v>
      </c>
      <c r="C2139">
        <v>2017</v>
      </c>
      <c r="D2139">
        <v>0</v>
      </c>
      <c r="E2139">
        <v>0</v>
      </c>
      <c r="F2139">
        <v>0</v>
      </c>
      <c r="G2139">
        <v>0</v>
      </c>
      <c r="H2139">
        <f>SUMIFS($F$2:F2139,$C$2:C2139,C2139)</f>
        <v>41</v>
      </c>
      <c r="I2139" s="8">
        <f>STAMP_Escapement_Data[[#This Row],[DATE]]-DATE(STAMP_Escapement_Data[[#This Row],[YEAR]],8,1)</f>
        <v>4</v>
      </c>
    </row>
    <row r="2140" spans="1:9" x14ac:dyDescent="0.25">
      <c r="A2140" s="1">
        <v>42953</v>
      </c>
      <c r="B2140">
        <v>806</v>
      </c>
      <c r="C2140">
        <v>2017</v>
      </c>
      <c r="D2140">
        <v>2</v>
      </c>
      <c r="E2140">
        <v>0</v>
      </c>
      <c r="F2140">
        <v>6</v>
      </c>
      <c r="G2140">
        <v>0</v>
      </c>
      <c r="H2140">
        <f>SUMIFS($F$2:F2140,$C$2:C2140,C2140)</f>
        <v>47</v>
      </c>
      <c r="I2140" s="8">
        <f>STAMP_Escapement_Data[[#This Row],[DATE]]-DATE(STAMP_Escapement_Data[[#This Row],[YEAR]],8,1)</f>
        <v>5</v>
      </c>
    </row>
    <row r="2141" spans="1:9" x14ac:dyDescent="0.25">
      <c r="A2141" s="1">
        <v>42954</v>
      </c>
      <c r="B2141">
        <v>807</v>
      </c>
      <c r="C2141">
        <v>2017</v>
      </c>
      <c r="D2141">
        <v>3</v>
      </c>
      <c r="E2141">
        <v>0</v>
      </c>
      <c r="F2141">
        <v>7</v>
      </c>
      <c r="G2141">
        <v>1</v>
      </c>
      <c r="H2141">
        <f>SUMIFS($F$2:F2141,$C$2:C2141,C2141)</f>
        <v>54</v>
      </c>
      <c r="I2141" s="8">
        <f>STAMP_Escapement_Data[[#This Row],[DATE]]-DATE(STAMP_Escapement_Data[[#This Row],[YEAR]],8,1)</f>
        <v>6</v>
      </c>
    </row>
    <row r="2142" spans="1:9" x14ac:dyDescent="0.25">
      <c r="A2142" s="1">
        <v>42955</v>
      </c>
      <c r="B2142">
        <v>808</v>
      </c>
      <c r="C2142">
        <v>2017</v>
      </c>
      <c r="D2142">
        <v>4</v>
      </c>
      <c r="E2142">
        <v>0</v>
      </c>
      <c r="F2142">
        <v>7</v>
      </c>
      <c r="G2142">
        <v>0</v>
      </c>
      <c r="H2142">
        <f>SUMIFS($F$2:F2142,$C$2:C2142,C2142)</f>
        <v>61</v>
      </c>
      <c r="I2142" s="8">
        <f>STAMP_Escapement_Data[[#This Row],[DATE]]-DATE(STAMP_Escapement_Data[[#This Row],[YEAR]],8,1)</f>
        <v>7</v>
      </c>
    </row>
    <row r="2143" spans="1:9" x14ac:dyDescent="0.25">
      <c r="A2143" s="1">
        <v>42956</v>
      </c>
      <c r="B2143">
        <v>809</v>
      </c>
      <c r="C2143">
        <v>2017</v>
      </c>
      <c r="D2143">
        <v>4</v>
      </c>
      <c r="E2143">
        <v>0</v>
      </c>
      <c r="F2143">
        <v>3</v>
      </c>
      <c r="G2143">
        <v>0</v>
      </c>
      <c r="H2143">
        <f>SUMIFS($F$2:F2143,$C$2:C2143,C2143)</f>
        <v>64</v>
      </c>
      <c r="I2143" s="8">
        <f>STAMP_Escapement_Data[[#This Row],[DATE]]-DATE(STAMP_Escapement_Data[[#This Row],[YEAR]],8,1)</f>
        <v>8</v>
      </c>
    </row>
    <row r="2144" spans="1:9" x14ac:dyDescent="0.25">
      <c r="A2144" s="1">
        <v>42957</v>
      </c>
      <c r="B2144">
        <v>810</v>
      </c>
      <c r="C2144">
        <v>2017</v>
      </c>
      <c r="D2144">
        <v>9</v>
      </c>
      <c r="E2144">
        <v>1</v>
      </c>
      <c r="F2144">
        <v>3</v>
      </c>
      <c r="G2144">
        <v>0</v>
      </c>
      <c r="H2144">
        <f>SUMIFS($F$2:F2144,$C$2:C2144,C2144)</f>
        <v>67</v>
      </c>
      <c r="I2144" s="8">
        <f>STAMP_Escapement_Data[[#This Row],[DATE]]-DATE(STAMP_Escapement_Data[[#This Row],[YEAR]],8,1)</f>
        <v>9</v>
      </c>
    </row>
    <row r="2145" spans="1:9" x14ac:dyDescent="0.25">
      <c r="A2145" s="1">
        <v>42958</v>
      </c>
      <c r="B2145">
        <v>811</v>
      </c>
      <c r="C2145">
        <v>2017</v>
      </c>
      <c r="D2145">
        <v>24</v>
      </c>
      <c r="E2145">
        <v>0</v>
      </c>
      <c r="F2145">
        <v>2</v>
      </c>
      <c r="G2145">
        <v>0</v>
      </c>
      <c r="H2145">
        <f>SUMIFS($F$2:F2145,$C$2:C2145,C2145)</f>
        <v>69</v>
      </c>
      <c r="I2145" s="8">
        <f>STAMP_Escapement_Data[[#This Row],[DATE]]-DATE(STAMP_Escapement_Data[[#This Row],[YEAR]],8,1)</f>
        <v>10</v>
      </c>
    </row>
    <row r="2146" spans="1:9" x14ac:dyDescent="0.25">
      <c r="A2146" s="1">
        <v>42959</v>
      </c>
      <c r="B2146">
        <v>812</v>
      </c>
      <c r="C2146">
        <v>2017</v>
      </c>
      <c r="D2146">
        <v>20</v>
      </c>
      <c r="E2146">
        <v>2</v>
      </c>
      <c r="F2146">
        <v>9</v>
      </c>
      <c r="G2146">
        <v>0</v>
      </c>
      <c r="H2146">
        <f>SUMIFS($F$2:F2146,$C$2:C2146,C2146)</f>
        <v>78</v>
      </c>
      <c r="I2146" s="8">
        <f>STAMP_Escapement_Data[[#This Row],[DATE]]-DATE(STAMP_Escapement_Data[[#This Row],[YEAR]],8,1)</f>
        <v>11</v>
      </c>
    </row>
    <row r="2147" spans="1:9" x14ac:dyDescent="0.25">
      <c r="A2147" s="1">
        <v>42960</v>
      </c>
      <c r="B2147">
        <v>813</v>
      </c>
      <c r="C2147">
        <v>2017</v>
      </c>
      <c r="D2147">
        <v>23</v>
      </c>
      <c r="E2147">
        <v>2</v>
      </c>
      <c r="F2147">
        <v>29</v>
      </c>
      <c r="G2147">
        <v>0</v>
      </c>
      <c r="H2147">
        <f>SUMIFS($F$2:F2147,$C$2:C2147,C2147)</f>
        <v>107</v>
      </c>
      <c r="I2147" s="8">
        <f>STAMP_Escapement_Data[[#This Row],[DATE]]-DATE(STAMP_Escapement_Data[[#This Row],[YEAR]],8,1)</f>
        <v>12</v>
      </c>
    </row>
    <row r="2148" spans="1:9" x14ac:dyDescent="0.25">
      <c r="A2148" s="1">
        <v>42961</v>
      </c>
      <c r="B2148">
        <v>814</v>
      </c>
      <c r="C2148">
        <v>2017</v>
      </c>
      <c r="D2148">
        <v>28</v>
      </c>
      <c r="E2148">
        <v>1</v>
      </c>
      <c r="F2148">
        <v>56</v>
      </c>
      <c r="G2148">
        <v>0</v>
      </c>
      <c r="H2148">
        <f>SUMIFS($F$2:F2148,$C$2:C2148,C2148)</f>
        <v>163</v>
      </c>
      <c r="I2148" s="8">
        <f>STAMP_Escapement_Data[[#This Row],[DATE]]-DATE(STAMP_Escapement_Data[[#This Row],[YEAR]],8,1)</f>
        <v>13</v>
      </c>
    </row>
    <row r="2149" spans="1:9" x14ac:dyDescent="0.25">
      <c r="A2149" s="1">
        <v>42962</v>
      </c>
      <c r="B2149">
        <v>815</v>
      </c>
      <c r="C2149">
        <v>2017</v>
      </c>
      <c r="D2149">
        <v>14</v>
      </c>
      <c r="E2149">
        <v>7</v>
      </c>
      <c r="F2149">
        <v>23</v>
      </c>
      <c r="G2149">
        <v>6</v>
      </c>
      <c r="H2149">
        <f>SUMIFS($F$2:F2149,$C$2:C2149,C2149)</f>
        <v>186</v>
      </c>
      <c r="I2149" s="8">
        <f>STAMP_Escapement_Data[[#This Row],[DATE]]-DATE(STAMP_Escapement_Data[[#This Row],[YEAR]],8,1)</f>
        <v>14</v>
      </c>
    </row>
    <row r="2150" spans="1:9" x14ac:dyDescent="0.25">
      <c r="A2150" s="1">
        <v>42963</v>
      </c>
      <c r="B2150">
        <v>816</v>
      </c>
      <c r="C2150">
        <v>2017</v>
      </c>
      <c r="D2150">
        <v>52</v>
      </c>
      <c r="E2150">
        <v>2</v>
      </c>
      <c r="F2150">
        <v>35</v>
      </c>
      <c r="G2150">
        <v>2</v>
      </c>
      <c r="H2150">
        <f>SUMIFS($F$2:F2150,$C$2:C2150,C2150)</f>
        <v>221</v>
      </c>
      <c r="I2150" s="8">
        <f>STAMP_Escapement_Data[[#This Row],[DATE]]-DATE(STAMP_Escapement_Data[[#This Row],[YEAR]],8,1)</f>
        <v>15</v>
      </c>
    </row>
    <row r="2151" spans="1:9" x14ac:dyDescent="0.25">
      <c r="A2151" s="1">
        <v>42964</v>
      </c>
      <c r="B2151">
        <v>817</v>
      </c>
      <c r="C2151">
        <v>2017</v>
      </c>
      <c r="D2151">
        <v>25</v>
      </c>
      <c r="E2151">
        <v>6</v>
      </c>
      <c r="F2151">
        <v>106</v>
      </c>
      <c r="G2151">
        <v>4</v>
      </c>
      <c r="H2151">
        <f>SUMIFS($F$2:F2151,$C$2:C2151,C2151)</f>
        <v>327</v>
      </c>
      <c r="I2151" s="8">
        <f>STAMP_Escapement_Data[[#This Row],[DATE]]-DATE(STAMP_Escapement_Data[[#This Row],[YEAR]],8,1)</f>
        <v>16</v>
      </c>
    </row>
    <row r="2152" spans="1:9" x14ac:dyDescent="0.25">
      <c r="A2152" s="1">
        <v>42965</v>
      </c>
      <c r="B2152">
        <v>818</v>
      </c>
      <c r="C2152">
        <v>2017</v>
      </c>
      <c r="D2152">
        <v>33</v>
      </c>
      <c r="E2152">
        <v>16</v>
      </c>
      <c r="F2152">
        <v>77</v>
      </c>
      <c r="G2152">
        <v>6</v>
      </c>
      <c r="H2152">
        <f>SUMIFS($F$2:F2152,$C$2:C2152,C2152)</f>
        <v>404</v>
      </c>
      <c r="I2152" s="8">
        <f>STAMP_Escapement_Data[[#This Row],[DATE]]-DATE(STAMP_Escapement_Data[[#This Row],[YEAR]],8,1)</f>
        <v>17</v>
      </c>
    </row>
    <row r="2153" spans="1:9" x14ac:dyDescent="0.25">
      <c r="A2153" s="1">
        <v>42966</v>
      </c>
      <c r="B2153">
        <v>819</v>
      </c>
      <c r="C2153">
        <v>2017</v>
      </c>
      <c r="D2153">
        <v>26</v>
      </c>
      <c r="E2153">
        <v>18</v>
      </c>
      <c r="F2153">
        <v>51</v>
      </c>
      <c r="G2153">
        <v>9</v>
      </c>
      <c r="H2153">
        <f>SUMIFS($F$2:F2153,$C$2:C2153,C2153)</f>
        <v>455</v>
      </c>
      <c r="I2153" s="8">
        <f>STAMP_Escapement_Data[[#This Row],[DATE]]-DATE(STAMP_Escapement_Data[[#This Row],[YEAR]],8,1)</f>
        <v>18</v>
      </c>
    </row>
    <row r="2154" spans="1:9" x14ac:dyDescent="0.25">
      <c r="A2154" s="1">
        <v>42967</v>
      </c>
      <c r="B2154">
        <v>820</v>
      </c>
      <c r="C2154">
        <v>2017</v>
      </c>
      <c r="D2154">
        <v>58</v>
      </c>
      <c r="E2154">
        <v>25</v>
      </c>
      <c r="F2154">
        <v>84</v>
      </c>
      <c r="G2154">
        <v>10</v>
      </c>
      <c r="H2154">
        <f>SUMIFS($F$2:F2154,$C$2:C2154,C2154)</f>
        <v>539</v>
      </c>
      <c r="I2154" s="8">
        <f>STAMP_Escapement_Data[[#This Row],[DATE]]-DATE(STAMP_Escapement_Data[[#This Row],[YEAR]],8,1)</f>
        <v>19</v>
      </c>
    </row>
    <row r="2155" spans="1:9" x14ac:dyDescent="0.25">
      <c r="A2155" s="1">
        <v>42968</v>
      </c>
      <c r="B2155">
        <v>821</v>
      </c>
      <c r="C2155">
        <v>2017</v>
      </c>
      <c r="D2155">
        <v>42</v>
      </c>
      <c r="E2155">
        <v>23</v>
      </c>
      <c r="F2155">
        <v>75</v>
      </c>
      <c r="G2155">
        <v>7</v>
      </c>
      <c r="H2155">
        <f>SUMIFS($F$2:F2155,$C$2:C2155,C2155)</f>
        <v>614</v>
      </c>
      <c r="I2155" s="8">
        <f>STAMP_Escapement_Data[[#This Row],[DATE]]-DATE(STAMP_Escapement_Data[[#This Row],[YEAR]],8,1)</f>
        <v>20</v>
      </c>
    </row>
    <row r="2156" spans="1:9" x14ac:dyDescent="0.25">
      <c r="A2156" s="1">
        <v>42969</v>
      </c>
      <c r="B2156">
        <v>822</v>
      </c>
      <c r="C2156">
        <v>2017</v>
      </c>
      <c r="D2156">
        <v>41</v>
      </c>
      <c r="E2156">
        <v>16</v>
      </c>
      <c r="F2156">
        <v>63</v>
      </c>
      <c r="G2156">
        <v>12</v>
      </c>
      <c r="H2156">
        <f>SUMIFS($F$2:F2156,$C$2:C2156,C2156)</f>
        <v>677</v>
      </c>
      <c r="I2156" s="8">
        <f>STAMP_Escapement_Data[[#This Row],[DATE]]-DATE(STAMP_Escapement_Data[[#This Row],[YEAR]],8,1)</f>
        <v>21</v>
      </c>
    </row>
    <row r="2157" spans="1:9" x14ac:dyDescent="0.25">
      <c r="A2157" s="1">
        <v>42970</v>
      </c>
      <c r="B2157">
        <v>823</v>
      </c>
      <c r="C2157">
        <v>2017</v>
      </c>
      <c r="D2157">
        <v>33</v>
      </c>
      <c r="E2157">
        <v>24</v>
      </c>
      <c r="F2157">
        <v>71</v>
      </c>
      <c r="G2157">
        <v>20</v>
      </c>
      <c r="H2157">
        <f>SUMIFS($F$2:F2157,$C$2:C2157,C2157)</f>
        <v>748</v>
      </c>
      <c r="I2157" s="8">
        <f>STAMP_Escapement_Data[[#This Row],[DATE]]-DATE(STAMP_Escapement_Data[[#This Row],[YEAR]],8,1)</f>
        <v>22</v>
      </c>
    </row>
    <row r="2158" spans="1:9" x14ac:dyDescent="0.25">
      <c r="A2158" s="1">
        <v>42971</v>
      </c>
      <c r="B2158">
        <v>824</v>
      </c>
      <c r="C2158">
        <v>2017</v>
      </c>
      <c r="D2158">
        <v>46</v>
      </c>
      <c r="E2158">
        <v>47</v>
      </c>
      <c r="F2158">
        <v>72</v>
      </c>
      <c r="G2158">
        <v>33</v>
      </c>
      <c r="H2158">
        <f>SUMIFS($F$2:F2158,$C$2:C2158,C2158)</f>
        <v>820</v>
      </c>
      <c r="I2158" s="8">
        <f>STAMP_Escapement_Data[[#This Row],[DATE]]-DATE(STAMP_Escapement_Data[[#This Row],[YEAR]],8,1)</f>
        <v>23</v>
      </c>
    </row>
    <row r="2159" spans="1:9" x14ac:dyDescent="0.25">
      <c r="A2159" s="1">
        <v>42972</v>
      </c>
      <c r="B2159">
        <v>825</v>
      </c>
      <c r="C2159">
        <v>2017</v>
      </c>
      <c r="D2159">
        <v>50</v>
      </c>
      <c r="E2159">
        <v>40</v>
      </c>
      <c r="F2159">
        <v>46</v>
      </c>
      <c r="G2159">
        <v>24</v>
      </c>
      <c r="H2159">
        <f>SUMIFS($F$2:F2159,$C$2:C2159,C2159)</f>
        <v>866</v>
      </c>
      <c r="I2159" s="8">
        <f>STAMP_Escapement_Data[[#This Row],[DATE]]-DATE(STAMP_Escapement_Data[[#This Row],[YEAR]],8,1)</f>
        <v>24</v>
      </c>
    </row>
    <row r="2160" spans="1:9" x14ac:dyDescent="0.25">
      <c r="A2160" s="1">
        <v>42973</v>
      </c>
      <c r="B2160">
        <v>826</v>
      </c>
      <c r="C2160">
        <v>2017</v>
      </c>
      <c r="D2160">
        <v>107</v>
      </c>
      <c r="E2160">
        <v>54</v>
      </c>
      <c r="F2160">
        <v>80</v>
      </c>
      <c r="G2160">
        <v>7</v>
      </c>
      <c r="H2160">
        <f>SUMIFS($F$2:F2160,$C$2:C2160,C2160)</f>
        <v>946</v>
      </c>
      <c r="I2160" s="8">
        <f>STAMP_Escapement_Data[[#This Row],[DATE]]-DATE(STAMP_Escapement_Data[[#This Row],[YEAR]],8,1)</f>
        <v>25</v>
      </c>
    </row>
    <row r="2161" spans="1:9" x14ac:dyDescent="0.25">
      <c r="A2161" s="1">
        <v>42974</v>
      </c>
      <c r="B2161">
        <v>827</v>
      </c>
      <c r="C2161">
        <v>2017</v>
      </c>
      <c r="D2161">
        <v>137</v>
      </c>
      <c r="E2161">
        <v>70</v>
      </c>
      <c r="F2161">
        <v>205</v>
      </c>
      <c r="G2161">
        <v>55</v>
      </c>
      <c r="H2161">
        <f>SUMIFS($F$2:F2161,$C$2:C2161,C2161)</f>
        <v>1151</v>
      </c>
      <c r="I2161" s="8">
        <f>STAMP_Escapement_Data[[#This Row],[DATE]]-DATE(STAMP_Escapement_Data[[#This Row],[YEAR]],8,1)</f>
        <v>26</v>
      </c>
    </row>
    <row r="2162" spans="1:9" x14ac:dyDescent="0.25">
      <c r="A2162" s="1">
        <v>42975</v>
      </c>
      <c r="B2162">
        <v>828</v>
      </c>
      <c r="C2162">
        <v>2017</v>
      </c>
      <c r="D2162">
        <v>89</v>
      </c>
      <c r="E2162">
        <v>47</v>
      </c>
      <c r="F2162">
        <v>174</v>
      </c>
      <c r="G2162">
        <v>67</v>
      </c>
      <c r="H2162">
        <f>SUMIFS($F$2:F2162,$C$2:C2162,C2162)</f>
        <v>1325</v>
      </c>
      <c r="I2162" s="8">
        <f>STAMP_Escapement_Data[[#This Row],[DATE]]-DATE(STAMP_Escapement_Data[[#This Row],[YEAR]],8,1)</f>
        <v>27</v>
      </c>
    </row>
    <row r="2163" spans="1:9" x14ac:dyDescent="0.25">
      <c r="A2163" s="1">
        <v>42976</v>
      </c>
      <c r="B2163">
        <v>829</v>
      </c>
      <c r="C2163">
        <v>2017</v>
      </c>
      <c r="D2163">
        <v>61</v>
      </c>
      <c r="E2163">
        <v>62</v>
      </c>
      <c r="F2163">
        <v>103</v>
      </c>
      <c r="G2163">
        <v>56</v>
      </c>
      <c r="H2163">
        <f>SUMIFS($F$2:F2163,$C$2:C2163,C2163)</f>
        <v>1428</v>
      </c>
      <c r="I2163" s="8">
        <f>STAMP_Escapement_Data[[#This Row],[DATE]]-DATE(STAMP_Escapement_Data[[#This Row],[YEAR]],8,1)</f>
        <v>28</v>
      </c>
    </row>
    <row r="2164" spans="1:9" x14ac:dyDescent="0.25">
      <c r="A2164" s="1">
        <v>42977</v>
      </c>
      <c r="B2164">
        <v>830</v>
      </c>
      <c r="C2164">
        <v>2017</v>
      </c>
      <c r="D2164">
        <v>66</v>
      </c>
      <c r="E2164">
        <v>72</v>
      </c>
      <c r="F2164">
        <v>113</v>
      </c>
      <c r="G2164">
        <v>90</v>
      </c>
      <c r="H2164">
        <f>SUMIFS($F$2:F2164,$C$2:C2164,C2164)</f>
        <v>1541</v>
      </c>
      <c r="I2164" s="8">
        <f>STAMP_Escapement_Data[[#This Row],[DATE]]-DATE(STAMP_Escapement_Data[[#This Row],[YEAR]],8,1)</f>
        <v>29</v>
      </c>
    </row>
    <row r="2165" spans="1:9" x14ac:dyDescent="0.25">
      <c r="A2165" s="1">
        <v>42978</v>
      </c>
      <c r="B2165">
        <v>831</v>
      </c>
      <c r="C2165">
        <v>2017</v>
      </c>
      <c r="D2165">
        <v>259</v>
      </c>
      <c r="E2165">
        <v>144</v>
      </c>
      <c r="F2165">
        <v>196</v>
      </c>
      <c r="G2165">
        <v>82</v>
      </c>
      <c r="H2165">
        <f>SUMIFS($F$2:F2165,$C$2:C2165,C2165)</f>
        <v>1737</v>
      </c>
      <c r="I2165" s="8">
        <f>STAMP_Escapement_Data[[#This Row],[DATE]]-DATE(STAMP_Escapement_Data[[#This Row],[YEAR]],8,1)</f>
        <v>30</v>
      </c>
    </row>
    <row r="2166" spans="1:9" x14ac:dyDescent="0.25">
      <c r="A2166" s="1">
        <v>42979</v>
      </c>
      <c r="B2166">
        <v>901</v>
      </c>
      <c r="C2166">
        <v>2017</v>
      </c>
      <c r="D2166">
        <v>349</v>
      </c>
      <c r="E2166">
        <v>76</v>
      </c>
      <c r="F2166">
        <v>398</v>
      </c>
      <c r="G2166">
        <v>115</v>
      </c>
      <c r="H2166">
        <f>SUMIFS($F$2:F2166,$C$2:C2166,C2166)</f>
        <v>2135</v>
      </c>
      <c r="I2166" s="8">
        <f>STAMP_Escapement_Data[[#This Row],[DATE]]-DATE(STAMP_Escapement_Data[[#This Row],[YEAR]],8,1)</f>
        <v>31</v>
      </c>
    </row>
    <row r="2167" spans="1:9" x14ac:dyDescent="0.25">
      <c r="A2167" s="1">
        <v>42980</v>
      </c>
      <c r="B2167">
        <v>902</v>
      </c>
      <c r="C2167">
        <v>2017</v>
      </c>
      <c r="D2167">
        <v>185</v>
      </c>
      <c r="E2167">
        <v>59</v>
      </c>
      <c r="F2167">
        <v>299</v>
      </c>
      <c r="G2167">
        <v>72</v>
      </c>
      <c r="H2167">
        <f>SUMIFS($F$2:F2167,$C$2:C2167,C2167)</f>
        <v>2434</v>
      </c>
      <c r="I2167" s="8">
        <f>STAMP_Escapement_Data[[#This Row],[DATE]]-DATE(STAMP_Escapement_Data[[#This Row],[YEAR]],8,1)</f>
        <v>32</v>
      </c>
    </row>
    <row r="2168" spans="1:9" x14ac:dyDescent="0.25">
      <c r="A2168" s="1">
        <v>42981</v>
      </c>
      <c r="B2168">
        <v>903</v>
      </c>
      <c r="C2168">
        <v>2017</v>
      </c>
      <c r="D2168">
        <v>173</v>
      </c>
      <c r="E2168">
        <v>51</v>
      </c>
      <c r="F2168">
        <v>379</v>
      </c>
      <c r="G2168">
        <v>132</v>
      </c>
      <c r="H2168">
        <f>SUMIFS($F$2:F2168,$C$2:C2168,C2168)</f>
        <v>2813</v>
      </c>
      <c r="I2168" s="8">
        <f>STAMP_Escapement_Data[[#This Row],[DATE]]-DATE(STAMP_Escapement_Data[[#This Row],[YEAR]],8,1)</f>
        <v>33</v>
      </c>
    </row>
    <row r="2169" spans="1:9" x14ac:dyDescent="0.25">
      <c r="A2169" s="1">
        <v>42982</v>
      </c>
      <c r="B2169">
        <v>904</v>
      </c>
      <c r="C2169">
        <v>2017</v>
      </c>
      <c r="D2169">
        <v>46</v>
      </c>
      <c r="E2169">
        <v>32</v>
      </c>
      <c r="F2169">
        <v>285</v>
      </c>
      <c r="G2169">
        <v>92</v>
      </c>
      <c r="H2169">
        <f>SUMIFS($F$2:F2169,$C$2:C2169,C2169)</f>
        <v>3098</v>
      </c>
      <c r="I2169" s="8">
        <f>STAMP_Escapement_Data[[#This Row],[DATE]]-DATE(STAMP_Escapement_Data[[#This Row],[YEAR]],8,1)</f>
        <v>34</v>
      </c>
    </row>
    <row r="2170" spans="1:9" x14ac:dyDescent="0.25">
      <c r="A2170" s="1">
        <v>42983</v>
      </c>
      <c r="B2170">
        <v>905</v>
      </c>
      <c r="C2170">
        <v>2017</v>
      </c>
      <c r="D2170">
        <v>59</v>
      </c>
      <c r="E2170">
        <v>21</v>
      </c>
      <c r="F2170">
        <v>302</v>
      </c>
      <c r="G2170">
        <v>167</v>
      </c>
      <c r="H2170">
        <f>SUMIFS($F$2:F2170,$C$2:C2170,C2170)</f>
        <v>3400</v>
      </c>
      <c r="I2170" s="8">
        <f>STAMP_Escapement_Data[[#This Row],[DATE]]-DATE(STAMP_Escapement_Data[[#This Row],[YEAR]],8,1)</f>
        <v>35</v>
      </c>
    </row>
    <row r="2171" spans="1:9" x14ac:dyDescent="0.25">
      <c r="A2171" s="1">
        <v>42984</v>
      </c>
      <c r="B2171">
        <v>906</v>
      </c>
      <c r="C2171">
        <v>2017</v>
      </c>
      <c r="D2171">
        <v>15</v>
      </c>
      <c r="E2171">
        <v>24</v>
      </c>
      <c r="F2171">
        <v>137</v>
      </c>
      <c r="G2171">
        <v>77</v>
      </c>
      <c r="H2171">
        <f>SUMIFS($F$2:F2171,$C$2:C2171,C2171)</f>
        <v>3537</v>
      </c>
      <c r="I2171" s="8">
        <f>STAMP_Escapement_Data[[#This Row],[DATE]]-DATE(STAMP_Escapement_Data[[#This Row],[YEAR]],8,1)</f>
        <v>36</v>
      </c>
    </row>
    <row r="2172" spans="1:9" x14ac:dyDescent="0.25">
      <c r="A2172" s="1">
        <v>42985</v>
      </c>
      <c r="B2172">
        <v>907</v>
      </c>
      <c r="C2172">
        <v>2017</v>
      </c>
      <c r="D2172">
        <v>56</v>
      </c>
      <c r="E2172">
        <v>47</v>
      </c>
      <c r="F2172">
        <v>114</v>
      </c>
      <c r="G2172">
        <v>125</v>
      </c>
      <c r="H2172">
        <f>SUMIFS($F$2:F2172,$C$2:C2172,C2172)</f>
        <v>3651</v>
      </c>
      <c r="I2172" s="8">
        <f>STAMP_Escapement_Data[[#This Row],[DATE]]-DATE(STAMP_Escapement_Data[[#This Row],[YEAR]],8,1)</f>
        <v>37</v>
      </c>
    </row>
    <row r="2173" spans="1:9" x14ac:dyDescent="0.25">
      <c r="A2173" s="1">
        <v>42986</v>
      </c>
      <c r="B2173">
        <v>908</v>
      </c>
      <c r="C2173">
        <v>2017</v>
      </c>
      <c r="D2173">
        <v>109</v>
      </c>
      <c r="E2173">
        <v>223</v>
      </c>
      <c r="F2173">
        <v>102</v>
      </c>
      <c r="G2173">
        <v>106</v>
      </c>
      <c r="H2173">
        <f>SUMIFS($F$2:F2173,$C$2:C2173,C2173)</f>
        <v>3753</v>
      </c>
      <c r="I2173" s="8">
        <f>STAMP_Escapement_Data[[#This Row],[DATE]]-DATE(STAMP_Escapement_Data[[#This Row],[YEAR]],8,1)</f>
        <v>38</v>
      </c>
    </row>
    <row r="2174" spans="1:9" x14ac:dyDescent="0.25">
      <c r="A2174" s="1">
        <v>42987</v>
      </c>
      <c r="B2174">
        <v>909</v>
      </c>
      <c r="C2174">
        <v>2017</v>
      </c>
      <c r="D2174">
        <v>237</v>
      </c>
      <c r="E2174">
        <v>204</v>
      </c>
      <c r="F2174">
        <v>299</v>
      </c>
      <c r="G2174">
        <v>169</v>
      </c>
      <c r="H2174">
        <f>SUMIFS($F$2:F2174,$C$2:C2174,C2174)</f>
        <v>4052</v>
      </c>
      <c r="I2174" s="8">
        <f>STAMP_Escapement_Data[[#This Row],[DATE]]-DATE(STAMP_Escapement_Data[[#This Row],[YEAR]],8,1)</f>
        <v>39</v>
      </c>
    </row>
    <row r="2175" spans="1:9" x14ac:dyDescent="0.25">
      <c r="A2175" s="1">
        <v>42988</v>
      </c>
      <c r="B2175">
        <v>910</v>
      </c>
      <c r="C2175">
        <v>2017</v>
      </c>
      <c r="D2175">
        <v>295</v>
      </c>
      <c r="E2175">
        <v>137</v>
      </c>
      <c r="F2175">
        <v>821</v>
      </c>
      <c r="G2175">
        <v>135</v>
      </c>
      <c r="H2175">
        <f>SUMIFS($F$2:F2175,$C$2:C2175,C2175)</f>
        <v>4873</v>
      </c>
      <c r="I2175" s="8">
        <f>STAMP_Escapement_Data[[#This Row],[DATE]]-DATE(STAMP_Escapement_Data[[#This Row],[YEAR]],8,1)</f>
        <v>40</v>
      </c>
    </row>
    <row r="2176" spans="1:9" x14ac:dyDescent="0.25">
      <c r="A2176" s="1">
        <v>42989</v>
      </c>
      <c r="B2176">
        <v>911</v>
      </c>
      <c r="C2176">
        <v>2017</v>
      </c>
      <c r="D2176">
        <v>455</v>
      </c>
      <c r="E2176">
        <v>224</v>
      </c>
      <c r="F2176">
        <v>954</v>
      </c>
      <c r="G2176">
        <v>285</v>
      </c>
      <c r="H2176">
        <f>SUMIFS($F$2:F2176,$C$2:C2176,C2176)</f>
        <v>5827</v>
      </c>
      <c r="I2176" s="8">
        <f>STAMP_Escapement_Data[[#This Row],[DATE]]-DATE(STAMP_Escapement_Data[[#This Row],[YEAR]],8,1)</f>
        <v>41</v>
      </c>
    </row>
    <row r="2177" spans="1:9" x14ac:dyDescent="0.25">
      <c r="A2177" s="1">
        <v>42990</v>
      </c>
      <c r="B2177">
        <v>912</v>
      </c>
      <c r="C2177">
        <v>2017</v>
      </c>
      <c r="D2177">
        <v>603</v>
      </c>
      <c r="E2177">
        <v>281</v>
      </c>
      <c r="F2177">
        <v>803</v>
      </c>
      <c r="G2177">
        <v>260</v>
      </c>
      <c r="H2177">
        <f>SUMIFS($F$2:F2177,$C$2:C2177,C2177)</f>
        <v>6630</v>
      </c>
      <c r="I2177" s="8">
        <f>STAMP_Escapement_Data[[#This Row],[DATE]]-DATE(STAMP_Escapement_Data[[#This Row],[YEAR]],8,1)</f>
        <v>42</v>
      </c>
    </row>
    <row r="2178" spans="1:9" x14ac:dyDescent="0.25">
      <c r="A2178" s="1">
        <v>42991</v>
      </c>
      <c r="B2178">
        <v>913</v>
      </c>
      <c r="C2178">
        <v>2017</v>
      </c>
      <c r="D2178">
        <v>837</v>
      </c>
      <c r="E2178">
        <v>444</v>
      </c>
      <c r="F2178">
        <v>447</v>
      </c>
      <c r="G2178">
        <v>162</v>
      </c>
      <c r="H2178">
        <f>SUMIFS($F$2:F2178,$C$2:C2178,C2178)</f>
        <v>7077</v>
      </c>
      <c r="I2178" s="8">
        <f>STAMP_Escapement_Data[[#This Row],[DATE]]-DATE(STAMP_Escapement_Data[[#This Row],[YEAR]],8,1)</f>
        <v>43</v>
      </c>
    </row>
    <row r="2179" spans="1:9" x14ac:dyDescent="0.25">
      <c r="A2179" s="1">
        <v>42992</v>
      </c>
      <c r="B2179">
        <v>914</v>
      </c>
      <c r="C2179">
        <v>2017</v>
      </c>
      <c r="D2179">
        <v>892</v>
      </c>
      <c r="E2179">
        <v>272</v>
      </c>
      <c r="F2179">
        <v>714</v>
      </c>
      <c r="G2179">
        <v>250</v>
      </c>
      <c r="H2179">
        <f>SUMIFS($F$2:F2179,$C$2:C2179,C2179)</f>
        <v>7791</v>
      </c>
      <c r="I2179" s="8">
        <f>STAMP_Escapement_Data[[#This Row],[DATE]]-DATE(STAMP_Escapement_Data[[#This Row],[YEAR]],8,1)</f>
        <v>44</v>
      </c>
    </row>
    <row r="2180" spans="1:9" x14ac:dyDescent="0.25">
      <c r="A2180" s="1">
        <v>42993</v>
      </c>
      <c r="B2180">
        <v>915</v>
      </c>
      <c r="C2180">
        <v>2017</v>
      </c>
      <c r="D2180">
        <v>872</v>
      </c>
      <c r="E2180">
        <v>357</v>
      </c>
      <c r="F2180">
        <v>691</v>
      </c>
      <c r="G2180">
        <v>205</v>
      </c>
      <c r="H2180">
        <f>SUMIFS($F$2:F2180,$C$2:C2180,C2180)</f>
        <v>8482</v>
      </c>
      <c r="I2180" s="8">
        <f>STAMP_Escapement_Data[[#This Row],[DATE]]-DATE(STAMP_Escapement_Data[[#This Row],[YEAR]],8,1)</f>
        <v>45</v>
      </c>
    </row>
    <row r="2181" spans="1:9" x14ac:dyDescent="0.25">
      <c r="A2181" s="1">
        <v>42994</v>
      </c>
      <c r="B2181">
        <v>916</v>
      </c>
      <c r="C2181">
        <v>2017</v>
      </c>
      <c r="D2181">
        <v>810</v>
      </c>
      <c r="E2181">
        <v>286</v>
      </c>
      <c r="F2181">
        <v>497</v>
      </c>
      <c r="G2181">
        <v>207</v>
      </c>
      <c r="H2181">
        <f>SUMIFS($F$2:F2181,$C$2:C2181,C2181)</f>
        <v>8979</v>
      </c>
      <c r="I2181" s="8">
        <f>STAMP_Escapement_Data[[#This Row],[DATE]]-DATE(STAMP_Escapement_Data[[#This Row],[YEAR]],8,1)</f>
        <v>46</v>
      </c>
    </row>
    <row r="2182" spans="1:9" x14ac:dyDescent="0.25">
      <c r="A2182" s="1">
        <v>42995</v>
      </c>
      <c r="B2182">
        <v>917</v>
      </c>
      <c r="C2182">
        <v>2017</v>
      </c>
      <c r="D2182">
        <v>641</v>
      </c>
      <c r="E2182">
        <v>208</v>
      </c>
      <c r="F2182">
        <v>563</v>
      </c>
      <c r="G2182">
        <v>251</v>
      </c>
      <c r="H2182">
        <f>SUMIFS($F$2:F2182,$C$2:C2182,C2182)</f>
        <v>9542</v>
      </c>
      <c r="I2182" s="8">
        <f>STAMP_Escapement_Data[[#This Row],[DATE]]-DATE(STAMP_Escapement_Data[[#This Row],[YEAR]],8,1)</f>
        <v>47</v>
      </c>
    </row>
    <row r="2183" spans="1:9" x14ac:dyDescent="0.25">
      <c r="A2183" s="1">
        <v>42996</v>
      </c>
      <c r="B2183">
        <v>918</v>
      </c>
      <c r="C2183">
        <v>2017</v>
      </c>
      <c r="D2183">
        <v>931</v>
      </c>
      <c r="E2183">
        <v>267</v>
      </c>
      <c r="F2183">
        <v>620</v>
      </c>
      <c r="G2183">
        <v>192</v>
      </c>
      <c r="H2183">
        <f>SUMIFS($F$2:F2183,$C$2:C2183,C2183)</f>
        <v>10162</v>
      </c>
      <c r="I2183" s="8">
        <f>STAMP_Escapement_Data[[#This Row],[DATE]]-DATE(STAMP_Escapement_Data[[#This Row],[YEAR]],8,1)</f>
        <v>48</v>
      </c>
    </row>
    <row r="2184" spans="1:9" x14ac:dyDescent="0.25">
      <c r="A2184" s="1">
        <v>42997</v>
      </c>
      <c r="B2184">
        <v>919</v>
      </c>
      <c r="C2184">
        <v>2017</v>
      </c>
      <c r="D2184">
        <v>832</v>
      </c>
      <c r="E2184">
        <v>241</v>
      </c>
      <c r="F2184">
        <v>708</v>
      </c>
      <c r="G2184">
        <v>235</v>
      </c>
      <c r="H2184">
        <f>SUMIFS($F$2:F2184,$C$2:C2184,C2184)</f>
        <v>10870</v>
      </c>
      <c r="I2184" s="8">
        <f>STAMP_Escapement_Data[[#This Row],[DATE]]-DATE(STAMP_Escapement_Data[[#This Row],[YEAR]],8,1)</f>
        <v>49</v>
      </c>
    </row>
    <row r="2185" spans="1:9" x14ac:dyDescent="0.25">
      <c r="A2185" s="1">
        <v>42998</v>
      </c>
      <c r="B2185">
        <v>920</v>
      </c>
      <c r="C2185">
        <v>2017</v>
      </c>
      <c r="D2185">
        <v>906</v>
      </c>
      <c r="E2185">
        <v>219</v>
      </c>
      <c r="F2185">
        <v>743</v>
      </c>
      <c r="G2185">
        <v>344</v>
      </c>
      <c r="H2185">
        <f>SUMIFS($F$2:F2185,$C$2:C2185,C2185)</f>
        <v>11613</v>
      </c>
      <c r="I2185" s="8">
        <f>STAMP_Escapement_Data[[#This Row],[DATE]]-DATE(STAMP_Escapement_Data[[#This Row],[YEAR]],8,1)</f>
        <v>50</v>
      </c>
    </row>
    <row r="2186" spans="1:9" x14ac:dyDescent="0.25">
      <c r="A2186" s="1">
        <v>42999</v>
      </c>
      <c r="B2186">
        <v>921</v>
      </c>
      <c r="C2186">
        <v>2017</v>
      </c>
      <c r="D2186">
        <v>919</v>
      </c>
      <c r="E2186">
        <v>200</v>
      </c>
      <c r="F2186">
        <v>776</v>
      </c>
      <c r="G2186">
        <v>338</v>
      </c>
      <c r="H2186">
        <f>SUMIFS($F$2:F2186,$C$2:C2186,C2186)</f>
        <v>12389</v>
      </c>
      <c r="I2186" s="8">
        <f>STAMP_Escapement_Data[[#This Row],[DATE]]-DATE(STAMP_Escapement_Data[[#This Row],[YEAR]],8,1)</f>
        <v>51</v>
      </c>
    </row>
    <row r="2187" spans="1:9" x14ac:dyDescent="0.25">
      <c r="A2187" s="1">
        <v>43000</v>
      </c>
      <c r="B2187">
        <v>922</v>
      </c>
      <c r="C2187">
        <v>2017</v>
      </c>
      <c r="D2187">
        <v>875</v>
      </c>
      <c r="E2187">
        <v>160</v>
      </c>
      <c r="F2187">
        <v>473</v>
      </c>
      <c r="G2187">
        <v>212</v>
      </c>
      <c r="H2187">
        <f>SUMIFS($F$2:F2187,$C$2:C2187,C2187)</f>
        <v>12862</v>
      </c>
      <c r="I2187" s="8">
        <f>STAMP_Escapement_Data[[#This Row],[DATE]]-DATE(STAMP_Escapement_Data[[#This Row],[YEAR]],8,1)</f>
        <v>52</v>
      </c>
    </row>
    <row r="2188" spans="1:9" x14ac:dyDescent="0.25">
      <c r="A2188" s="1">
        <v>43001</v>
      </c>
      <c r="B2188">
        <v>923</v>
      </c>
      <c r="C2188">
        <v>2017</v>
      </c>
      <c r="D2188">
        <v>889</v>
      </c>
      <c r="E2188">
        <v>182</v>
      </c>
      <c r="F2188">
        <v>574</v>
      </c>
      <c r="G2188">
        <v>211</v>
      </c>
      <c r="H2188">
        <f>SUMIFS($F$2:F2188,$C$2:C2188,C2188)</f>
        <v>13436</v>
      </c>
      <c r="I2188" s="8">
        <f>STAMP_Escapement_Data[[#This Row],[DATE]]-DATE(STAMP_Escapement_Data[[#This Row],[YEAR]],8,1)</f>
        <v>53</v>
      </c>
    </row>
    <row r="2189" spans="1:9" x14ac:dyDescent="0.25">
      <c r="A2189" s="1">
        <v>43002</v>
      </c>
      <c r="B2189">
        <v>924</v>
      </c>
      <c r="C2189">
        <v>2017</v>
      </c>
      <c r="D2189">
        <v>784</v>
      </c>
      <c r="E2189">
        <v>174</v>
      </c>
      <c r="F2189">
        <v>574</v>
      </c>
      <c r="G2189">
        <v>239</v>
      </c>
      <c r="H2189">
        <f>SUMIFS($F$2:F2189,$C$2:C2189,C2189)</f>
        <v>14010</v>
      </c>
      <c r="I2189" s="8">
        <f>STAMP_Escapement_Data[[#This Row],[DATE]]-DATE(STAMP_Escapement_Data[[#This Row],[YEAR]],8,1)</f>
        <v>54</v>
      </c>
    </row>
    <row r="2190" spans="1:9" x14ac:dyDescent="0.25">
      <c r="A2190" s="1">
        <v>43003</v>
      </c>
      <c r="B2190">
        <v>925</v>
      </c>
      <c r="C2190">
        <v>2017</v>
      </c>
      <c r="D2190">
        <v>696</v>
      </c>
      <c r="E2190">
        <v>129</v>
      </c>
      <c r="F2190">
        <v>543</v>
      </c>
      <c r="G2190">
        <v>199</v>
      </c>
      <c r="H2190">
        <f>SUMIFS($F$2:F2190,$C$2:C2190,C2190)</f>
        <v>14553</v>
      </c>
      <c r="I2190" s="8">
        <f>STAMP_Escapement_Data[[#This Row],[DATE]]-DATE(STAMP_Escapement_Data[[#This Row],[YEAR]],8,1)</f>
        <v>55</v>
      </c>
    </row>
    <row r="2191" spans="1:9" x14ac:dyDescent="0.25">
      <c r="A2191" s="1">
        <v>43004</v>
      </c>
      <c r="B2191">
        <v>926</v>
      </c>
      <c r="C2191">
        <v>2017</v>
      </c>
      <c r="D2191">
        <v>565</v>
      </c>
      <c r="E2191">
        <v>93</v>
      </c>
      <c r="F2191">
        <v>521</v>
      </c>
      <c r="G2191">
        <v>208</v>
      </c>
      <c r="H2191">
        <f>SUMIFS($F$2:F2191,$C$2:C2191,C2191)</f>
        <v>15074</v>
      </c>
      <c r="I2191" s="8">
        <f>STAMP_Escapement_Data[[#This Row],[DATE]]-DATE(STAMP_Escapement_Data[[#This Row],[YEAR]],8,1)</f>
        <v>56</v>
      </c>
    </row>
    <row r="2192" spans="1:9" x14ac:dyDescent="0.25">
      <c r="A2192" s="1">
        <v>43005</v>
      </c>
      <c r="B2192">
        <v>927</v>
      </c>
      <c r="C2192">
        <v>2017</v>
      </c>
      <c r="D2192">
        <v>499</v>
      </c>
      <c r="E2192">
        <v>73</v>
      </c>
      <c r="F2192">
        <v>634</v>
      </c>
      <c r="G2192">
        <v>197</v>
      </c>
      <c r="H2192">
        <f>SUMIFS($F$2:F2192,$C$2:C2192,C2192)</f>
        <v>15708</v>
      </c>
      <c r="I2192" s="8">
        <f>STAMP_Escapement_Data[[#This Row],[DATE]]-DATE(STAMP_Escapement_Data[[#This Row],[YEAR]],8,1)</f>
        <v>57</v>
      </c>
    </row>
    <row r="2193" spans="1:9" x14ac:dyDescent="0.25">
      <c r="A2193" s="1">
        <v>43006</v>
      </c>
      <c r="B2193">
        <v>928</v>
      </c>
      <c r="C2193">
        <v>2017</v>
      </c>
      <c r="D2193">
        <v>295</v>
      </c>
      <c r="E2193">
        <v>65</v>
      </c>
      <c r="F2193">
        <v>428</v>
      </c>
      <c r="G2193">
        <v>179</v>
      </c>
      <c r="H2193">
        <f>SUMIFS($F$2:F2193,$C$2:C2193,C2193)</f>
        <v>16136</v>
      </c>
      <c r="I2193" s="8">
        <f>STAMP_Escapement_Data[[#This Row],[DATE]]-DATE(STAMP_Escapement_Data[[#This Row],[YEAR]],8,1)</f>
        <v>58</v>
      </c>
    </row>
    <row r="2194" spans="1:9" x14ac:dyDescent="0.25">
      <c r="A2194" s="1">
        <v>43007</v>
      </c>
      <c r="B2194">
        <v>929</v>
      </c>
      <c r="C2194">
        <v>2017</v>
      </c>
      <c r="D2194">
        <v>293</v>
      </c>
      <c r="E2194">
        <v>62</v>
      </c>
      <c r="F2194">
        <v>462</v>
      </c>
      <c r="G2194">
        <v>135</v>
      </c>
      <c r="H2194">
        <f>SUMIFS($F$2:F2194,$C$2:C2194,C2194)</f>
        <v>16598</v>
      </c>
      <c r="I2194" s="8">
        <f>STAMP_Escapement_Data[[#This Row],[DATE]]-DATE(STAMP_Escapement_Data[[#This Row],[YEAR]],8,1)</f>
        <v>59</v>
      </c>
    </row>
    <row r="2195" spans="1:9" x14ac:dyDescent="0.25">
      <c r="A2195" s="1">
        <v>43008</v>
      </c>
      <c r="B2195">
        <v>930</v>
      </c>
      <c r="C2195">
        <v>2017</v>
      </c>
      <c r="D2195">
        <v>404</v>
      </c>
      <c r="E2195">
        <v>36</v>
      </c>
      <c r="F2195">
        <v>597</v>
      </c>
      <c r="G2195">
        <v>89</v>
      </c>
      <c r="H2195">
        <f>SUMIFS($F$2:F2195,$C$2:C2195,C2195)</f>
        <v>17195</v>
      </c>
      <c r="I2195" s="8">
        <f>STAMP_Escapement_Data[[#This Row],[DATE]]-DATE(STAMP_Escapement_Data[[#This Row],[YEAR]],8,1)</f>
        <v>60</v>
      </c>
    </row>
    <row r="2196" spans="1:9" x14ac:dyDescent="0.25">
      <c r="A2196" s="1">
        <v>43009</v>
      </c>
      <c r="B2196">
        <v>1001</v>
      </c>
      <c r="C2196">
        <v>2017</v>
      </c>
      <c r="D2196">
        <v>194</v>
      </c>
      <c r="E2196">
        <v>46</v>
      </c>
      <c r="F2196">
        <v>843</v>
      </c>
      <c r="G2196">
        <v>133</v>
      </c>
      <c r="H2196">
        <f>SUMIFS($F$2:F2196,$C$2:C2196,C2196)</f>
        <v>18038</v>
      </c>
      <c r="I2196" s="8">
        <f>STAMP_Escapement_Data[[#This Row],[DATE]]-DATE(STAMP_Escapement_Data[[#This Row],[YEAR]],8,1)</f>
        <v>61</v>
      </c>
    </row>
    <row r="2197" spans="1:9" x14ac:dyDescent="0.25">
      <c r="A2197" s="1">
        <v>43010</v>
      </c>
      <c r="B2197">
        <v>1002</v>
      </c>
      <c r="C2197">
        <v>2017</v>
      </c>
      <c r="D2197">
        <v>195</v>
      </c>
      <c r="E2197">
        <v>30</v>
      </c>
      <c r="F2197">
        <v>831</v>
      </c>
      <c r="G2197">
        <v>147</v>
      </c>
      <c r="H2197">
        <f>SUMIFS($F$2:F2197,$C$2:C2197,C2197)</f>
        <v>18869</v>
      </c>
      <c r="I2197" s="8">
        <f>STAMP_Escapement_Data[[#This Row],[DATE]]-DATE(STAMP_Escapement_Data[[#This Row],[YEAR]],8,1)</f>
        <v>62</v>
      </c>
    </row>
    <row r="2198" spans="1:9" x14ac:dyDescent="0.25">
      <c r="A2198" s="1">
        <v>43011</v>
      </c>
      <c r="B2198">
        <v>1003</v>
      </c>
      <c r="C2198">
        <v>2017</v>
      </c>
      <c r="D2198">
        <v>148</v>
      </c>
      <c r="E2198">
        <v>24</v>
      </c>
      <c r="F2198">
        <v>886</v>
      </c>
      <c r="G2198">
        <v>158</v>
      </c>
      <c r="H2198">
        <f>SUMIFS($F$2:F2198,$C$2:C2198,C2198)</f>
        <v>19755</v>
      </c>
      <c r="I2198" s="8">
        <f>STAMP_Escapement_Data[[#This Row],[DATE]]-DATE(STAMP_Escapement_Data[[#This Row],[YEAR]],8,1)</f>
        <v>63</v>
      </c>
    </row>
    <row r="2199" spans="1:9" x14ac:dyDescent="0.25">
      <c r="A2199" s="1">
        <v>43012</v>
      </c>
      <c r="B2199">
        <v>1004</v>
      </c>
      <c r="C2199">
        <v>2017</v>
      </c>
      <c r="D2199">
        <v>149</v>
      </c>
      <c r="E2199">
        <v>31</v>
      </c>
      <c r="F2199">
        <v>678</v>
      </c>
      <c r="G2199">
        <v>131</v>
      </c>
      <c r="H2199">
        <f>SUMIFS($F$2:F2199,$C$2:C2199,C2199)</f>
        <v>20433</v>
      </c>
      <c r="I2199" s="8">
        <f>STAMP_Escapement_Data[[#This Row],[DATE]]-DATE(STAMP_Escapement_Data[[#This Row],[YEAR]],8,1)</f>
        <v>64</v>
      </c>
    </row>
    <row r="2200" spans="1:9" x14ac:dyDescent="0.25">
      <c r="A2200" s="1">
        <v>43013</v>
      </c>
      <c r="B2200">
        <v>1005</v>
      </c>
      <c r="C2200">
        <v>2017</v>
      </c>
      <c r="D2200">
        <v>299</v>
      </c>
      <c r="E2200">
        <v>35</v>
      </c>
      <c r="F2200">
        <v>601</v>
      </c>
      <c r="G2200">
        <v>123</v>
      </c>
      <c r="H2200">
        <f>SUMIFS($F$2:F2200,$C$2:C2200,C2200)</f>
        <v>21034</v>
      </c>
      <c r="I2200" s="8">
        <f>STAMP_Escapement_Data[[#This Row],[DATE]]-DATE(STAMP_Escapement_Data[[#This Row],[YEAR]],8,1)</f>
        <v>65</v>
      </c>
    </row>
    <row r="2201" spans="1:9" x14ac:dyDescent="0.25">
      <c r="A2201" s="1">
        <v>43014</v>
      </c>
      <c r="B2201">
        <v>1006</v>
      </c>
      <c r="C2201">
        <v>2017</v>
      </c>
      <c r="D2201">
        <v>181</v>
      </c>
      <c r="E2201">
        <v>26</v>
      </c>
      <c r="F2201">
        <v>745</v>
      </c>
      <c r="G2201">
        <v>141</v>
      </c>
      <c r="H2201">
        <f>SUMIFS($F$2:F2201,$C$2:C2201,C2201)</f>
        <v>21779</v>
      </c>
      <c r="I2201" s="8">
        <f>STAMP_Escapement_Data[[#This Row],[DATE]]-DATE(STAMP_Escapement_Data[[#This Row],[YEAR]],8,1)</f>
        <v>66</v>
      </c>
    </row>
    <row r="2202" spans="1:9" x14ac:dyDescent="0.25">
      <c r="A2202" s="1">
        <v>43015</v>
      </c>
      <c r="B2202">
        <v>1007</v>
      </c>
      <c r="C2202">
        <v>2017</v>
      </c>
      <c r="D2202">
        <v>185</v>
      </c>
      <c r="E2202">
        <v>20</v>
      </c>
      <c r="F2202">
        <v>806</v>
      </c>
      <c r="G2202">
        <v>77</v>
      </c>
      <c r="H2202">
        <f>SUMIFS($F$2:F2202,$C$2:C2202,C2202)</f>
        <v>22585</v>
      </c>
      <c r="I2202" s="8">
        <f>STAMP_Escapement_Data[[#This Row],[DATE]]-DATE(STAMP_Escapement_Data[[#This Row],[YEAR]],8,1)</f>
        <v>67</v>
      </c>
    </row>
    <row r="2203" spans="1:9" x14ac:dyDescent="0.25">
      <c r="A2203" s="1">
        <v>43016</v>
      </c>
      <c r="B2203">
        <v>1008</v>
      </c>
      <c r="C2203">
        <v>2017</v>
      </c>
      <c r="D2203">
        <v>130</v>
      </c>
      <c r="E2203">
        <v>5</v>
      </c>
      <c r="F2203">
        <v>761</v>
      </c>
      <c r="G2203">
        <v>47</v>
      </c>
      <c r="H2203">
        <f>SUMIFS($F$2:F2203,$C$2:C2203,C2203)</f>
        <v>23346</v>
      </c>
      <c r="I2203" s="8">
        <f>STAMP_Escapement_Data[[#This Row],[DATE]]-DATE(STAMP_Escapement_Data[[#This Row],[YEAR]],8,1)</f>
        <v>68</v>
      </c>
    </row>
    <row r="2204" spans="1:9" x14ac:dyDescent="0.25">
      <c r="A2204" s="1">
        <v>43017</v>
      </c>
      <c r="B2204">
        <v>1009</v>
      </c>
      <c r="C2204">
        <v>2017</v>
      </c>
      <c r="D2204">
        <v>196</v>
      </c>
      <c r="E2204">
        <v>38</v>
      </c>
      <c r="F2204">
        <v>868</v>
      </c>
      <c r="G2204">
        <v>121</v>
      </c>
      <c r="H2204">
        <f>SUMIFS($F$2:F2204,$C$2:C2204,C2204)</f>
        <v>24214</v>
      </c>
      <c r="I2204" s="8">
        <f>STAMP_Escapement_Data[[#This Row],[DATE]]-DATE(STAMP_Escapement_Data[[#This Row],[YEAR]],8,1)</f>
        <v>69</v>
      </c>
    </row>
    <row r="2205" spans="1:9" x14ac:dyDescent="0.25">
      <c r="A2205" s="1">
        <v>43018</v>
      </c>
      <c r="B2205">
        <v>1010</v>
      </c>
      <c r="C2205">
        <v>2017</v>
      </c>
      <c r="D2205">
        <v>68</v>
      </c>
      <c r="E2205">
        <v>22</v>
      </c>
      <c r="F2205">
        <v>941</v>
      </c>
      <c r="G2205">
        <v>162</v>
      </c>
      <c r="H2205">
        <f>SUMIFS($F$2:F2205,$C$2:C2205,C2205)</f>
        <v>25155</v>
      </c>
      <c r="I2205" s="8">
        <f>STAMP_Escapement_Data[[#This Row],[DATE]]-DATE(STAMP_Escapement_Data[[#This Row],[YEAR]],8,1)</f>
        <v>70</v>
      </c>
    </row>
    <row r="2206" spans="1:9" x14ac:dyDescent="0.25">
      <c r="A2206" s="1">
        <v>43019</v>
      </c>
      <c r="B2206">
        <v>1011</v>
      </c>
      <c r="C2206">
        <v>2017</v>
      </c>
      <c r="D2206">
        <v>157</v>
      </c>
      <c r="E2206">
        <v>41</v>
      </c>
      <c r="F2206">
        <v>947</v>
      </c>
      <c r="G2206">
        <v>136</v>
      </c>
      <c r="H2206">
        <f>SUMIFS($F$2:F2206,$C$2:C2206,C2206)</f>
        <v>26102</v>
      </c>
      <c r="I2206" s="8">
        <f>STAMP_Escapement_Data[[#This Row],[DATE]]-DATE(STAMP_Escapement_Data[[#This Row],[YEAR]],8,1)</f>
        <v>71</v>
      </c>
    </row>
    <row r="2207" spans="1:9" x14ac:dyDescent="0.25">
      <c r="A2207" s="1">
        <v>43020</v>
      </c>
      <c r="B2207">
        <v>1012</v>
      </c>
      <c r="C2207">
        <v>2017</v>
      </c>
      <c r="D2207">
        <v>119</v>
      </c>
      <c r="E2207">
        <v>22</v>
      </c>
      <c r="F2207">
        <v>1071</v>
      </c>
      <c r="G2207">
        <v>151</v>
      </c>
      <c r="H2207">
        <f>SUMIFS($F$2:F2207,$C$2:C2207,C2207)</f>
        <v>27173</v>
      </c>
      <c r="I2207" s="8">
        <f>STAMP_Escapement_Data[[#This Row],[DATE]]-DATE(STAMP_Escapement_Data[[#This Row],[YEAR]],8,1)</f>
        <v>72</v>
      </c>
    </row>
    <row r="2208" spans="1:9" x14ac:dyDescent="0.25">
      <c r="A2208" s="1">
        <v>43021</v>
      </c>
      <c r="B2208">
        <v>1013</v>
      </c>
      <c r="C2208">
        <v>2017</v>
      </c>
      <c r="D2208">
        <v>113</v>
      </c>
      <c r="E2208">
        <v>22</v>
      </c>
      <c r="F2208">
        <v>1040</v>
      </c>
      <c r="G2208">
        <v>150</v>
      </c>
      <c r="H2208">
        <f>SUMIFS($F$2:F2208,$C$2:C2208,C2208)</f>
        <v>28213</v>
      </c>
      <c r="I2208" s="8">
        <f>STAMP_Escapement_Data[[#This Row],[DATE]]-DATE(STAMP_Escapement_Data[[#This Row],[YEAR]],8,1)</f>
        <v>73</v>
      </c>
    </row>
    <row r="2209" spans="1:9" x14ac:dyDescent="0.25">
      <c r="A2209" s="1">
        <v>43022</v>
      </c>
      <c r="B2209">
        <v>1014</v>
      </c>
      <c r="C2209">
        <v>2017</v>
      </c>
      <c r="D2209">
        <v>107</v>
      </c>
      <c r="E2209">
        <v>22</v>
      </c>
      <c r="F2209">
        <v>1010</v>
      </c>
      <c r="G2209">
        <v>150</v>
      </c>
      <c r="H2209">
        <f>SUMIFS($F$2:F2209,$C$2:C2209,C2209)</f>
        <v>29223</v>
      </c>
      <c r="I2209" s="8">
        <f>STAMP_Escapement_Data[[#This Row],[DATE]]-DATE(STAMP_Escapement_Data[[#This Row],[YEAR]],8,1)</f>
        <v>74</v>
      </c>
    </row>
    <row r="2210" spans="1:9" x14ac:dyDescent="0.25">
      <c r="A2210" s="1">
        <v>43023</v>
      </c>
      <c r="B2210">
        <v>1015</v>
      </c>
      <c r="C2210">
        <v>2017</v>
      </c>
      <c r="D2210">
        <v>100</v>
      </c>
      <c r="E2210">
        <v>22</v>
      </c>
      <c r="F2210">
        <v>979</v>
      </c>
      <c r="G2210">
        <v>149</v>
      </c>
      <c r="H2210">
        <f>SUMIFS($F$2:F2210,$C$2:C2210,C2210)</f>
        <v>30202</v>
      </c>
      <c r="I2210" s="8">
        <f>STAMP_Escapement_Data[[#This Row],[DATE]]-DATE(STAMP_Escapement_Data[[#This Row],[YEAR]],8,1)</f>
        <v>75</v>
      </c>
    </row>
    <row r="2211" spans="1:9" x14ac:dyDescent="0.25">
      <c r="A2211" s="1">
        <v>43024</v>
      </c>
      <c r="B2211">
        <v>1016</v>
      </c>
      <c r="C2211">
        <v>2017</v>
      </c>
      <c r="D2211">
        <v>36</v>
      </c>
      <c r="E2211">
        <v>6</v>
      </c>
      <c r="F2211">
        <v>1088</v>
      </c>
      <c r="G2211">
        <v>136</v>
      </c>
      <c r="H2211">
        <f>SUMIFS($F$2:F2211,$C$2:C2211,C2211)</f>
        <v>31290</v>
      </c>
      <c r="I2211" s="8">
        <f>STAMP_Escapement_Data[[#This Row],[DATE]]-DATE(STAMP_Escapement_Data[[#This Row],[YEAR]],8,1)</f>
        <v>76</v>
      </c>
    </row>
    <row r="2212" spans="1:9" x14ac:dyDescent="0.25">
      <c r="A2212" s="1">
        <v>43025</v>
      </c>
      <c r="B2212">
        <v>1017</v>
      </c>
      <c r="C2212">
        <v>2017</v>
      </c>
      <c r="D2212">
        <v>383</v>
      </c>
      <c r="E2212">
        <v>48</v>
      </c>
      <c r="F2212">
        <v>1473</v>
      </c>
      <c r="G2212">
        <v>306</v>
      </c>
      <c r="H2212">
        <f>SUMIFS($F$2:F2212,$C$2:C2212,C2212)</f>
        <v>32763</v>
      </c>
      <c r="I2212" s="8">
        <f>STAMP_Escapement_Data[[#This Row],[DATE]]-DATE(STAMP_Escapement_Data[[#This Row],[YEAR]],8,1)</f>
        <v>77</v>
      </c>
    </row>
    <row r="2213" spans="1:9" x14ac:dyDescent="0.25">
      <c r="A2213" s="1">
        <v>43026</v>
      </c>
      <c r="B2213">
        <v>1018</v>
      </c>
      <c r="C2213">
        <v>2017</v>
      </c>
      <c r="D2213">
        <v>304</v>
      </c>
      <c r="E2213">
        <v>27</v>
      </c>
      <c r="F2213">
        <v>765</v>
      </c>
      <c r="G2213">
        <v>109</v>
      </c>
      <c r="H2213">
        <f>SUMIFS($F$2:F2213,$C$2:C2213,C2213)</f>
        <v>33528</v>
      </c>
      <c r="I2213" s="8">
        <f>STAMP_Escapement_Data[[#This Row],[DATE]]-DATE(STAMP_Escapement_Data[[#This Row],[YEAR]],8,1)</f>
        <v>78</v>
      </c>
    </row>
    <row r="2214" spans="1:9" x14ac:dyDescent="0.25">
      <c r="A2214" s="1">
        <v>43027</v>
      </c>
      <c r="B2214">
        <v>1019</v>
      </c>
      <c r="C2214">
        <v>2017</v>
      </c>
      <c r="D2214">
        <v>184</v>
      </c>
      <c r="E2214">
        <v>12</v>
      </c>
      <c r="F2214">
        <v>813</v>
      </c>
      <c r="G2214">
        <v>44</v>
      </c>
      <c r="H2214">
        <f>SUMIFS($F$2:F2214,$C$2:C2214,C2214)</f>
        <v>34341</v>
      </c>
      <c r="I2214" s="8">
        <f>STAMP_Escapement_Data[[#This Row],[DATE]]-DATE(STAMP_Escapement_Data[[#This Row],[YEAR]],8,1)</f>
        <v>79</v>
      </c>
    </row>
    <row r="2215" spans="1:9" x14ac:dyDescent="0.25">
      <c r="A2215" s="1">
        <v>43028</v>
      </c>
      <c r="B2215">
        <v>1020</v>
      </c>
      <c r="C2215">
        <v>2017</v>
      </c>
      <c r="D2215">
        <v>195</v>
      </c>
      <c r="E2215">
        <v>17</v>
      </c>
      <c r="F2215">
        <v>725</v>
      </c>
      <c r="G2215">
        <v>70</v>
      </c>
      <c r="H2215">
        <f>SUMIFS($F$2:F2215,$C$2:C2215,C2215)</f>
        <v>35066</v>
      </c>
      <c r="I2215" s="8">
        <f>STAMP_Escapement_Data[[#This Row],[DATE]]-DATE(STAMP_Escapement_Data[[#This Row],[YEAR]],8,1)</f>
        <v>80</v>
      </c>
    </row>
    <row r="2216" spans="1:9" x14ac:dyDescent="0.25">
      <c r="A2216" s="1">
        <v>43029</v>
      </c>
      <c r="B2216">
        <v>1021</v>
      </c>
      <c r="C2216">
        <v>2017</v>
      </c>
      <c r="D2216">
        <v>99</v>
      </c>
      <c r="E2216">
        <v>3</v>
      </c>
      <c r="F2216">
        <v>1677</v>
      </c>
      <c r="G2216">
        <v>161</v>
      </c>
      <c r="H2216">
        <f>SUMIFS($F$2:F2216,$C$2:C2216,C2216)</f>
        <v>36743</v>
      </c>
      <c r="I2216" s="8">
        <f>STAMP_Escapement_Data[[#This Row],[DATE]]-DATE(STAMP_Escapement_Data[[#This Row],[YEAR]],8,1)</f>
        <v>81</v>
      </c>
    </row>
    <row r="2217" spans="1:9" x14ac:dyDescent="0.25">
      <c r="A2217" s="1">
        <v>43030</v>
      </c>
      <c r="B2217">
        <v>1022</v>
      </c>
      <c r="C2217">
        <v>2017</v>
      </c>
      <c r="D2217">
        <v>113</v>
      </c>
      <c r="E2217">
        <v>9</v>
      </c>
      <c r="F2217">
        <v>857</v>
      </c>
      <c r="G2217">
        <v>82</v>
      </c>
      <c r="H2217">
        <f>SUMIFS($F$2:F2217,$C$2:C2217,C2217)</f>
        <v>37600</v>
      </c>
      <c r="I2217" s="8">
        <f>STAMP_Escapement_Data[[#This Row],[DATE]]-DATE(STAMP_Escapement_Data[[#This Row],[YEAR]],8,1)</f>
        <v>82</v>
      </c>
    </row>
    <row r="2218" spans="1:9" x14ac:dyDescent="0.25">
      <c r="A2218" s="1">
        <v>43031</v>
      </c>
      <c r="B2218">
        <v>1023</v>
      </c>
      <c r="C2218">
        <v>2017</v>
      </c>
      <c r="D2218">
        <v>84</v>
      </c>
      <c r="E2218">
        <v>6</v>
      </c>
      <c r="F2218">
        <v>468</v>
      </c>
      <c r="G2218">
        <v>26</v>
      </c>
      <c r="H2218">
        <f>SUMIFS($F$2:F2218,$C$2:C2218,C2218)</f>
        <v>38068</v>
      </c>
      <c r="I2218" s="8">
        <f>STAMP_Escapement_Data[[#This Row],[DATE]]-DATE(STAMP_Escapement_Data[[#This Row],[YEAR]],8,1)</f>
        <v>83</v>
      </c>
    </row>
    <row r="2219" spans="1:9" x14ac:dyDescent="0.25">
      <c r="A2219" s="1">
        <v>43032</v>
      </c>
      <c r="B2219">
        <v>1024</v>
      </c>
      <c r="C2219">
        <v>2017</v>
      </c>
      <c r="D2219">
        <v>103</v>
      </c>
      <c r="E2219">
        <v>11</v>
      </c>
      <c r="F2219">
        <v>629</v>
      </c>
      <c r="G2219">
        <v>57</v>
      </c>
      <c r="H2219">
        <f>SUMIFS($F$2:F2219,$C$2:C2219,C2219)</f>
        <v>38697</v>
      </c>
      <c r="I2219" s="8">
        <f>STAMP_Escapement_Data[[#This Row],[DATE]]-DATE(STAMP_Escapement_Data[[#This Row],[YEAR]],8,1)</f>
        <v>84</v>
      </c>
    </row>
    <row r="2220" spans="1:9" x14ac:dyDescent="0.25">
      <c r="A2220" s="1">
        <v>43033</v>
      </c>
      <c r="B2220">
        <v>1025</v>
      </c>
      <c r="C2220">
        <v>2017</v>
      </c>
      <c r="D2220">
        <v>34</v>
      </c>
      <c r="E2220">
        <v>2</v>
      </c>
      <c r="F2220">
        <v>369</v>
      </c>
      <c r="G2220">
        <v>48</v>
      </c>
      <c r="H2220">
        <f>SUMIFS($F$2:F2220,$C$2:C2220,C2220)</f>
        <v>39066</v>
      </c>
      <c r="I2220" s="8">
        <f>STAMP_Escapement_Data[[#This Row],[DATE]]-DATE(STAMP_Escapement_Data[[#This Row],[YEAR]],8,1)</f>
        <v>85</v>
      </c>
    </row>
    <row r="2221" spans="1:9" x14ac:dyDescent="0.25">
      <c r="A2221" s="1">
        <v>43034</v>
      </c>
      <c r="B2221">
        <v>1026</v>
      </c>
      <c r="C2221">
        <v>2017</v>
      </c>
      <c r="D2221">
        <v>41</v>
      </c>
      <c r="E2221">
        <v>10</v>
      </c>
      <c r="F2221">
        <v>339</v>
      </c>
      <c r="G2221">
        <v>31</v>
      </c>
      <c r="H2221">
        <f>SUMIFS($F$2:F2221,$C$2:C2221,C2221)</f>
        <v>39405</v>
      </c>
      <c r="I2221" s="8">
        <f>STAMP_Escapement_Data[[#This Row],[DATE]]-DATE(STAMP_Escapement_Data[[#This Row],[YEAR]],8,1)</f>
        <v>86</v>
      </c>
    </row>
    <row r="2222" spans="1:9" x14ac:dyDescent="0.25">
      <c r="A2222" s="1">
        <v>43035</v>
      </c>
      <c r="B2222">
        <v>1027</v>
      </c>
      <c r="C2222">
        <v>2017</v>
      </c>
      <c r="D2222">
        <v>31</v>
      </c>
      <c r="E2222">
        <v>4</v>
      </c>
      <c r="F2222">
        <v>286</v>
      </c>
      <c r="G2222">
        <v>27</v>
      </c>
      <c r="H2222">
        <f>SUMIFS($F$2:F2222,$C$2:C2222,C2222)</f>
        <v>39691</v>
      </c>
      <c r="I2222" s="8">
        <f>STAMP_Escapement_Data[[#This Row],[DATE]]-DATE(STAMP_Escapement_Data[[#This Row],[YEAR]],8,1)</f>
        <v>87</v>
      </c>
    </row>
    <row r="2223" spans="1:9" x14ac:dyDescent="0.25">
      <c r="A2223" s="1">
        <v>43036</v>
      </c>
      <c r="B2223">
        <v>1028</v>
      </c>
      <c r="C2223">
        <v>2017</v>
      </c>
      <c r="D2223">
        <v>23</v>
      </c>
      <c r="E2223">
        <v>6</v>
      </c>
      <c r="F2223">
        <v>282</v>
      </c>
      <c r="G2223">
        <v>38</v>
      </c>
      <c r="H2223">
        <f>SUMIFS($F$2:F2223,$C$2:C2223,C2223)</f>
        <v>39973</v>
      </c>
      <c r="I2223" s="8">
        <f>STAMP_Escapement_Data[[#This Row],[DATE]]-DATE(STAMP_Escapement_Data[[#This Row],[YEAR]],8,1)</f>
        <v>88</v>
      </c>
    </row>
    <row r="2224" spans="1:9" x14ac:dyDescent="0.25">
      <c r="A2224" s="1">
        <v>43037</v>
      </c>
      <c r="B2224">
        <v>1029</v>
      </c>
      <c r="C2224">
        <v>2017</v>
      </c>
      <c r="D2224">
        <v>30</v>
      </c>
      <c r="E2224">
        <v>1</v>
      </c>
      <c r="F2224">
        <v>268</v>
      </c>
      <c r="G2224">
        <v>34</v>
      </c>
      <c r="H2224">
        <f>SUMIFS($F$2:F2224,$C$2:C2224,C2224)</f>
        <v>40241</v>
      </c>
      <c r="I2224" s="8">
        <f>STAMP_Escapement_Data[[#This Row],[DATE]]-DATE(STAMP_Escapement_Data[[#This Row],[YEAR]],8,1)</f>
        <v>89</v>
      </c>
    </row>
    <row r="2225" spans="1:9" x14ac:dyDescent="0.25">
      <c r="A2225" s="1">
        <v>43038</v>
      </c>
      <c r="B2225">
        <v>1030</v>
      </c>
      <c r="C2225">
        <v>2017</v>
      </c>
      <c r="D2225">
        <v>14</v>
      </c>
      <c r="E2225">
        <v>0</v>
      </c>
      <c r="F2225">
        <v>95</v>
      </c>
      <c r="G2225">
        <v>27</v>
      </c>
      <c r="H2225">
        <f>SUMIFS($F$2:F2225,$C$2:C2225,C2225)</f>
        <v>40336</v>
      </c>
      <c r="I2225" s="8">
        <f>STAMP_Escapement_Data[[#This Row],[DATE]]-DATE(STAMP_Escapement_Data[[#This Row],[YEAR]],8,1)</f>
        <v>90</v>
      </c>
    </row>
    <row r="2226" spans="1:9" x14ac:dyDescent="0.25">
      <c r="A2226" s="1">
        <v>43039</v>
      </c>
      <c r="B2226">
        <v>1031</v>
      </c>
      <c r="C2226">
        <v>2017</v>
      </c>
      <c r="D2226">
        <v>8</v>
      </c>
      <c r="E2226">
        <v>0</v>
      </c>
      <c r="F2226">
        <v>35</v>
      </c>
      <c r="G2226">
        <v>10</v>
      </c>
      <c r="H2226">
        <f>SUMIFS($F$2:F2226,$C$2:C2226,C2226)</f>
        <v>40371</v>
      </c>
      <c r="I2226" s="8">
        <f>STAMP_Escapement_Data[[#This Row],[DATE]]-DATE(STAMP_Escapement_Data[[#This Row],[YEAR]],8,1)</f>
        <v>91</v>
      </c>
    </row>
    <row r="2227" spans="1:9" x14ac:dyDescent="0.25">
      <c r="A2227" s="1">
        <v>43040</v>
      </c>
      <c r="B2227">
        <v>1101</v>
      </c>
      <c r="C2227">
        <v>2017</v>
      </c>
      <c r="D2227">
        <v>125</v>
      </c>
      <c r="E2227">
        <v>4</v>
      </c>
      <c r="F2227">
        <v>575</v>
      </c>
      <c r="G2227">
        <v>98</v>
      </c>
      <c r="H2227">
        <f>SUMIFS($F$2:F2227,$C$2:C2227,C2227)</f>
        <v>40946</v>
      </c>
      <c r="I2227" s="8">
        <f>STAMP_Escapement_Data[[#This Row],[DATE]]-DATE(STAMP_Escapement_Data[[#This Row],[YEAR]],8,1)</f>
        <v>92</v>
      </c>
    </row>
    <row r="2228" spans="1:9" x14ac:dyDescent="0.25">
      <c r="A2228" s="1">
        <v>43041</v>
      </c>
      <c r="B2228">
        <v>1102</v>
      </c>
      <c r="C2228">
        <v>2017</v>
      </c>
      <c r="D2228">
        <v>5</v>
      </c>
      <c r="E2228">
        <v>0</v>
      </c>
      <c r="F2228">
        <v>35</v>
      </c>
      <c r="G2228">
        <v>13</v>
      </c>
      <c r="H2228">
        <f>SUMIFS($F$2:F2228,$C$2:C2228,C2228)</f>
        <v>40981</v>
      </c>
      <c r="I2228" s="8">
        <f>STAMP_Escapement_Data[[#This Row],[DATE]]-DATE(STAMP_Escapement_Data[[#This Row],[YEAR]],8,1)</f>
        <v>93</v>
      </c>
    </row>
    <row r="2229" spans="1:9" x14ac:dyDescent="0.25">
      <c r="A2229" s="1">
        <v>43042</v>
      </c>
      <c r="B2229">
        <v>1103</v>
      </c>
      <c r="C2229">
        <v>2017</v>
      </c>
      <c r="D2229">
        <v>9</v>
      </c>
      <c r="E2229">
        <v>0</v>
      </c>
      <c r="F2229">
        <v>8</v>
      </c>
      <c r="G2229">
        <v>0</v>
      </c>
      <c r="H2229">
        <f>SUMIFS($F$2:F2229,$C$2:C2229,C2229)</f>
        <v>40989</v>
      </c>
      <c r="I2229" s="8">
        <f>STAMP_Escapement_Data[[#This Row],[DATE]]-DATE(STAMP_Escapement_Data[[#This Row],[YEAR]],8,1)</f>
        <v>94</v>
      </c>
    </row>
    <row r="2230" spans="1:9" x14ac:dyDescent="0.25">
      <c r="A2230" s="1">
        <v>43043</v>
      </c>
      <c r="B2230">
        <v>1104</v>
      </c>
      <c r="C2230">
        <v>2017</v>
      </c>
      <c r="D2230">
        <v>10</v>
      </c>
      <c r="E2230">
        <v>2</v>
      </c>
      <c r="F2230">
        <v>39</v>
      </c>
      <c r="G2230">
        <v>7</v>
      </c>
      <c r="H2230">
        <f>SUMIFS($F$2:F2230,$C$2:C2230,C2230)</f>
        <v>41028</v>
      </c>
      <c r="I2230" s="8">
        <f>STAMP_Escapement_Data[[#This Row],[DATE]]-DATE(STAMP_Escapement_Data[[#This Row],[YEAR]],8,1)</f>
        <v>95</v>
      </c>
    </row>
    <row r="2231" spans="1:9" x14ac:dyDescent="0.25">
      <c r="A2231" s="1">
        <v>43044</v>
      </c>
      <c r="B2231">
        <v>1105</v>
      </c>
      <c r="C2231">
        <v>2017</v>
      </c>
      <c r="D2231">
        <v>10</v>
      </c>
      <c r="E2231">
        <v>3</v>
      </c>
      <c r="F2231">
        <v>69</v>
      </c>
      <c r="G2231">
        <v>13</v>
      </c>
      <c r="H2231">
        <f>SUMIFS($F$2:F2231,$C$2:C2231,C2231)</f>
        <v>41097</v>
      </c>
      <c r="I2231" s="8">
        <f>STAMP_Escapement_Data[[#This Row],[DATE]]-DATE(STAMP_Escapement_Data[[#This Row],[YEAR]],8,1)</f>
        <v>96</v>
      </c>
    </row>
    <row r="2232" spans="1:9" x14ac:dyDescent="0.25">
      <c r="A2232" s="1">
        <v>43045</v>
      </c>
      <c r="B2232">
        <v>1106</v>
      </c>
      <c r="C2232">
        <v>2017</v>
      </c>
      <c r="D2232">
        <v>11</v>
      </c>
      <c r="E2232">
        <v>5</v>
      </c>
      <c r="F2232">
        <v>100</v>
      </c>
      <c r="G2232">
        <v>20</v>
      </c>
      <c r="H2232">
        <f>SUMIFS($F$2:F2232,$C$2:C2232,C2232)</f>
        <v>41197</v>
      </c>
      <c r="I2232" s="8">
        <f>STAMP_Escapement_Data[[#This Row],[DATE]]-DATE(STAMP_Escapement_Data[[#This Row],[YEAR]],8,1)</f>
        <v>97</v>
      </c>
    </row>
    <row r="2233" spans="1:9" x14ac:dyDescent="0.25">
      <c r="A2233" s="1">
        <v>43046</v>
      </c>
      <c r="B2233">
        <v>1107</v>
      </c>
      <c r="C2233">
        <v>2017</v>
      </c>
      <c r="D2233">
        <v>12</v>
      </c>
      <c r="E2233">
        <v>8</v>
      </c>
      <c r="F2233">
        <v>84</v>
      </c>
      <c r="G2233">
        <v>16</v>
      </c>
      <c r="H2233">
        <f>SUMIFS($F$2:F2233,$C$2:C2233,C2233)</f>
        <v>41281</v>
      </c>
      <c r="I2233" s="8">
        <f>STAMP_Escapement_Data[[#This Row],[DATE]]-DATE(STAMP_Escapement_Data[[#This Row],[YEAR]],8,1)</f>
        <v>98</v>
      </c>
    </row>
    <row r="2234" spans="1:9" x14ac:dyDescent="0.25">
      <c r="A2234" s="1">
        <v>43047</v>
      </c>
      <c r="B2234">
        <v>1108</v>
      </c>
      <c r="C2234">
        <v>2017</v>
      </c>
      <c r="D2234">
        <v>14</v>
      </c>
      <c r="E2234">
        <v>11</v>
      </c>
      <c r="F2234">
        <v>69</v>
      </c>
      <c r="G2234">
        <v>12</v>
      </c>
      <c r="H2234">
        <f>SUMIFS($F$2:F2234,$C$2:C2234,C2234)</f>
        <v>41350</v>
      </c>
      <c r="I2234" s="8">
        <f>STAMP_Escapement_Data[[#This Row],[DATE]]-DATE(STAMP_Escapement_Data[[#This Row],[YEAR]],8,1)</f>
        <v>99</v>
      </c>
    </row>
    <row r="2235" spans="1:9" x14ac:dyDescent="0.25">
      <c r="A2235" s="1">
        <v>43048</v>
      </c>
      <c r="B2235">
        <v>1109</v>
      </c>
      <c r="C2235">
        <v>2017</v>
      </c>
      <c r="D2235">
        <v>16</v>
      </c>
      <c r="E2235">
        <v>15</v>
      </c>
      <c r="F2235">
        <v>53</v>
      </c>
      <c r="G2235">
        <v>8</v>
      </c>
      <c r="H2235">
        <f>SUMIFS($F$2:F2235,$C$2:C2235,C2235)</f>
        <v>41403</v>
      </c>
      <c r="I2235" s="8">
        <f>STAMP_Escapement_Data[[#This Row],[DATE]]-DATE(STAMP_Escapement_Data[[#This Row],[YEAR]],8,1)</f>
        <v>100</v>
      </c>
    </row>
    <row r="2236" spans="1:9" x14ac:dyDescent="0.25">
      <c r="A2236" s="1">
        <v>43049</v>
      </c>
      <c r="B2236">
        <v>1110</v>
      </c>
      <c r="C2236">
        <v>2017</v>
      </c>
      <c r="D2236">
        <v>18</v>
      </c>
      <c r="E2236">
        <v>18</v>
      </c>
      <c r="F2236">
        <v>37</v>
      </c>
      <c r="G2236">
        <v>4</v>
      </c>
      <c r="H2236">
        <f>SUMIFS($F$2:F2236,$C$2:C2236,C2236)</f>
        <v>41440</v>
      </c>
      <c r="I2236" s="8">
        <f>STAMP_Escapement_Data[[#This Row],[DATE]]-DATE(STAMP_Escapement_Data[[#This Row],[YEAR]],8,1)</f>
        <v>101</v>
      </c>
    </row>
    <row r="2237" spans="1:9" x14ac:dyDescent="0.25">
      <c r="A2237" s="1">
        <v>43050</v>
      </c>
      <c r="B2237">
        <v>1111</v>
      </c>
      <c r="C2237">
        <v>2017</v>
      </c>
      <c r="D2237">
        <v>16</v>
      </c>
      <c r="E2237">
        <v>10</v>
      </c>
      <c r="F2237">
        <v>20</v>
      </c>
      <c r="G2237">
        <v>0</v>
      </c>
      <c r="H2237">
        <f>SUMIFS($F$2:F2237,$C$2:C2237,C2237)</f>
        <v>41460</v>
      </c>
      <c r="I2237" s="8">
        <f>STAMP_Escapement_Data[[#This Row],[DATE]]-DATE(STAMP_Escapement_Data[[#This Row],[YEAR]],8,1)</f>
        <v>102</v>
      </c>
    </row>
    <row r="2238" spans="1:9" x14ac:dyDescent="0.25">
      <c r="A2238" s="1">
        <v>43051</v>
      </c>
      <c r="B2238">
        <v>1112</v>
      </c>
      <c r="C2238">
        <v>2017</v>
      </c>
      <c r="D2238">
        <v>86</v>
      </c>
      <c r="E2238">
        <v>5</v>
      </c>
      <c r="F2238">
        <v>11</v>
      </c>
      <c r="G2238">
        <v>6</v>
      </c>
      <c r="H2238">
        <f>SUMIFS($F$2:F2238,$C$2:C2238,C2238)</f>
        <v>41471</v>
      </c>
      <c r="I2238" s="8">
        <f>STAMP_Escapement_Data[[#This Row],[DATE]]-DATE(STAMP_Escapement_Data[[#This Row],[YEAR]],8,1)</f>
        <v>103</v>
      </c>
    </row>
    <row r="2239" spans="1:9" x14ac:dyDescent="0.25">
      <c r="A2239" s="1">
        <v>43052</v>
      </c>
      <c r="B2239">
        <v>1113</v>
      </c>
      <c r="C2239">
        <v>2017</v>
      </c>
      <c r="D2239">
        <v>4</v>
      </c>
      <c r="E2239">
        <v>0</v>
      </c>
      <c r="F2239">
        <v>1</v>
      </c>
      <c r="G2239">
        <v>0</v>
      </c>
      <c r="H2239">
        <f>SUMIFS($F$2:F2239,$C$2:C2239,C2239)</f>
        <v>41472</v>
      </c>
      <c r="I2239" s="8">
        <f>STAMP_Escapement_Data[[#This Row],[DATE]]-DATE(STAMP_Escapement_Data[[#This Row],[YEAR]],8,1)</f>
        <v>104</v>
      </c>
    </row>
    <row r="2240" spans="1:9" x14ac:dyDescent="0.25">
      <c r="A2240" s="1">
        <v>43312</v>
      </c>
      <c r="B2240">
        <v>731</v>
      </c>
      <c r="C2240">
        <v>2018</v>
      </c>
      <c r="D2240">
        <v>22</v>
      </c>
      <c r="E2240">
        <v>2</v>
      </c>
      <c r="F2240">
        <v>12</v>
      </c>
      <c r="G2240">
        <v>0</v>
      </c>
      <c r="H2240">
        <f>SUMIFS($F$2:F2240,$C$2:C2240,C2240)</f>
        <v>12</v>
      </c>
      <c r="I2240" s="8">
        <f>STAMP_Escapement_Data[[#This Row],[DATE]]-DATE(STAMP_Escapement_Data[[#This Row],[YEAR]],8,1)</f>
        <v>-1</v>
      </c>
    </row>
    <row r="2241" spans="1:9" x14ac:dyDescent="0.25">
      <c r="A2241" s="1">
        <v>43313</v>
      </c>
      <c r="B2241">
        <v>801</v>
      </c>
      <c r="C2241">
        <v>2018</v>
      </c>
      <c r="D2241">
        <v>1</v>
      </c>
      <c r="E2241">
        <v>0</v>
      </c>
      <c r="F2241">
        <v>0</v>
      </c>
      <c r="G2241">
        <v>0</v>
      </c>
      <c r="H2241">
        <f>SUMIFS($F$2:F2241,$C$2:C2241,C2241)</f>
        <v>12</v>
      </c>
      <c r="I2241" s="8">
        <f>STAMP_Escapement_Data[[#This Row],[DATE]]-DATE(STAMP_Escapement_Data[[#This Row],[YEAR]],8,1)</f>
        <v>0</v>
      </c>
    </row>
    <row r="2242" spans="1:9" x14ac:dyDescent="0.25">
      <c r="A2242" s="1">
        <v>43314</v>
      </c>
      <c r="B2242">
        <v>802</v>
      </c>
      <c r="C2242">
        <v>2018</v>
      </c>
      <c r="D2242">
        <v>9</v>
      </c>
      <c r="E2242">
        <v>4</v>
      </c>
      <c r="F2242">
        <v>2</v>
      </c>
      <c r="G2242">
        <v>0</v>
      </c>
      <c r="H2242">
        <f>SUMIFS($F$2:F2242,$C$2:C2242,C2242)</f>
        <v>14</v>
      </c>
      <c r="I2242" s="8">
        <f>STAMP_Escapement_Data[[#This Row],[DATE]]-DATE(STAMP_Escapement_Data[[#This Row],[YEAR]],8,1)</f>
        <v>1</v>
      </c>
    </row>
    <row r="2243" spans="1:9" x14ac:dyDescent="0.25">
      <c r="A2243" s="1">
        <v>43315</v>
      </c>
      <c r="B2243">
        <v>803</v>
      </c>
      <c r="C2243">
        <v>2018</v>
      </c>
      <c r="D2243">
        <v>3</v>
      </c>
      <c r="E2243">
        <v>1</v>
      </c>
      <c r="F2243">
        <v>3</v>
      </c>
      <c r="G2243">
        <v>0</v>
      </c>
      <c r="H2243">
        <f>SUMIFS($F$2:F2243,$C$2:C2243,C2243)</f>
        <v>17</v>
      </c>
      <c r="I2243" s="8">
        <f>STAMP_Escapement_Data[[#This Row],[DATE]]-DATE(STAMP_Escapement_Data[[#This Row],[YEAR]],8,1)</f>
        <v>2</v>
      </c>
    </row>
    <row r="2244" spans="1:9" x14ac:dyDescent="0.25">
      <c r="A2244" s="1">
        <v>43316</v>
      </c>
      <c r="B2244">
        <v>804</v>
      </c>
      <c r="C2244">
        <v>2018</v>
      </c>
      <c r="D2244">
        <v>4</v>
      </c>
      <c r="E2244">
        <v>1</v>
      </c>
      <c r="F2244">
        <v>8</v>
      </c>
      <c r="G2244">
        <v>0</v>
      </c>
      <c r="H2244">
        <f>SUMIFS($F$2:F2244,$C$2:C2244,C2244)</f>
        <v>25</v>
      </c>
      <c r="I2244" s="8">
        <f>STAMP_Escapement_Data[[#This Row],[DATE]]-DATE(STAMP_Escapement_Data[[#This Row],[YEAR]],8,1)</f>
        <v>3</v>
      </c>
    </row>
    <row r="2245" spans="1:9" x14ac:dyDescent="0.25">
      <c r="A2245" s="1">
        <v>43317</v>
      </c>
      <c r="B2245">
        <v>805</v>
      </c>
      <c r="C2245">
        <v>2018</v>
      </c>
      <c r="D2245">
        <v>15</v>
      </c>
      <c r="E2245">
        <v>0</v>
      </c>
      <c r="F2245">
        <v>10</v>
      </c>
      <c r="G2245">
        <v>0</v>
      </c>
      <c r="H2245">
        <f>SUMIFS($F$2:F2245,$C$2:C2245,C2245)</f>
        <v>35</v>
      </c>
      <c r="I2245" s="8">
        <f>STAMP_Escapement_Data[[#This Row],[DATE]]-DATE(STAMP_Escapement_Data[[#This Row],[YEAR]],8,1)</f>
        <v>4</v>
      </c>
    </row>
    <row r="2246" spans="1:9" x14ac:dyDescent="0.25">
      <c r="A2246" s="1">
        <v>43318</v>
      </c>
      <c r="B2246">
        <v>806</v>
      </c>
      <c r="C2246">
        <v>2018</v>
      </c>
      <c r="D2246">
        <v>11</v>
      </c>
      <c r="E2246">
        <v>0</v>
      </c>
      <c r="F2246">
        <v>1</v>
      </c>
      <c r="G2246">
        <v>0</v>
      </c>
      <c r="H2246">
        <f>SUMIFS($F$2:F2246,$C$2:C2246,C2246)</f>
        <v>36</v>
      </c>
      <c r="I2246" s="8">
        <f>STAMP_Escapement_Data[[#This Row],[DATE]]-DATE(STAMP_Escapement_Data[[#This Row],[YEAR]],8,1)</f>
        <v>5</v>
      </c>
    </row>
    <row r="2247" spans="1:9" x14ac:dyDescent="0.25">
      <c r="A2247" s="1">
        <v>43319</v>
      </c>
      <c r="B2247">
        <v>807</v>
      </c>
      <c r="C2247">
        <v>2018</v>
      </c>
      <c r="D2247">
        <v>5</v>
      </c>
      <c r="E2247">
        <v>0</v>
      </c>
      <c r="F2247">
        <v>1</v>
      </c>
      <c r="G2247">
        <v>0</v>
      </c>
      <c r="H2247">
        <f>SUMIFS($F$2:F2247,$C$2:C2247,C2247)</f>
        <v>37</v>
      </c>
      <c r="I2247" s="8">
        <f>STAMP_Escapement_Data[[#This Row],[DATE]]-DATE(STAMP_Escapement_Data[[#This Row],[YEAR]],8,1)</f>
        <v>6</v>
      </c>
    </row>
    <row r="2248" spans="1:9" x14ac:dyDescent="0.25">
      <c r="A2248" s="1">
        <v>43320</v>
      </c>
      <c r="B2248">
        <v>808</v>
      </c>
      <c r="C2248">
        <v>2018</v>
      </c>
      <c r="D2248">
        <v>1</v>
      </c>
      <c r="E2248">
        <v>0</v>
      </c>
      <c r="F2248">
        <v>0</v>
      </c>
      <c r="G2248">
        <v>0</v>
      </c>
      <c r="H2248">
        <f>SUMIFS($F$2:F2248,$C$2:C2248,C2248)</f>
        <v>37</v>
      </c>
      <c r="I2248" s="8">
        <f>STAMP_Escapement_Data[[#This Row],[DATE]]-DATE(STAMP_Escapement_Data[[#This Row],[YEAR]],8,1)</f>
        <v>7</v>
      </c>
    </row>
    <row r="2249" spans="1:9" x14ac:dyDescent="0.25">
      <c r="A2249" s="1">
        <v>43321</v>
      </c>
      <c r="B2249">
        <v>809</v>
      </c>
      <c r="C2249">
        <v>2018</v>
      </c>
      <c r="D2249">
        <v>4</v>
      </c>
      <c r="E2249">
        <v>0</v>
      </c>
      <c r="F2249">
        <v>0</v>
      </c>
      <c r="G2249">
        <v>0</v>
      </c>
      <c r="H2249">
        <f>SUMIFS($F$2:F2249,$C$2:C2249,C2249)</f>
        <v>37</v>
      </c>
      <c r="I2249" s="8">
        <f>STAMP_Escapement_Data[[#This Row],[DATE]]-DATE(STAMP_Escapement_Data[[#This Row],[YEAR]],8,1)</f>
        <v>8</v>
      </c>
    </row>
    <row r="2250" spans="1:9" x14ac:dyDescent="0.25">
      <c r="A2250" s="1">
        <v>43322</v>
      </c>
      <c r="B2250">
        <v>810</v>
      </c>
      <c r="C2250">
        <v>2018</v>
      </c>
      <c r="D2250">
        <v>1</v>
      </c>
      <c r="E2250">
        <v>0</v>
      </c>
      <c r="F2250">
        <v>2</v>
      </c>
      <c r="G2250">
        <v>0</v>
      </c>
      <c r="H2250">
        <f>SUMIFS($F$2:F2250,$C$2:C2250,C2250)</f>
        <v>39</v>
      </c>
      <c r="I2250" s="8">
        <f>STAMP_Escapement_Data[[#This Row],[DATE]]-DATE(STAMP_Escapement_Data[[#This Row],[YEAR]],8,1)</f>
        <v>9</v>
      </c>
    </row>
    <row r="2251" spans="1:9" x14ac:dyDescent="0.25">
      <c r="A2251" s="1">
        <v>43323</v>
      </c>
      <c r="B2251">
        <v>811</v>
      </c>
      <c r="C2251">
        <v>2018</v>
      </c>
      <c r="D2251">
        <v>1</v>
      </c>
      <c r="E2251">
        <v>0</v>
      </c>
      <c r="F2251">
        <v>0</v>
      </c>
      <c r="G2251">
        <v>0</v>
      </c>
      <c r="H2251">
        <f>SUMIFS($F$2:F2251,$C$2:C2251,C2251)</f>
        <v>39</v>
      </c>
      <c r="I2251" s="8">
        <f>STAMP_Escapement_Data[[#This Row],[DATE]]-DATE(STAMP_Escapement_Data[[#This Row],[YEAR]],8,1)</f>
        <v>10</v>
      </c>
    </row>
    <row r="2252" spans="1:9" x14ac:dyDescent="0.25">
      <c r="A2252" s="1">
        <v>43324</v>
      </c>
      <c r="B2252">
        <v>812</v>
      </c>
      <c r="C2252">
        <v>2018</v>
      </c>
      <c r="D2252">
        <v>13</v>
      </c>
      <c r="E2252">
        <v>1</v>
      </c>
      <c r="F2252">
        <v>5</v>
      </c>
      <c r="G2252">
        <v>0</v>
      </c>
      <c r="H2252">
        <f>SUMIFS($F$2:F2252,$C$2:C2252,C2252)</f>
        <v>44</v>
      </c>
      <c r="I2252" s="8">
        <f>STAMP_Escapement_Data[[#This Row],[DATE]]-DATE(STAMP_Escapement_Data[[#This Row],[YEAR]],8,1)</f>
        <v>11</v>
      </c>
    </row>
    <row r="2253" spans="1:9" x14ac:dyDescent="0.25">
      <c r="A2253" s="1">
        <v>43325</v>
      </c>
      <c r="B2253">
        <v>813</v>
      </c>
      <c r="C2253">
        <v>2018</v>
      </c>
      <c r="D2253">
        <v>18</v>
      </c>
      <c r="E2253">
        <v>1</v>
      </c>
      <c r="F2253">
        <v>8</v>
      </c>
      <c r="G2253">
        <v>0</v>
      </c>
      <c r="H2253">
        <f>SUMIFS($F$2:F2253,$C$2:C2253,C2253)</f>
        <v>52</v>
      </c>
      <c r="I2253" s="8">
        <f>STAMP_Escapement_Data[[#This Row],[DATE]]-DATE(STAMP_Escapement_Data[[#This Row],[YEAR]],8,1)</f>
        <v>12</v>
      </c>
    </row>
    <row r="2254" spans="1:9" x14ac:dyDescent="0.25">
      <c r="A2254" s="1">
        <v>43326</v>
      </c>
      <c r="B2254">
        <v>814</v>
      </c>
      <c r="C2254">
        <v>2018</v>
      </c>
      <c r="D2254">
        <v>13</v>
      </c>
      <c r="E2254">
        <v>1</v>
      </c>
      <c r="F2254">
        <v>20</v>
      </c>
      <c r="G2254">
        <v>0</v>
      </c>
      <c r="H2254">
        <f>SUMIFS($F$2:F2254,$C$2:C2254,C2254)</f>
        <v>72</v>
      </c>
      <c r="I2254" s="8">
        <f>STAMP_Escapement_Data[[#This Row],[DATE]]-DATE(STAMP_Escapement_Data[[#This Row],[YEAR]],8,1)</f>
        <v>13</v>
      </c>
    </row>
    <row r="2255" spans="1:9" x14ac:dyDescent="0.25">
      <c r="A2255" s="1">
        <v>43327</v>
      </c>
      <c r="B2255">
        <v>815</v>
      </c>
      <c r="C2255">
        <v>2018</v>
      </c>
      <c r="D2255">
        <v>27</v>
      </c>
      <c r="E2255">
        <v>0</v>
      </c>
      <c r="F2255">
        <v>16</v>
      </c>
      <c r="G2255">
        <v>0</v>
      </c>
      <c r="H2255">
        <f>SUMIFS($F$2:F2255,$C$2:C2255,C2255)</f>
        <v>88</v>
      </c>
      <c r="I2255" s="8">
        <f>STAMP_Escapement_Data[[#This Row],[DATE]]-DATE(STAMP_Escapement_Data[[#This Row],[YEAR]],8,1)</f>
        <v>14</v>
      </c>
    </row>
    <row r="2256" spans="1:9" x14ac:dyDescent="0.25">
      <c r="A2256" s="1">
        <v>43328</v>
      </c>
      <c r="B2256">
        <v>816</v>
      </c>
      <c r="C2256">
        <v>2018</v>
      </c>
      <c r="D2256">
        <v>18</v>
      </c>
      <c r="E2256">
        <v>5</v>
      </c>
      <c r="F2256">
        <v>14</v>
      </c>
      <c r="G2256">
        <v>1</v>
      </c>
      <c r="H2256">
        <f>SUMIFS($F$2:F2256,$C$2:C2256,C2256)</f>
        <v>102</v>
      </c>
      <c r="I2256" s="8">
        <f>STAMP_Escapement_Data[[#This Row],[DATE]]-DATE(STAMP_Escapement_Data[[#This Row],[YEAR]],8,1)</f>
        <v>15</v>
      </c>
    </row>
    <row r="2257" spans="1:9" x14ac:dyDescent="0.25">
      <c r="A2257" s="1">
        <v>43329</v>
      </c>
      <c r="B2257">
        <v>817</v>
      </c>
      <c r="C2257">
        <v>2018</v>
      </c>
      <c r="D2257">
        <v>47</v>
      </c>
      <c r="E2257">
        <v>17</v>
      </c>
      <c r="F2257">
        <v>29</v>
      </c>
      <c r="G2257">
        <v>3</v>
      </c>
      <c r="H2257">
        <f>SUMIFS($F$2:F2257,$C$2:C2257,C2257)</f>
        <v>131</v>
      </c>
      <c r="I2257" s="8">
        <f>STAMP_Escapement_Data[[#This Row],[DATE]]-DATE(STAMP_Escapement_Data[[#This Row],[YEAR]],8,1)</f>
        <v>16</v>
      </c>
    </row>
    <row r="2258" spans="1:9" x14ac:dyDescent="0.25">
      <c r="A2258" s="1">
        <v>43330</v>
      </c>
      <c r="B2258">
        <v>818</v>
      </c>
      <c r="C2258">
        <v>2018</v>
      </c>
      <c r="D2258">
        <v>57</v>
      </c>
      <c r="E2258">
        <v>5</v>
      </c>
      <c r="F2258">
        <v>33</v>
      </c>
      <c r="G2258">
        <v>2</v>
      </c>
      <c r="H2258">
        <f>SUMIFS($F$2:F2258,$C$2:C2258,C2258)</f>
        <v>164</v>
      </c>
      <c r="I2258" s="8">
        <f>STAMP_Escapement_Data[[#This Row],[DATE]]-DATE(STAMP_Escapement_Data[[#This Row],[YEAR]],8,1)</f>
        <v>17</v>
      </c>
    </row>
    <row r="2259" spans="1:9" x14ac:dyDescent="0.25">
      <c r="A2259" s="1">
        <v>43331</v>
      </c>
      <c r="B2259">
        <v>819</v>
      </c>
      <c r="C2259">
        <v>2018</v>
      </c>
      <c r="D2259">
        <v>51</v>
      </c>
      <c r="E2259">
        <v>10</v>
      </c>
      <c r="F2259">
        <v>19</v>
      </c>
      <c r="G2259">
        <v>0</v>
      </c>
      <c r="H2259">
        <f>SUMIFS($F$2:F2259,$C$2:C2259,C2259)</f>
        <v>183</v>
      </c>
      <c r="I2259" s="8">
        <f>STAMP_Escapement_Data[[#This Row],[DATE]]-DATE(STAMP_Escapement_Data[[#This Row],[YEAR]],8,1)</f>
        <v>18</v>
      </c>
    </row>
    <row r="2260" spans="1:9" x14ac:dyDescent="0.25">
      <c r="A2260" s="1">
        <v>43332</v>
      </c>
      <c r="B2260">
        <v>820</v>
      </c>
      <c r="C2260">
        <v>2018</v>
      </c>
      <c r="D2260">
        <v>24</v>
      </c>
      <c r="E2260">
        <v>4</v>
      </c>
      <c r="F2260">
        <v>6</v>
      </c>
      <c r="G2260">
        <v>0</v>
      </c>
      <c r="H2260">
        <f>SUMIFS($F$2:F2260,$C$2:C2260,C2260)</f>
        <v>189</v>
      </c>
      <c r="I2260" s="8">
        <f>STAMP_Escapement_Data[[#This Row],[DATE]]-DATE(STAMP_Escapement_Data[[#This Row],[YEAR]],8,1)</f>
        <v>19</v>
      </c>
    </row>
    <row r="2261" spans="1:9" x14ac:dyDescent="0.25">
      <c r="A2261" s="1">
        <v>43333</v>
      </c>
      <c r="B2261">
        <v>821</v>
      </c>
      <c r="C2261">
        <v>2018</v>
      </c>
      <c r="D2261">
        <v>38</v>
      </c>
      <c r="E2261">
        <v>24</v>
      </c>
      <c r="F2261">
        <v>10</v>
      </c>
      <c r="G2261">
        <v>2</v>
      </c>
      <c r="H2261">
        <f>SUMIFS($F$2:F2261,$C$2:C2261,C2261)</f>
        <v>199</v>
      </c>
      <c r="I2261" s="8">
        <f>STAMP_Escapement_Data[[#This Row],[DATE]]-DATE(STAMP_Escapement_Data[[#This Row],[YEAR]],8,1)</f>
        <v>20</v>
      </c>
    </row>
    <row r="2262" spans="1:9" x14ac:dyDescent="0.25">
      <c r="A2262" s="1">
        <v>43334</v>
      </c>
      <c r="B2262">
        <v>822</v>
      </c>
      <c r="C2262">
        <v>2018</v>
      </c>
      <c r="D2262">
        <v>144</v>
      </c>
      <c r="E2262">
        <v>8</v>
      </c>
      <c r="F2262">
        <v>74</v>
      </c>
      <c r="G2262">
        <v>5</v>
      </c>
      <c r="H2262">
        <f>SUMIFS($F$2:F2262,$C$2:C2262,C2262)</f>
        <v>273</v>
      </c>
      <c r="I2262" s="8">
        <f>STAMP_Escapement_Data[[#This Row],[DATE]]-DATE(STAMP_Escapement_Data[[#This Row],[YEAR]],8,1)</f>
        <v>21</v>
      </c>
    </row>
    <row r="2263" spans="1:9" x14ac:dyDescent="0.25">
      <c r="A2263" s="1">
        <v>43335</v>
      </c>
      <c r="B2263">
        <v>823</v>
      </c>
      <c r="C2263">
        <v>2018</v>
      </c>
      <c r="D2263">
        <v>89</v>
      </c>
      <c r="E2263">
        <v>27</v>
      </c>
      <c r="F2263">
        <v>119</v>
      </c>
      <c r="G2263">
        <v>12</v>
      </c>
      <c r="H2263">
        <f>SUMIFS($F$2:F2263,$C$2:C2263,C2263)</f>
        <v>392</v>
      </c>
      <c r="I2263" s="8">
        <f>STAMP_Escapement_Data[[#This Row],[DATE]]-DATE(STAMP_Escapement_Data[[#This Row],[YEAR]],8,1)</f>
        <v>22</v>
      </c>
    </row>
    <row r="2264" spans="1:9" x14ac:dyDescent="0.25">
      <c r="A2264" s="1">
        <v>43336</v>
      </c>
      <c r="B2264">
        <v>824</v>
      </c>
      <c r="C2264">
        <v>2018</v>
      </c>
      <c r="D2264">
        <v>189</v>
      </c>
      <c r="E2264">
        <v>28</v>
      </c>
      <c r="F2264">
        <v>64</v>
      </c>
      <c r="G2264">
        <v>2</v>
      </c>
      <c r="H2264">
        <f>SUMIFS($F$2:F2264,$C$2:C2264,C2264)</f>
        <v>456</v>
      </c>
      <c r="I2264" s="8">
        <f>STAMP_Escapement_Data[[#This Row],[DATE]]-DATE(STAMP_Escapement_Data[[#This Row],[YEAR]],8,1)</f>
        <v>23</v>
      </c>
    </row>
    <row r="2265" spans="1:9" x14ac:dyDescent="0.25">
      <c r="A2265" s="1">
        <v>43337</v>
      </c>
      <c r="B2265">
        <v>825</v>
      </c>
      <c r="C2265">
        <v>2018</v>
      </c>
      <c r="D2265">
        <v>198</v>
      </c>
      <c r="E2265">
        <v>32</v>
      </c>
      <c r="F2265">
        <v>64</v>
      </c>
      <c r="G2265">
        <v>3</v>
      </c>
      <c r="H2265">
        <f>SUMIFS($F$2:F2265,$C$2:C2265,C2265)</f>
        <v>520</v>
      </c>
      <c r="I2265" s="8">
        <f>STAMP_Escapement_Data[[#This Row],[DATE]]-DATE(STAMP_Escapement_Data[[#This Row],[YEAR]],8,1)</f>
        <v>24</v>
      </c>
    </row>
    <row r="2266" spans="1:9" x14ac:dyDescent="0.25">
      <c r="A2266" s="1">
        <v>43338</v>
      </c>
      <c r="B2266">
        <v>826</v>
      </c>
      <c r="C2266">
        <v>2018</v>
      </c>
      <c r="D2266">
        <v>457</v>
      </c>
      <c r="E2266">
        <v>40</v>
      </c>
      <c r="F2266">
        <v>73</v>
      </c>
      <c r="G2266">
        <v>9</v>
      </c>
      <c r="H2266">
        <f>SUMIFS($F$2:F2266,$C$2:C2266,C2266)</f>
        <v>593</v>
      </c>
      <c r="I2266" s="8">
        <f>STAMP_Escapement_Data[[#This Row],[DATE]]-DATE(STAMP_Escapement_Data[[#This Row],[YEAR]],8,1)</f>
        <v>25</v>
      </c>
    </row>
    <row r="2267" spans="1:9" x14ac:dyDescent="0.25">
      <c r="A2267" s="1">
        <v>43339</v>
      </c>
      <c r="B2267">
        <v>827</v>
      </c>
      <c r="C2267">
        <v>2018</v>
      </c>
      <c r="D2267">
        <v>215</v>
      </c>
      <c r="E2267">
        <v>43</v>
      </c>
      <c r="F2267">
        <v>52</v>
      </c>
      <c r="G2267">
        <v>3</v>
      </c>
      <c r="H2267">
        <f>SUMIFS($F$2:F2267,$C$2:C2267,C2267)</f>
        <v>645</v>
      </c>
      <c r="I2267" s="8">
        <f>STAMP_Escapement_Data[[#This Row],[DATE]]-DATE(STAMP_Escapement_Data[[#This Row],[YEAR]],8,1)</f>
        <v>26</v>
      </c>
    </row>
    <row r="2268" spans="1:9" x14ac:dyDescent="0.25">
      <c r="A2268" s="1">
        <v>43340</v>
      </c>
      <c r="B2268">
        <v>828</v>
      </c>
      <c r="C2268">
        <v>2018</v>
      </c>
      <c r="D2268">
        <v>360</v>
      </c>
      <c r="E2268">
        <v>51</v>
      </c>
      <c r="F2268">
        <v>170</v>
      </c>
      <c r="G2268">
        <v>12</v>
      </c>
      <c r="H2268">
        <f>SUMIFS($F$2:F2268,$C$2:C2268,C2268)</f>
        <v>815</v>
      </c>
      <c r="I2268" s="8">
        <f>STAMP_Escapement_Data[[#This Row],[DATE]]-DATE(STAMP_Escapement_Data[[#This Row],[YEAR]],8,1)</f>
        <v>27</v>
      </c>
    </row>
    <row r="2269" spans="1:9" x14ac:dyDescent="0.25">
      <c r="A2269" s="1">
        <v>43341</v>
      </c>
      <c r="B2269">
        <v>829</v>
      </c>
      <c r="C2269">
        <v>2018</v>
      </c>
      <c r="D2269">
        <v>373</v>
      </c>
      <c r="E2269">
        <v>80</v>
      </c>
      <c r="F2269">
        <v>257</v>
      </c>
      <c r="G2269">
        <v>11</v>
      </c>
      <c r="H2269">
        <f>SUMIFS($F$2:F2269,$C$2:C2269,C2269)</f>
        <v>1072</v>
      </c>
      <c r="I2269" s="8">
        <f>STAMP_Escapement_Data[[#This Row],[DATE]]-DATE(STAMP_Escapement_Data[[#This Row],[YEAR]],8,1)</f>
        <v>28</v>
      </c>
    </row>
    <row r="2270" spans="1:9" x14ac:dyDescent="0.25">
      <c r="A2270" s="1">
        <v>43342</v>
      </c>
      <c r="B2270">
        <v>830</v>
      </c>
      <c r="C2270">
        <v>2018</v>
      </c>
      <c r="D2270">
        <v>603</v>
      </c>
      <c r="E2270">
        <v>96</v>
      </c>
      <c r="F2270">
        <v>362</v>
      </c>
      <c r="G2270">
        <v>23</v>
      </c>
      <c r="H2270">
        <f>SUMIFS($F$2:F2270,$C$2:C2270,C2270)</f>
        <v>1434</v>
      </c>
      <c r="I2270" s="8">
        <f>STAMP_Escapement_Data[[#This Row],[DATE]]-DATE(STAMP_Escapement_Data[[#This Row],[YEAR]],8,1)</f>
        <v>29</v>
      </c>
    </row>
    <row r="2271" spans="1:9" x14ac:dyDescent="0.25">
      <c r="A2271" s="1">
        <v>43343</v>
      </c>
      <c r="B2271">
        <v>831</v>
      </c>
      <c r="C2271">
        <v>2018</v>
      </c>
      <c r="D2271">
        <v>259</v>
      </c>
      <c r="E2271">
        <v>48</v>
      </c>
      <c r="F2271">
        <v>455</v>
      </c>
      <c r="G2271">
        <v>5</v>
      </c>
      <c r="H2271">
        <f>SUMIFS($F$2:F2271,$C$2:C2271,C2271)</f>
        <v>1889</v>
      </c>
      <c r="I2271" s="8">
        <f>STAMP_Escapement_Data[[#This Row],[DATE]]-DATE(STAMP_Escapement_Data[[#This Row],[YEAR]],8,1)</f>
        <v>30</v>
      </c>
    </row>
    <row r="2272" spans="1:9" x14ac:dyDescent="0.25">
      <c r="A2272" s="1">
        <v>43344</v>
      </c>
      <c r="B2272">
        <v>901</v>
      </c>
      <c r="C2272">
        <v>2018</v>
      </c>
      <c r="D2272">
        <v>260</v>
      </c>
      <c r="E2272">
        <v>67</v>
      </c>
      <c r="F2272">
        <v>326</v>
      </c>
      <c r="G2272">
        <v>6</v>
      </c>
      <c r="H2272">
        <f>SUMIFS($F$2:F2272,$C$2:C2272,C2272)</f>
        <v>2215</v>
      </c>
      <c r="I2272" s="8">
        <f>STAMP_Escapement_Data[[#This Row],[DATE]]-DATE(STAMP_Escapement_Data[[#This Row],[YEAR]],8,1)</f>
        <v>31</v>
      </c>
    </row>
    <row r="2273" spans="1:9" x14ac:dyDescent="0.25">
      <c r="A2273" s="1">
        <v>43345</v>
      </c>
      <c r="B2273">
        <v>902</v>
      </c>
      <c r="C2273">
        <v>2018</v>
      </c>
      <c r="D2273">
        <v>385</v>
      </c>
      <c r="E2273">
        <v>70</v>
      </c>
      <c r="F2273">
        <v>488</v>
      </c>
      <c r="G2273">
        <v>15</v>
      </c>
      <c r="H2273">
        <f>SUMIFS($F$2:F2273,$C$2:C2273,C2273)</f>
        <v>2703</v>
      </c>
      <c r="I2273" s="8">
        <f>STAMP_Escapement_Data[[#This Row],[DATE]]-DATE(STAMP_Escapement_Data[[#This Row],[YEAR]],8,1)</f>
        <v>32</v>
      </c>
    </row>
    <row r="2274" spans="1:9" x14ac:dyDescent="0.25">
      <c r="A2274" s="1">
        <v>43346</v>
      </c>
      <c r="B2274">
        <v>903</v>
      </c>
      <c r="C2274">
        <v>2018</v>
      </c>
      <c r="D2274">
        <v>435</v>
      </c>
      <c r="E2274">
        <v>82</v>
      </c>
      <c r="F2274">
        <v>496</v>
      </c>
      <c r="G2274">
        <v>8</v>
      </c>
      <c r="H2274">
        <f>SUMIFS($F$2:F2274,$C$2:C2274,C2274)</f>
        <v>3199</v>
      </c>
      <c r="I2274" s="8">
        <f>STAMP_Escapement_Data[[#This Row],[DATE]]-DATE(STAMP_Escapement_Data[[#This Row],[YEAR]],8,1)</f>
        <v>33</v>
      </c>
    </row>
    <row r="2275" spans="1:9" x14ac:dyDescent="0.25">
      <c r="A2275" s="1">
        <v>43347</v>
      </c>
      <c r="B2275">
        <v>904</v>
      </c>
      <c r="C2275">
        <v>2018</v>
      </c>
      <c r="D2275">
        <v>453</v>
      </c>
      <c r="E2275">
        <v>74</v>
      </c>
      <c r="F2275">
        <v>523</v>
      </c>
      <c r="G2275">
        <v>16</v>
      </c>
      <c r="H2275">
        <f>SUMIFS($F$2:F2275,$C$2:C2275,C2275)</f>
        <v>3722</v>
      </c>
      <c r="I2275" s="8">
        <f>STAMP_Escapement_Data[[#This Row],[DATE]]-DATE(STAMP_Escapement_Data[[#This Row],[YEAR]],8,1)</f>
        <v>34</v>
      </c>
    </row>
    <row r="2276" spans="1:9" x14ac:dyDescent="0.25">
      <c r="A2276" s="1">
        <v>43348</v>
      </c>
      <c r="B2276">
        <v>905</v>
      </c>
      <c r="C2276">
        <v>2018</v>
      </c>
      <c r="D2276">
        <v>329</v>
      </c>
      <c r="E2276">
        <v>54</v>
      </c>
      <c r="F2276">
        <v>464</v>
      </c>
      <c r="G2276">
        <v>9</v>
      </c>
      <c r="H2276">
        <f>SUMIFS($F$2:F2276,$C$2:C2276,C2276)</f>
        <v>4186</v>
      </c>
      <c r="I2276" s="8">
        <f>STAMP_Escapement_Data[[#This Row],[DATE]]-DATE(STAMP_Escapement_Data[[#This Row],[YEAR]],8,1)</f>
        <v>35</v>
      </c>
    </row>
    <row r="2277" spans="1:9" x14ac:dyDescent="0.25">
      <c r="A2277" s="1">
        <v>43349</v>
      </c>
      <c r="B2277">
        <v>906</v>
      </c>
      <c r="C2277">
        <v>2018</v>
      </c>
      <c r="D2277">
        <v>389</v>
      </c>
      <c r="E2277">
        <v>78</v>
      </c>
      <c r="F2277">
        <v>499</v>
      </c>
      <c r="G2277">
        <v>19</v>
      </c>
      <c r="H2277">
        <f>SUMIFS($F$2:F2277,$C$2:C2277,C2277)</f>
        <v>4685</v>
      </c>
      <c r="I2277" s="8">
        <f>STAMP_Escapement_Data[[#This Row],[DATE]]-DATE(STAMP_Escapement_Data[[#This Row],[YEAR]],8,1)</f>
        <v>36</v>
      </c>
    </row>
    <row r="2278" spans="1:9" x14ac:dyDescent="0.25">
      <c r="A2278" s="1">
        <v>43350</v>
      </c>
      <c r="B2278">
        <v>907</v>
      </c>
      <c r="C2278">
        <v>2018</v>
      </c>
      <c r="D2278">
        <v>437</v>
      </c>
      <c r="E2278">
        <v>88</v>
      </c>
      <c r="F2278">
        <v>412</v>
      </c>
      <c r="G2278">
        <v>13</v>
      </c>
      <c r="H2278">
        <f>SUMIFS($F$2:F2278,$C$2:C2278,C2278)</f>
        <v>5097</v>
      </c>
      <c r="I2278" s="8">
        <f>STAMP_Escapement_Data[[#This Row],[DATE]]-DATE(STAMP_Escapement_Data[[#This Row],[YEAR]],8,1)</f>
        <v>37</v>
      </c>
    </row>
    <row r="2279" spans="1:9" x14ac:dyDescent="0.25">
      <c r="A2279" s="1">
        <v>43351</v>
      </c>
      <c r="B2279">
        <v>908</v>
      </c>
      <c r="C2279">
        <v>2018</v>
      </c>
      <c r="D2279">
        <v>765</v>
      </c>
      <c r="E2279">
        <v>92</v>
      </c>
      <c r="F2279">
        <v>538</v>
      </c>
      <c r="G2279">
        <v>11</v>
      </c>
      <c r="H2279">
        <f>SUMIFS($F$2:F2279,$C$2:C2279,C2279)</f>
        <v>5635</v>
      </c>
      <c r="I2279" s="8">
        <f>STAMP_Escapement_Data[[#This Row],[DATE]]-DATE(STAMP_Escapement_Data[[#This Row],[YEAR]],8,1)</f>
        <v>38</v>
      </c>
    </row>
    <row r="2280" spans="1:9" x14ac:dyDescent="0.25">
      <c r="A2280" s="1">
        <v>43352</v>
      </c>
      <c r="B2280">
        <v>909</v>
      </c>
      <c r="C2280">
        <v>2018</v>
      </c>
      <c r="D2280">
        <v>455</v>
      </c>
      <c r="E2280">
        <v>75</v>
      </c>
      <c r="F2280">
        <v>471</v>
      </c>
      <c r="G2280">
        <v>22</v>
      </c>
      <c r="H2280">
        <f>SUMIFS($F$2:F2280,$C$2:C2280,C2280)</f>
        <v>6106</v>
      </c>
      <c r="I2280" s="8">
        <f>STAMP_Escapement_Data[[#This Row],[DATE]]-DATE(STAMP_Escapement_Data[[#This Row],[YEAR]],8,1)</f>
        <v>39</v>
      </c>
    </row>
    <row r="2281" spans="1:9" x14ac:dyDescent="0.25">
      <c r="A2281" s="1">
        <v>43353</v>
      </c>
      <c r="B2281">
        <v>910</v>
      </c>
      <c r="C2281">
        <v>2018</v>
      </c>
      <c r="D2281">
        <v>547</v>
      </c>
      <c r="E2281">
        <v>75</v>
      </c>
      <c r="F2281">
        <v>669</v>
      </c>
      <c r="G2281">
        <v>31</v>
      </c>
      <c r="H2281">
        <f>SUMIFS($F$2:F2281,$C$2:C2281,C2281)</f>
        <v>6775</v>
      </c>
      <c r="I2281" s="8">
        <f>STAMP_Escapement_Data[[#This Row],[DATE]]-DATE(STAMP_Escapement_Data[[#This Row],[YEAR]],8,1)</f>
        <v>40</v>
      </c>
    </row>
    <row r="2282" spans="1:9" x14ac:dyDescent="0.25">
      <c r="A2282" s="1">
        <v>43354</v>
      </c>
      <c r="B2282">
        <v>911</v>
      </c>
      <c r="C2282">
        <v>2018</v>
      </c>
      <c r="D2282">
        <v>546</v>
      </c>
      <c r="E2282">
        <v>104</v>
      </c>
      <c r="F2282">
        <v>651</v>
      </c>
      <c r="G2282">
        <v>10</v>
      </c>
      <c r="H2282">
        <f>SUMIFS($F$2:F2282,$C$2:C2282,C2282)</f>
        <v>7426</v>
      </c>
      <c r="I2282" s="8">
        <f>STAMP_Escapement_Data[[#This Row],[DATE]]-DATE(STAMP_Escapement_Data[[#This Row],[YEAR]],8,1)</f>
        <v>41</v>
      </c>
    </row>
    <row r="2283" spans="1:9" x14ac:dyDescent="0.25">
      <c r="A2283" s="1">
        <v>43355</v>
      </c>
      <c r="B2283">
        <v>912</v>
      </c>
      <c r="C2283">
        <v>2018</v>
      </c>
      <c r="D2283">
        <v>818</v>
      </c>
      <c r="E2283">
        <v>109</v>
      </c>
      <c r="F2283">
        <v>708</v>
      </c>
      <c r="G2283">
        <v>32</v>
      </c>
      <c r="H2283">
        <f>SUMIFS($F$2:F2283,$C$2:C2283,C2283)</f>
        <v>8134</v>
      </c>
      <c r="I2283" s="8">
        <f>STAMP_Escapement_Data[[#This Row],[DATE]]-DATE(STAMP_Escapement_Data[[#This Row],[YEAR]],8,1)</f>
        <v>42</v>
      </c>
    </row>
    <row r="2284" spans="1:9" x14ac:dyDescent="0.25">
      <c r="A2284" s="1">
        <v>43356</v>
      </c>
      <c r="B2284">
        <v>913</v>
      </c>
      <c r="C2284">
        <v>2018</v>
      </c>
      <c r="D2284">
        <v>535</v>
      </c>
      <c r="E2284">
        <v>82</v>
      </c>
      <c r="F2284">
        <v>844</v>
      </c>
      <c r="G2284">
        <v>36</v>
      </c>
      <c r="H2284">
        <f>SUMIFS($F$2:F2284,$C$2:C2284,C2284)</f>
        <v>8978</v>
      </c>
      <c r="I2284" s="8">
        <f>STAMP_Escapement_Data[[#This Row],[DATE]]-DATE(STAMP_Escapement_Data[[#This Row],[YEAR]],8,1)</f>
        <v>43</v>
      </c>
    </row>
    <row r="2285" spans="1:9" x14ac:dyDescent="0.25">
      <c r="A2285" s="1">
        <v>43357</v>
      </c>
      <c r="B2285">
        <v>914</v>
      </c>
      <c r="C2285">
        <v>2018</v>
      </c>
      <c r="D2285">
        <v>222</v>
      </c>
      <c r="E2285">
        <v>26</v>
      </c>
      <c r="F2285">
        <v>633</v>
      </c>
      <c r="G2285">
        <v>12</v>
      </c>
      <c r="H2285">
        <f>SUMIFS($F$2:F2285,$C$2:C2285,C2285)</f>
        <v>9611</v>
      </c>
      <c r="I2285" s="8">
        <f>STAMP_Escapement_Data[[#This Row],[DATE]]-DATE(STAMP_Escapement_Data[[#This Row],[YEAR]],8,1)</f>
        <v>44</v>
      </c>
    </row>
    <row r="2286" spans="1:9" x14ac:dyDescent="0.25">
      <c r="A2286" s="1">
        <v>43358</v>
      </c>
      <c r="B2286">
        <v>915</v>
      </c>
      <c r="C2286">
        <v>2018</v>
      </c>
      <c r="D2286">
        <v>353</v>
      </c>
      <c r="E2286">
        <v>47</v>
      </c>
      <c r="F2286">
        <v>870</v>
      </c>
      <c r="G2286">
        <v>19</v>
      </c>
      <c r="H2286">
        <f>SUMIFS($F$2:F2286,$C$2:C2286,C2286)</f>
        <v>10481</v>
      </c>
      <c r="I2286" s="8">
        <f>STAMP_Escapement_Data[[#This Row],[DATE]]-DATE(STAMP_Escapement_Data[[#This Row],[YEAR]],8,1)</f>
        <v>45</v>
      </c>
    </row>
    <row r="2287" spans="1:9" x14ac:dyDescent="0.25">
      <c r="A2287" s="1">
        <v>43359</v>
      </c>
      <c r="B2287">
        <v>916</v>
      </c>
      <c r="C2287">
        <v>2018</v>
      </c>
      <c r="D2287">
        <v>341</v>
      </c>
      <c r="E2287">
        <v>70</v>
      </c>
      <c r="F2287">
        <v>869</v>
      </c>
      <c r="G2287">
        <v>35</v>
      </c>
      <c r="H2287">
        <f>SUMIFS($F$2:F2287,$C$2:C2287,C2287)</f>
        <v>11350</v>
      </c>
      <c r="I2287" s="8">
        <f>STAMP_Escapement_Data[[#This Row],[DATE]]-DATE(STAMP_Escapement_Data[[#This Row],[YEAR]],8,1)</f>
        <v>46</v>
      </c>
    </row>
    <row r="2288" spans="1:9" x14ac:dyDescent="0.25">
      <c r="A2288" s="1">
        <v>43360</v>
      </c>
      <c r="B2288">
        <v>917</v>
      </c>
      <c r="C2288">
        <v>2018</v>
      </c>
      <c r="D2288">
        <v>668</v>
      </c>
      <c r="E2288">
        <v>92</v>
      </c>
      <c r="F2288">
        <v>1206</v>
      </c>
      <c r="G2288">
        <v>26</v>
      </c>
      <c r="H2288">
        <f>SUMIFS($F$2:F2288,$C$2:C2288,C2288)</f>
        <v>12556</v>
      </c>
      <c r="I2288" s="8">
        <f>STAMP_Escapement_Data[[#This Row],[DATE]]-DATE(STAMP_Escapement_Data[[#This Row],[YEAR]],8,1)</f>
        <v>47</v>
      </c>
    </row>
    <row r="2289" spans="1:9" x14ac:dyDescent="0.25">
      <c r="A2289" s="1">
        <v>43361</v>
      </c>
      <c r="B2289">
        <v>918</v>
      </c>
      <c r="C2289">
        <v>2018</v>
      </c>
      <c r="D2289">
        <v>426</v>
      </c>
      <c r="E2289">
        <v>60</v>
      </c>
      <c r="F2289">
        <v>2522</v>
      </c>
      <c r="G2289">
        <v>56</v>
      </c>
      <c r="H2289">
        <f>SUMIFS($F$2:F2289,$C$2:C2289,C2289)</f>
        <v>15078</v>
      </c>
      <c r="I2289" s="8">
        <f>STAMP_Escapement_Data[[#This Row],[DATE]]-DATE(STAMP_Escapement_Data[[#This Row],[YEAR]],8,1)</f>
        <v>48</v>
      </c>
    </row>
    <row r="2290" spans="1:9" x14ac:dyDescent="0.25">
      <c r="A2290" s="1">
        <v>43362</v>
      </c>
      <c r="B2290">
        <v>919</v>
      </c>
      <c r="C2290">
        <v>2018</v>
      </c>
      <c r="D2290">
        <v>306</v>
      </c>
      <c r="E2290">
        <v>63</v>
      </c>
      <c r="F2290">
        <v>1230</v>
      </c>
      <c r="G2290">
        <v>57</v>
      </c>
      <c r="H2290">
        <f>SUMIFS($F$2:F2290,$C$2:C2290,C2290)</f>
        <v>16308</v>
      </c>
      <c r="I2290" s="8">
        <f>STAMP_Escapement_Data[[#This Row],[DATE]]-DATE(STAMP_Escapement_Data[[#This Row],[YEAR]],8,1)</f>
        <v>49</v>
      </c>
    </row>
    <row r="2291" spans="1:9" x14ac:dyDescent="0.25">
      <c r="A2291" s="1">
        <v>43363</v>
      </c>
      <c r="B2291">
        <v>920</v>
      </c>
      <c r="C2291">
        <v>2018</v>
      </c>
      <c r="D2291">
        <v>327</v>
      </c>
      <c r="E2291">
        <v>81</v>
      </c>
      <c r="F2291">
        <v>738</v>
      </c>
      <c r="G2291">
        <v>24</v>
      </c>
      <c r="H2291">
        <f>SUMIFS($F$2:F2291,$C$2:C2291,C2291)</f>
        <v>17046</v>
      </c>
      <c r="I2291" s="8">
        <f>STAMP_Escapement_Data[[#This Row],[DATE]]-DATE(STAMP_Escapement_Data[[#This Row],[YEAR]],8,1)</f>
        <v>50</v>
      </c>
    </row>
    <row r="2292" spans="1:9" x14ac:dyDescent="0.25">
      <c r="A2292" s="1">
        <v>43364</v>
      </c>
      <c r="B2292">
        <v>921</v>
      </c>
      <c r="C2292">
        <v>2018</v>
      </c>
      <c r="D2292">
        <v>294</v>
      </c>
      <c r="E2292">
        <v>27</v>
      </c>
      <c r="F2292">
        <v>342</v>
      </c>
      <c r="G2292">
        <v>24</v>
      </c>
      <c r="H2292">
        <f>SUMIFS($F$2:F2292,$C$2:C2292,C2292)</f>
        <v>17388</v>
      </c>
      <c r="I2292" s="8">
        <f>STAMP_Escapement_Data[[#This Row],[DATE]]-DATE(STAMP_Escapement_Data[[#This Row],[YEAR]],8,1)</f>
        <v>51</v>
      </c>
    </row>
    <row r="2293" spans="1:9" x14ac:dyDescent="0.25">
      <c r="A2293" s="1">
        <v>43365</v>
      </c>
      <c r="B2293">
        <v>922</v>
      </c>
      <c r="C2293">
        <v>2018</v>
      </c>
      <c r="D2293">
        <v>423</v>
      </c>
      <c r="E2293">
        <v>63</v>
      </c>
      <c r="F2293">
        <v>966</v>
      </c>
      <c r="G2293">
        <v>13</v>
      </c>
      <c r="H2293">
        <f>SUMIFS($F$2:F2293,$C$2:C2293,C2293)</f>
        <v>18354</v>
      </c>
      <c r="I2293" s="8">
        <f>STAMP_Escapement_Data[[#This Row],[DATE]]-DATE(STAMP_Escapement_Data[[#This Row],[YEAR]],8,1)</f>
        <v>52</v>
      </c>
    </row>
    <row r="2294" spans="1:9" x14ac:dyDescent="0.25">
      <c r="A2294" s="1">
        <v>43366</v>
      </c>
      <c r="B2294">
        <v>923</v>
      </c>
      <c r="C2294">
        <v>2018</v>
      </c>
      <c r="D2294">
        <v>154</v>
      </c>
      <c r="E2294">
        <v>39</v>
      </c>
      <c r="F2294">
        <v>1094</v>
      </c>
      <c r="G2294">
        <v>51</v>
      </c>
      <c r="H2294">
        <f>SUMIFS($F$2:F2294,$C$2:C2294,C2294)</f>
        <v>19448</v>
      </c>
      <c r="I2294" s="8">
        <f>STAMP_Escapement_Data[[#This Row],[DATE]]-DATE(STAMP_Escapement_Data[[#This Row],[YEAR]],8,1)</f>
        <v>53</v>
      </c>
    </row>
    <row r="2295" spans="1:9" x14ac:dyDescent="0.25">
      <c r="A2295" s="1">
        <v>43367</v>
      </c>
      <c r="B2295">
        <v>924</v>
      </c>
      <c r="C2295">
        <v>2018</v>
      </c>
      <c r="D2295">
        <v>210</v>
      </c>
      <c r="E2295">
        <v>87</v>
      </c>
      <c r="F2295">
        <v>495</v>
      </c>
      <c r="G2295">
        <v>24</v>
      </c>
      <c r="H2295">
        <f>SUMIFS($F$2:F2295,$C$2:C2295,C2295)</f>
        <v>19943</v>
      </c>
      <c r="I2295" s="8">
        <f>STAMP_Escapement_Data[[#This Row],[DATE]]-DATE(STAMP_Escapement_Data[[#This Row],[YEAR]],8,1)</f>
        <v>54</v>
      </c>
    </row>
    <row r="2296" spans="1:9" x14ac:dyDescent="0.25">
      <c r="A2296" s="1">
        <v>43368</v>
      </c>
      <c r="B2296">
        <v>925</v>
      </c>
      <c r="C2296">
        <v>2018</v>
      </c>
      <c r="D2296">
        <v>297</v>
      </c>
      <c r="E2296">
        <v>63</v>
      </c>
      <c r="F2296">
        <v>630</v>
      </c>
      <c r="G2296">
        <v>27</v>
      </c>
      <c r="H2296">
        <f>SUMIFS($F$2:F2296,$C$2:C2296,C2296)</f>
        <v>20573</v>
      </c>
      <c r="I2296" s="8">
        <f>STAMP_Escapement_Data[[#This Row],[DATE]]-DATE(STAMP_Escapement_Data[[#This Row],[YEAR]],8,1)</f>
        <v>55</v>
      </c>
    </row>
    <row r="2297" spans="1:9" x14ac:dyDescent="0.25">
      <c r="A2297" s="1">
        <v>43369</v>
      </c>
      <c r="B2297">
        <v>926</v>
      </c>
      <c r="C2297">
        <v>2018</v>
      </c>
      <c r="D2297">
        <v>156</v>
      </c>
      <c r="E2297">
        <v>30</v>
      </c>
      <c r="F2297">
        <v>720</v>
      </c>
      <c r="G2297">
        <v>39</v>
      </c>
      <c r="H2297">
        <f>SUMIFS($F$2:F2297,$C$2:C2297,C2297)</f>
        <v>21293</v>
      </c>
      <c r="I2297" s="8">
        <f>STAMP_Escapement_Data[[#This Row],[DATE]]-DATE(STAMP_Escapement_Data[[#This Row],[YEAR]],8,1)</f>
        <v>56</v>
      </c>
    </row>
    <row r="2298" spans="1:9" x14ac:dyDescent="0.25">
      <c r="A2298" s="1">
        <v>43370</v>
      </c>
      <c r="B2298">
        <v>927</v>
      </c>
      <c r="C2298">
        <v>2018</v>
      </c>
      <c r="D2298">
        <v>94</v>
      </c>
      <c r="E2298">
        <v>28</v>
      </c>
      <c r="F2298">
        <v>632</v>
      </c>
      <c r="G2298">
        <v>38</v>
      </c>
      <c r="H2298">
        <f>SUMIFS($F$2:F2298,$C$2:C2298,C2298)</f>
        <v>21925</v>
      </c>
      <c r="I2298" s="8">
        <f>STAMP_Escapement_Data[[#This Row],[DATE]]-DATE(STAMP_Escapement_Data[[#This Row],[YEAR]],8,1)</f>
        <v>57</v>
      </c>
    </row>
    <row r="2299" spans="1:9" x14ac:dyDescent="0.25">
      <c r="A2299" s="1">
        <v>43371</v>
      </c>
      <c r="B2299">
        <v>928</v>
      </c>
      <c r="C2299">
        <v>2018</v>
      </c>
      <c r="D2299">
        <v>102</v>
      </c>
      <c r="E2299">
        <v>27</v>
      </c>
      <c r="F2299">
        <v>768</v>
      </c>
      <c r="G2299">
        <v>30</v>
      </c>
      <c r="H2299">
        <f>SUMIFS($F$2:F2299,$C$2:C2299,C2299)</f>
        <v>22693</v>
      </c>
      <c r="I2299" s="8">
        <f>STAMP_Escapement_Data[[#This Row],[DATE]]-DATE(STAMP_Escapement_Data[[#This Row],[YEAR]],8,1)</f>
        <v>58</v>
      </c>
    </row>
    <row r="2300" spans="1:9" x14ac:dyDescent="0.25">
      <c r="A2300" s="1">
        <v>43372</v>
      </c>
      <c r="B2300">
        <v>929</v>
      </c>
      <c r="C2300">
        <v>2018</v>
      </c>
      <c r="D2300">
        <v>159</v>
      </c>
      <c r="E2300">
        <v>46</v>
      </c>
      <c r="F2300">
        <v>760</v>
      </c>
      <c r="G2300">
        <v>53</v>
      </c>
      <c r="H2300">
        <f>SUMIFS($F$2:F2300,$C$2:C2300,C2300)</f>
        <v>23453</v>
      </c>
      <c r="I2300" s="8">
        <f>STAMP_Escapement_Data[[#This Row],[DATE]]-DATE(STAMP_Escapement_Data[[#This Row],[YEAR]],8,1)</f>
        <v>59</v>
      </c>
    </row>
    <row r="2301" spans="1:9" x14ac:dyDescent="0.25">
      <c r="A2301" s="1">
        <v>43373</v>
      </c>
      <c r="B2301">
        <v>930</v>
      </c>
      <c r="C2301">
        <v>2018</v>
      </c>
      <c r="D2301">
        <v>177</v>
      </c>
      <c r="E2301">
        <v>50</v>
      </c>
      <c r="F2301">
        <v>834</v>
      </c>
      <c r="G2301">
        <v>42</v>
      </c>
      <c r="H2301">
        <f>SUMIFS($F$2:F2301,$C$2:C2301,C2301)</f>
        <v>24287</v>
      </c>
      <c r="I2301" s="8">
        <f>STAMP_Escapement_Data[[#This Row],[DATE]]-DATE(STAMP_Escapement_Data[[#This Row],[YEAR]],8,1)</f>
        <v>60</v>
      </c>
    </row>
    <row r="2302" spans="1:9" x14ac:dyDescent="0.25">
      <c r="A2302" s="1">
        <v>43374</v>
      </c>
      <c r="B2302">
        <v>1001</v>
      </c>
      <c r="C2302">
        <v>2018</v>
      </c>
      <c r="D2302">
        <v>302</v>
      </c>
      <c r="E2302">
        <v>45</v>
      </c>
      <c r="F2302">
        <v>1021</v>
      </c>
      <c r="G2302">
        <v>51</v>
      </c>
      <c r="H2302">
        <f>SUMIFS($F$2:F2302,$C$2:C2302,C2302)</f>
        <v>25308</v>
      </c>
      <c r="I2302" s="8">
        <f>STAMP_Escapement_Data[[#This Row],[DATE]]-DATE(STAMP_Escapement_Data[[#This Row],[YEAR]],8,1)</f>
        <v>61</v>
      </c>
    </row>
    <row r="2303" spans="1:9" x14ac:dyDescent="0.25">
      <c r="A2303" s="1">
        <v>43375</v>
      </c>
      <c r="B2303">
        <v>1002</v>
      </c>
      <c r="C2303">
        <v>2018</v>
      </c>
      <c r="D2303">
        <v>207</v>
      </c>
      <c r="E2303">
        <v>28</v>
      </c>
      <c r="F2303">
        <v>1356</v>
      </c>
      <c r="G2303">
        <v>62</v>
      </c>
      <c r="H2303">
        <f>SUMIFS($F$2:F2303,$C$2:C2303,C2303)</f>
        <v>26664</v>
      </c>
      <c r="I2303" s="8">
        <f>STAMP_Escapement_Data[[#This Row],[DATE]]-DATE(STAMP_Escapement_Data[[#This Row],[YEAR]],8,1)</f>
        <v>62</v>
      </c>
    </row>
    <row r="2304" spans="1:9" x14ac:dyDescent="0.25">
      <c r="A2304" s="1">
        <v>43376</v>
      </c>
      <c r="B2304">
        <v>1003</v>
      </c>
      <c r="C2304">
        <v>2018</v>
      </c>
      <c r="D2304">
        <v>194</v>
      </c>
      <c r="E2304">
        <v>21</v>
      </c>
      <c r="F2304">
        <v>1604</v>
      </c>
      <c r="G2304">
        <v>38</v>
      </c>
      <c r="H2304">
        <f>SUMIFS($F$2:F2304,$C$2:C2304,C2304)</f>
        <v>28268</v>
      </c>
      <c r="I2304" s="8">
        <f>STAMP_Escapement_Data[[#This Row],[DATE]]-DATE(STAMP_Escapement_Data[[#This Row],[YEAR]],8,1)</f>
        <v>63</v>
      </c>
    </row>
    <row r="2305" spans="1:9" x14ac:dyDescent="0.25">
      <c r="A2305" s="1">
        <v>43377</v>
      </c>
      <c r="B2305">
        <v>1004</v>
      </c>
      <c r="C2305">
        <v>2018</v>
      </c>
      <c r="D2305">
        <v>130</v>
      </c>
      <c r="E2305">
        <v>31</v>
      </c>
      <c r="F2305">
        <v>1128</v>
      </c>
      <c r="G2305">
        <v>58</v>
      </c>
      <c r="H2305">
        <f>SUMIFS($F$2:F2305,$C$2:C2305,C2305)</f>
        <v>29396</v>
      </c>
      <c r="I2305" s="8">
        <f>STAMP_Escapement_Data[[#This Row],[DATE]]-DATE(STAMP_Escapement_Data[[#This Row],[YEAR]],8,1)</f>
        <v>64</v>
      </c>
    </row>
    <row r="2306" spans="1:9" x14ac:dyDescent="0.25">
      <c r="A2306" s="1">
        <v>43378</v>
      </c>
      <c r="B2306">
        <v>1005</v>
      </c>
      <c r="C2306">
        <v>2018</v>
      </c>
      <c r="D2306">
        <v>121</v>
      </c>
      <c r="E2306">
        <v>24</v>
      </c>
      <c r="F2306">
        <v>1322</v>
      </c>
      <c r="G2306">
        <v>44</v>
      </c>
      <c r="H2306">
        <f>SUMIFS($F$2:F2306,$C$2:C2306,C2306)</f>
        <v>30718</v>
      </c>
      <c r="I2306" s="8">
        <f>STAMP_Escapement_Data[[#This Row],[DATE]]-DATE(STAMP_Escapement_Data[[#This Row],[YEAR]],8,1)</f>
        <v>65</v>
      </c>
    </row>
    <row r="2307" spans="1:9" x14ac:dyDescent="0.25">
      <c r="A2307" s="1">
        <v>43379</v>
      </c>
      <c r="B2307">
        <v>1006</v>
      </c>
      <c r="C2307">
        <v>2018</v>
      </c>
      <c r="D2307">
        <v>194</v>
      </c>
      <c r="E2307">
        <v>38</v>
      </c>
      <c r="F2307">
        <v>1309</v>
      </c>
      <c r="G2307">
        <v>49</v>
      </c>
      <c r="H2307">
        <f>SUMIFS($F$2:F2307,$C$2:C2307,C2307)</f>
        <v>32027</v>
      </c>
      <c r="I2307" s="8">
        <f>STAMP_Escapement_Data[[#This Row],[DATE]]-DATE(STAMP_Escapement_Data[[#This Row],[YEAR]],8,1)</f>
        <v>66</v>
      </c>
    </row>
    <row r="2308" spans="1:9" x14ac:dyDescent="0.25">
      <c r="A2308" s="1">
        <v>43380</v>
      </c>
      <c r="B2308">
        <v>1007</v>
      </c>
      <c r="C2308">
        <v>2018</v>
      </c>
      <c r="D2308">
        <v>137</v>
      </c>
      <c r="E2308">
        <v>20</v>
      </c>
      <c r="F2308">
        <v>1438</v>
      </c>
      <c r="G2308">
        <v>44</v>
      </c>
      <c r="H2308">
        <f>SUMIFS($F$2:F2308,$C$2:C2308,C2308)</f>
        <v>33465</v>
      </c>
      <c r="I2308" s="8">
        <f>STAMP_Escapement_Data[[#This Row],[DATE]]-DATE(STAMP_Escapement_Data[[#This Row],[YEAR]],8,1)</f>
        <v>67</v>
      </c>
    </row>
    <row r="2309" spans="1:9" x14ac:dyDescent="0.25">
      <c r="A2309" s="1">
        <v>43381</v>
      </c>
      <c r="B2309">
        <v>1008</v>
      </c>
      <c r="C2309">
        <v>2018</v>
      </c>
      <c r="D2309">
        <v>130</v>
      </c>
      <c r="E2309">
        <v>14</v>
      </c>
      <c r="F2309">
        <v>955</v>
      </c>
      <c r="G2309">
        <v>41</v>
      </c>
      <c r="H2309">
        <f>SUMIFS($F$2:F2309,$C$2:C2309,C2309)</f>
        <v>34420</v>
      </c>
      <c r="I2309" s="8">
        <f>STAMP_Escapement_Data[[#This Row],[DATE]]-DATE(STAMP_Escapement_Data[[#This Row],[YEAR]],8,1)</f>
        <v>68</v>
      </c>
    </row>
    <row r="2310" spans="1:9" x14ac:dyDescent="0.25">
      <c r="A2310" s="1">
        <v>43382</v>
      </c>
      <c r="B2310">
        <v>1009</v>
      </c>
      <c r="C2310">
        <v>2018</v>
      </c>
      <c r="D2310">
        <v>89</v>
      </c>
      <c r="E2310">
        <v>21</v>
      </c>
      <c r="F2310">
        <v>846</v>
      </c>
      <c r="G2310">
        <v>31</v>
      </c>
      <c r="H2310">
        <f>SUMIFS($F$2:F2310,$C$2:C2310,C2310)</f>
        <v>35266</v>
      </c>
      <c r="I2310" s="8">
        <f>STAMP_Escapement_Data[[#This Row],[DATE]]-DATE(STAMP_Escapement_Data[[#This Row],[YEAR]],8,1)</f>
        <v>69</v>
      </c>
    </row>
    <row r="2311" spans="1:9" x14ac:dyDescent="0.25">
      <c r="A2311" s="1">
        <v>43383</v>
      </c>
      <c r="B2311">
        <v>1010</v>
      </c>
      <c r="C2311">
        <v>2018</v>
      </c>
      <c r="D2311">
        <v>115</v>
      </c>
      <c r="E2311">
        <v>18</v>
      </c>
      <c r="F2311">
        <v>868</v>
      </c>
      <c r="G2311">
        <v>29</v>
      </c>
      <c r="H2311">
        <f>SUMIFS($F$2:F2311,$C$2:C2311,C2311)</f>
        <v>36134</v>
      </c>
      <c r="I2311" s="8">
        <f>STAMP_Escapement_Data[[#This Row],[DATE]]-DATE(STAMP_Escapement_Data[[#This Row],[YEAR]],8,1)</f>
        <v>70</v>
      </c>
    </row>
    <row r="2312" spans="1:9" x14ac:dyDescent="0.25">
      <c r="A2312" s="1">
        <v>43384</v>
      </c>
      <c r="B2312">
        <v>1011</v>
      </c>
      <c r="C2312">
        <v>2018</v>
      </c>
      <c r="D2312">
        <v>95</v>
      </c>
      <c r="E2312">
        <v>13</v>
      </c>
      <c r="F2312">
        <v>860</v>
      </c>
      <c r="G2312">
        <v>16</v>
      </c>
      <c r="H2312">
        <f>SUMIFS($F$2:F2312,$C$2:C2312,C2312)</f>
        <v>36994</v>
      </c>
      <c r="I2312" s="8">
        <f>STAMP_Escapement_Data[[#This Row],[DATE]]-DATE(STAMP_Escapement_Data[[#This Row],[YEAR]],8,1)</f>
        <v>71</v>
      </c>
    </row>
    <row r="2313" spans="1:9" x14ac:dyDescent="0.25">
      <c r="A2313" s="1">
        <v>43385</v>
      </c>
      <c r="B2313">
        <v>1012</v>
      </c>
      <c r="C2313">
        <v>2018</v>
      </c>
      <c r="D2313">
        <v>51</v>
      </c>
      <c r="E2313">
        <v>12</v>
      </c>
      <c r="F2313">
        <v>740</v>
      </c>
      <c r="G2313">
        <v>22</v>
      </c>
      <c r="H2313">
        <f>SUMIFS($F$2:F2313,$C$2:C2313,C2313)</f>
        <v>37734</v>
      </c>
      <c r="I2313" s="8">
        <f>STAMP_Escapement_Data[[#This Row],[DATE]]-DATE(STAMP_Escapement_Data[[#This Row],[YEAR]],8,1)</f>
        <v>72</v>
      </c>
    </row>
    <row r="2314" spans="1:9" x14ac:dyDescent="0.25">
      <c r="A2314" s="1">
        <v>43386</v>
      </c>
      <c r="B2314">
        <v>1013</v>
      </c>
      <c r="C2314">
        <v>2018</v>
      </c>
      <c r="D2314">
        <v>37</v>
      </c>
      <c r="E2314">
        <v>4</v>
      </c>
      <c r="F2314">
        <v>837</v>
      </c>
      <c r="G2314">
        <v>17</v>
      </c>
      <c r="H2314">
        <f>SUMIFS($F$2:F2314,$C$2:C2314,C2314)</f>
        <v>38571</v>
      </c>
      <c r="I2314" s="8">
        <f>STAMP_Escapement_Data[[#This Row],[DATE]]-DATE(STAMP_Escapement_Data[[#This Row],[YEAR]],8,1)</f>
        <v>73</v>
      </c>
    </row>
    <row r="2315" spans="1:9" x14ac:dyDescent="0.25">
      <c r="A2315" s="1">
        <v>43387</v>
      </c>
      <c r="B2315">
        <v>1014</v>
      </c>
      <c r="C2315">
        <v>2018</v>
      </c>
      <c r="D2315">
        <v>26</v>
      </c>
      <c r="E2315">
        <v>4</v>
      </c>
      <c r="F2315">
        <v>665</v>
      </c>
      <c r="G2315">
        <v>14</v>
      </c>
      <c r="H2315">
        <f>SUMIFS($F$2:F2315,$C$2:C2315,C2315)</f>
        <v>39236</v>
      </c>
      <c r="I2315" s="8">
        <f>STAMP_Escapement_Data[[#This Row],[DATE]]-DATE(STAMP_Escapement_Data[[#This Row],[YEAR]],8,1)</f>
        <v>74</v>
      </c>
    </row>
    <row r="2316" spans="1:9" x14ac:dyDescent="0.25">
      <c r="A2316" s="1">
        <v>43388</v>
      </c>
      <c r="B2316">
        <v>1015</v>
      </c>
      <c r="C2316">
        <v>2018</v>
      </c>
      <c r="D2316">
        <v>29</v>
      </c>
      <c r="E2316">
        <v>3</v>
      </c>
      <c r="F2316">
        <v>666</v>
      </c>
      <c r="G2316">
        <v>17</v>
      </c>
      <c r="H2316">
        <f>SUMIFS($F$2:F2316,$C$2:C2316,C2316)</f>
        <v>39902</v>
      </c>
      <c r="I2316" s="8">
        <f>STAMP_Escapement_Data[[#This Row],[DATE]]-DATE(STAMP_Escapement_Data[[#This Row],[YEAR]],8,1)</f>
        <v>75</v>
      </c>
    </row>
    <row r="2317" spans="1:9" x14ac:dyDescent="0.25">
      <c r="A2317" s="1">
        <v>43389</v>
      </c>
      <c r="B2317">
        <v>1016</v>
      </c>
      <c r="C2317">
        <v>2018</v>
      </c>
      <c r="D2317">
        <v>20</v>
      </c>
      <c r="E2317">
        <v>0</v>
      </c>
      <c r="F2317">
        <v>637</v>
      </c>
      <c r="G2317">
        <v>13</v>
      </c>
      <c r="H2317">
        <f>SUMIFS($F$2:F2317,$C$2:C2317,C2317)</f>
        <v>40539</v>
      </c>
      <c r="I2317" s="8">
        <f>STAMP_Escapement_Data[[#This Row],[DATE]]-DATE(STAMP_Escapement_Data[[#This Row],[YEAR]],8,1)</f>
        <v>76</v>
      </c>
    </row>
    <row r="2318" spans="1:9" x14ac:dyDescent="0.25">
      <c r="A2318" s="1">
        <v>43390</v>
      </c>
      <c r="B2318">
        <v>1017</v>
      </c>
      <c r="C2318">
        <v>2018</v>
      </c>
      <c r="D2318">
        <v>29</v>
      </c>
      <c r="E2318">
        <v>3</v>
      </c>
      <c r="F2318">
        <v>644</v>
      </c>
      <c r="G2318">
        <v>21</v>
      </c>
      <c r="H2318">
        <f>SUMIFS($F$2:F2318,$C$2:C2318,C2318)</f>
        <v>41183</v>
      </c>
      <c r="I2318" s="8">
        <f>STAMP_Escapement_Data[[#This Row],[DATE]]-DATE(STAMP_Escapement_Data[[#This Row],[YEAR]],8,1)</f>
        <v>77</v>
      </c>
    </row>
    <row r="2319" spans="1:9" x14ac:dyDescent="0.25">
      <c r="A2319" s="1">
        <v>43391</v>
      </c>
      <c r="B2319">
        <v>1018</v>
      </c>
      <c r="C2319">
        <v>2018</v>
      </c>
      <c r="D2319">
        <v>36</v>
      </c>
      <c r="E2319">
        <v>5</v>
      </c>
      <c r="F2319">
        <v>679</v>
      </c>
      <c r="G2319">
        <v>19</v>
      </c>
      <c r="H2319">
        <f>SUMIFS($F$2:F2319,$C$2:C2319,C2319)</f>
        <v>41862</v>
      </c>
      <c r="I2319" s="8">
        <f>STAMP_Escapement_Data[[#This Row],[DATE]]-DATE(STAMP_Escapement_Data[[#This Row],[YEAR]],8,1)</f>
        <v>78</v>
      </c>
    </row>
    <row r="2320" spans="1:9" x14ac:dyDescent="0.25">
      <c r="A2320" s="1">
        <v>43392</v>
      </c>
      <c r="B2320">
        <v>1019</v>
      </c>
      <c r="C2320">
        <v>2018</v>
      </c>
      <c r="D2320">
        <v>42</v>
      </c>
      <c r="E2320">
        <v>2</v>
      </c>
      <c r="F2320">
        <v>410</v>
      </c>
      <c r="G2320">
        <v>11</v>
      </c>
      <c r="H2320">
        <f>SUMIFS($F$2:F2320,$C$2:C2320,C2320)</f>
        <v>42272</v>
      </c>
      <c r="I2320" s="8">
        <f>STAMP_Escapement_Data[[#This Row],[DATE]]-DATE(STAMP_Escapement_Data[[#This Row],[YEAR]],8,1)</f>
        <v>79</v>
      </c>
    </row>
    <row r="2321" spans="1:9" x14ac:dyDescent="0.25">
      <c r="A2321" s="1">
        <v>43393</v>
      </c>
      <c r="B2321">
        <v>1020</v>
      </c>
      <c r="C2321">
        <v>2018</v>
      </c>
      <c r="D2321">
        <v>28</v>
      </c>
      <c r="E2321">
        <v>2</v>
      </c>
      <c r="F2321">
        <v>583</v>
      </c>
      <c r="G2321">
        <v>9</v>
      </c>
      <c r="H2321">
        <f>SUMIFS($F$2:F2321,$C$2:C2321,C2321)</f>
        <v>42855</v>
      </c>
      <c r="I2321" s="8">
        <f>STAMP_Escapement_Data[[#This Row],[DATE]]-DATE(STAMP_Escapement_Data[[#This Row],[YEAR]],8,1)</f>
        <v>80</v>
      </c>
    </row>
    <row r="2322" spans="1:9" x14ac:dyDescent="0.25">
      <c r="A2322" s="1">
        <v>43394</v>
      </c>
      <c r="B2322">
        <v>1021</v>
      </c>
      <c r="C2322">
        <v>2018</v>
      </c>
      <c r="D2322">
        <v>30</v>
      </c>
      <c r="E2322">
        <v>0</v>
      </c>
      <c r="F2322">
        <v>348</v>
      </c>
      <c r="G2322">
        <v>10</v>
      </c>
      <c r="H2322">
        <f>SUMIFS($F$2:F2322,$C$2:C2322,C2322)</f>
        <v>43203</v>
      </c>
      <c r="I2322" s="8">
        <f>STAMP_Escapement_Data[[#This Row],[DATE]]-DATE(STAMP_Escapement_Data[[#This Row],[YEAR]],8,1)</f>
        <v>81</v>
      </c>
    </row>
    <row r="2323" spans="1:9" x14ac:dyDescent="0.25">
      <c r="A2323" s="1">
        <v>43395</v>
      </c>
      <c r="B2323">
        <v>1022</v>
      </c>
      <c r="C2323">
        <v>2018</v>
      </c>
      <c r="D2323">
        <v>28</v>
      </c>
      <c r="E2323">
        <v>1</v>
      </c>
      <c r="F2323">
        <v>178</v>
      </c>
      <c r="G2323">
        <v>7</v>
      </c>
      <c r="H2323">
        <f>SUMIFS($F$2:F2323,$C$2:C2323,C2323)</f>
        <v>43381</v>
      </c>
      <c r="I2323" s="8">
        <f>STAMP_Escapement_Data[[#This Row],[DATE]]-DATE(STAMP_Escapement_Data[[#This Row],[YEAR]],8,1)</f>
        <v>82</v>
      </c>
    </row>
    <row r="2324" spans="1:9" x14ac:dyDescent="0.25">
      <c r="A2324" s="1">
        <v>43396</v>
      </c>
      <c r="B2324">
        <v>1023</v>
      </c>
      <c r="C2324">
        <v>2018</v>
      </c>
      <c r="D2324">
        <v>17</v>
      </c>
      <c r="E2324">
        <v>1</v>
      </c>
      <c r="F2324">
        <v>196</v>
      </c>
      <c r="G2324">
        <v>5</v>
      </c>
      <c r="H2324">
        <f>SUMIFS($F$2:F2324,$C$2:C2324,C2324)</f>
        <v>43577</v>
      </c>
      <c r="I2324" s="8">
        <f>STAMP_Escapement_Data[[#This Row],[DATE]]-DATE(STAMP_Escapement_Data[[#This Row],[YEAR]],8,1)</f>
        <v>83</v>
      </c>
    </row>
    <row r="2325" spans="1:9" x14ac:dyDescent="0.25">
      <c r="A2325" s="1">
        <v>43397</v>
      </c>
      <c r="B2325">
        <v>1024</v>
      </c>
      <c r="C2325">
        <v>2018</v>
      </c>
      <c r="D2325">
        <v>42</v>
      </c>
      <c r="E2325">
        <v>1</v>
      </c>
      <c r="F2325">
        <v>208</v>
      </c>
      <c r="G2325">
        <v>7</v>
      </c>
      <c r="H2325">
        <f>SUMIFS($F$2:F2325,$C$2:C2325,C2325)</f>
        <v>43785</v>
      </c>
      <c r="I2325" s="8">
        <f>STAMP_Escapement_Data[[#This Row],[DATE]]-DATE(STAMP_Escapement_Data[[#This Row],[YEAR]],8,1)</f>
        <v>84</v>
      </c>
    </row>
    <row r="2326" spans="1:9" x14ac:dyDescent="0.25">
      <c r="A2326" s="1">
        <v>43398</v>
      </c>
      <c r="B2326">
        <v>1025</v>
      </c>
      <c r="C2326">
        <v>2018</v>
      </c>
      <c r="D2326">
        <v>73</v>
      </c>
      <c r="E2326">
        <v>2</v>
      </c>
      <c r="F2326">
        <v>218</v>
      </c>
      <c r="G2326">
        <v>8</v>
      </c>
      <c r="H2326">
        <f>SUMIFS($F$2:F2326,$C$2:C2326,C2326)</f>
        <v>44003</v>
      </c>
      <c r="I2326" s="8">
        <f>STAMP_Escapement_Data[[#This Row],[DATE]]-DATE(STAMP_Escapement_Data[[#This Row],[YEAR]],8,1)</f>
        <v>85</v>
      </c>
    </row>
    <row r="2327" spans="1:9" x14ac:dyDescent="0.25">
      <c r="A2327" s="1">
        <v>43399</v>
      </c>
      <c r="B2327">
        <v>1026</v>
      </c>
      <c r="C2327">
        <v>2018</v>
      </c>
      <c r="D2327">
        <v>215</v>
      </c>
      <c r="E2327">
        <v>8</v>
      </c>
      <c r="F2327">
        <v>153</v>
      </c>
      <c r="G2327">
        <v>11</v>
      </c>
      <c r="H2327">
        <f>SUMIFS($F$2:F2327,$C$2:C2327,C2327)</f>
        <v>44156</v>
      </c>
      <c r="I2327" s="8">
        <f>STAMP_Escapement_Data[[#This Row],[DATE]]-DATE(STAMP_Escapement_Data[[#This Row],[YEAR]],8,1)</f>
        <v>86</v>
      </c>
    </row>
    <row r="2328" spans="1:9" x14ac:dyDescent="0.25">
      <c r="A2328" s="1">
        <v>43400</v>
      </c>
      <c r="B2328">
        <v>1027</v>
      </c>
      <c r="C2328">
        <v>2018</v>
      </c>
      <c r="D2328">
        <v>103</v>
      </c>
      <c r="E2328">
        <v>4</v>
      </c>
      <c r="F2328">
        <v>49</v>
      </c>
      <c r="G2328">
        <v>6</v>
      </c>
      <c r="H2328">
        <f>SUMIFS($F$2:F2328,$C$2:C2328,C2328)</f>
        <v>44205</v>
      </c>
      <c r="I2328" s="8">
        <f>STAMP_Escapement_Data[[#This Row],[DATE]]-DATE(STAMP_Escapement_Data[[#This Row],[YEAR]],8,1)</f>
        <v>87</v>
      </c>
    </row>
    <row r="2329" spans="1:9" x14ac:dyDescent="0.25">
      <c r="A2329" s="1">
        <v>43401</v>
      </c>
      <c r="B2329">
        <v>1028</v>
      </c>
      <c r="C2329">
        <v>2018</v>
      </c>
      <c r="D2329">
        <v>84</v>
      </c>
      <c r="E2329">
        <v>0</v>
      </c>
      <c r="F2329">
        <v>89</v>
      </c>
      <c r="G2329">
        <v>1</v>
      </c>
      <c r="H2329">
        <f>SUMIFS($F$2:F2329,$C$2:C2329,C2329)</f>
        <v>44294</v>
      </c>
      <c r="I2329" s="8">
        <f>STAMP_Escapement_Data[[#This Row],[DATE]]-DATE(STAMP_Escapement_Data[[#This Row],[YEAR]],8,1)</f>
        <v>88</v>
      </c>
    </row>
    <row r="2330" spans="1:9" x14ac:dyDescent="0.25">
      <c r="A2330" s="1">
        <v>43402</v>
      </c>
      <c r="B2330">
        <v>1029</v>
      </c>
      <c r="C2330">
        <v>2018</v>
      </c>
      <c r="D2330">
        <v>136</v>
      </c>
      <c r="E2330">
        <v>5</v>
      </c>
      <c r="F2330">
        <v>36</v>
      </c>
      <c r="G2330">
        <v>6</v>
      </c>
      <c r="H2330">
        <f>SUMIFS($F$2:F2330,$C$2:C2330,C2330)</f>
        <v>44330</v>
      </c>
      <c r="I2330" s="8">
        <f>STAMP_Escapement_Data[[#This Row],[DATE]]-DATE(STAMP_Escapement_Data[[#This Row],[YEAR]],8,1)</f>
        <v>89</v>
      </c>
    </row>
    <row r="2331" spans="1:9" x14ac:dyDescent="0.25">
      <c r="A2331" s="1">
        <v>43403</v>
      </c>
      <c r="B2331">
        <v>1030</v>
      </c>
      <c r="C2331">
        <v>2018</v>
      </c>
      <c r="D2331">
        <v>52</v>
      </c>
      <c r="E2331">
        <v>1</v>
      </c>
      <c r="F2331">
        <v>19</v>
      </c>
      <c r="G2331">
        <v>6</v>
      </c>
      <c r="H2331">
        <f>SUMIFS($F$2:F2331,$C$2:C2331,C2331)</f>
        <v>44349</v>
      </c>
      <c r="I2331" s="8">
        <f>STAMP_Escapement_Data[[#This Row],[DATE]]-DATE(STAMP_Escapement_Data[[#This Row],[YEAR]],8,1)</f>
        <v>90</v>
      </c>
    </row>
    <row r="2332" spans="1:9" x14ac:dyDescent="0.25">
      <c r="A2332" s="1">
        <v>43404</v>
      </c>
      <c r="B2332">
        <v>1031</v>
      </c>
      <c r="C2332">
        <v>2018</v>
      </c>
      <c r="D2332">
        <v>35</v>
      </c>
      <c r="E2332">
        <v>0</v>
      </c>
      <c r="F2332">
        <v>14</v>
      </c>
      <c r="G2332">
        <v>0</v>
      </c>
      <c r="H2332">
        <f>SUMIFS($F$2:F2332,$C$2:C2332,C2332)</f>
        <v>44363</v>
      </c>
      <c r="I2332" s="8">
        <f>STAMP_Escapement_Data[[#This Row],[DATE]]-DATE(STAMP_Escapement_Data[[#This Row],[YEAR]],8,1)</f>
        <v>91</v>
      </c>
    </row>
    <row r="2333" spans="1:9" x14ac:dyDescent="0.25">
      <c r="A2333" s="1">
        <v>43405</v>
      </c>
      <c r="B2333">
        <v>1101</v>
      </c>
      <c r="C2333">
        <v>2018</v>
      </c>
      <c r="D2333">
        <v>13</v>
      </c>
      <c r="E2333">
        <v>0</v>
      </c>
      <c r="F2333">
        <v>3</v>
      </c>
      <c r="G2333">
        <v>0</v>
      </c>
      <c r="H2333">
        <f>SUMIFS($F$2:F2333,$C$2:C2333,C2333)</f>
        <v>44366</v>
      </c>
      <c r="I2333" s="8">
        <f>STAMP_Escapement_Data[[#This Row],[DATE]]-DATE(STAMP_Escapement_Data[[#This Row],[YEAR]],8,1)</f>
        <v>92</v>
      </c>
    </row>
    <row r="2334" spans="1:9" x14ac:dyDescent="0.25">
      <c r="A2334" s="1">
        <v>43406</v>
      </c>
      <c r="B2334">
        <v>1102</v>
      </c>
      <c r="C2334">
        <v>2018</v>
      </c>
      <c r="D2334">
        <v>111</v>
      </c>
      <c r="E2334">
        <v>0</v>
      </c>
      <c r="F2334">
        <v>11</v>
      </c>
      <c r="G2334">
        <v>2</v>
      </c>
      <c r="H2334">
        <f>SUMIFS($F$2:F2334,$C$2:C2334,C2334)</f>
        <v>44377</v>
      </c>
      <c r="I2334" s="8">
        <f>STAMP_Escapement_Data[[#This Row],[DATE]]-DATE(STAMP_Escapement_Data[[#This Row],[YEAR]],8,1)</f>
        <v>93</v>
      </c>
    </row>
    <row r="2335" spans="1:9" x14ac:dyDescent="0.25">
      <c r="A2335" s="1">
        <v>43407</v>
      </c>
      <c r="B2335">
        <v>1103</v>
      </c>
      <c r="C2335">
        <v>2018</v>
      </c>
      <c r="D2335">
        <v>47</v>
      </c>
      <c r="E2335">
        <v>0</v>
      </c>
      <c r="F2335">
        <v>6</v>
      </c>
      <c r="G2335">
        <v>1</v>
      </c>
      <c r="H2335">
        <f>SUMIFS($F$2:F2335,$C$2:C2335,C2335)</f>
        <v>44383</v>
      </c>
      <c r="I2335" s="8">
        <f>STAMP_Escapement_Data[[#This Row],[DATE]]-DATE(STAMP_Escapement_Data[[#This Row],[YEAR]],8,1)</f>
        <v>94</v>
      </c>
    </row>
    <row r="2336" spans="1:9" x14ac:dyDescent="0.25">
      <c r="A2336" s="1">
        <v>43408</v>
      </c>
      <c r="B2336">
        <v>1104</v>
      </c>
      <c r="C2336">
        <v>2018</v>
      </c>
      <c r="D2336">
        <v>8</v>
      </c>
      <c r="E2336">
        <v>0</v>
      </c>
      <c r="F2336">
        <v>1</v>
      </c>
      <c r="G2336">
        <v>0</v>
      </c>
      <c r="H2336">
        <f>SUMIFS($F$2:F2336,$C$2:C2336,C2336)</f>
        <v>44384</v>
      </c>
      <c r="I2336" s="8">
        <f>STAMP_Escapement_Data[[#This Row],[DATE]]-DATE(STAMP_Escapement_Data[[#This Row],[YEAR]],8,1)</f>
        <v>95</v>
      </c>
    </row>
    <row r="2337" spans="1:9" x14ac:dyDescent="0.25">
      <c r="A2337" s="1">
        <v>43409</v>
      </c>
      <c r="B2337">
        <v>1105</v>
      </c>
      <c r="C2337">
        <v>2018</v>
      </c>
      <c r="D2337">
        <v>2</v>
      </c>
      <c r="E2337">
        <v>0</v>
      </c>
      <c r="F2337">
        <v>0</v>
      </c>
      <c r="G2337">
        <v>0</v>
      </c>
      <c r="H2337">
        <f>SUMIFS($F$2:F2337,$C$2:C2337,C2337)</f>
        <v>44384</v>
      </c>
      <c r="I2337" s="8">
        <f>STAMP_Escapement_Data[[#This Row],[DATE]]-DATE(STAMP_Escapement_Data[[#This Row],[YEAR]],8,1)</f>
        <v>96</v>
      </c>
    </row>
    <row r="2338" spans="1:9" x14ac:dyDescent="0.25">
      <c r="A2338" s="1">
        <v>43410</v>
      </c>
      <c r="B2338">
        <v>1106</v>
      </c>
      <c r="C2338">
        <v>2018</v>
      </c>
      <c r="D2338">
        <v>10</v>
      </c>
      <c r="E2338">
        <v>0</v>
      </c>
      <c r="F2338">
        <v>0</v>
      </c>
      <c r="G2338">
        <v>0</v>
      </c>
      <c r="H2338">
        <f>SUMIFS($F$2:F2338,$C$2:C2338,C2338)</f>
        <v>44384</v>
      </c>
      <c r="I2338" s="8">
        <f>STAMP_Escapement_Data[[#This Row],[DATE]]-DATE(STAMP_Escapement_Data[[#This Row],[YEAR]],8,1)</f>
        <v>97</v>
      </c>
    </row>
    <row r="2339" spans="1:9" x14ac:dyDescent="0.25">
      <c r="A2339" s="1">
        <v>43411</v>
      </c>
      <c r="B2339">
        <v>1107</v>
      </c>
      <c r="C2339">
        <v>2018</v>
      </c>
      <c r="D2339">
        <v>1</v>
      </c>
      <c r="E2339">
        <v>0</v>
      </c>
      <c r="F2339">
        <v>1</v>
      </c>
      <c r="G2339">
        <v>0</v>
      </c>
      <c r="H2339">
        <f>SUMIFS($F$2:F2339,$C$2:C2339,C2339)</f>
        <v>44385</v>
      </c>
      <c r="I2339" s="8">
        <f>STAMP_Escapement_Data[[#This Row],[DATE]]-DATE(STAMP_Escapement_Data[[#This Row],[YEAR]],8,1)</f>
        <v>98</v>
      </c>
    </row>
    <row r="2340" spans="1:9" x14ac:dyDescent="0.25">
      <c r="A2340" s="1">
        <v>43412</v>
      </c>
      <c r="B2340">
        <v>1108</v>
      </c>
      <c r="C2340">
        <v>2018</v>
      </c>
      <c r="D2340">
        <v>2</v>
      </c>
      <c r="E2340">
        <v>0</v>
      </c>
      <c r="F2340">
        <v>0</v>
      </c>
      <c r="G2340">
        <v>0</v>
      </c>
      <c r="H2340">
        <f>SUMIFS($F$2:F2340,$C$2:C2340,C2340)</f>
        <v>44385</v>
      </c>
      <c r="I2340" s="8">
        <f>STAMP_Escapement_Data[[#This Row],[DATE]]-DATE(STAMP_Escapement_Data[[#This Row],[YEAR]],8,1)</f>
        <v>99</v>
      </c>
    </row>
    <row r="2341" spans="1:9" x14ac:dyDescent="0.25">
      <c r="A2341" s="1">
        <v>43413</v>
      </c>
      <c r="B2341">
        <v>1109</v>
      </c>
      <c r="C2341">
        <v>2018</v>
      </c>
      <c r="D2341">
        <v>0</v>
      </c>
      <c r="E2341">
        <v>0</v>
      </c>
      <c r="F2341">
        <v>0</v>
      </c>
      <c r="G2341">
        <v>0</v>
      </c>
      <c r="H2341">
        <f>SUMIFS($F$2:F2341,$C$2:C2341,C2341)</f>
        <v>44385</v>
      </c>
      <c r="I2341" s="8">
        <f>STAMP_Escapement_Data[[#This Row],[DATE]]-DATE(STAMP_Escapement_Data[[#This Row],[YEAR]],8,1)</f>
        <v>100</v>
      </c>
    </row>
    <row r="2342" spans="1:9" x14ac:dyDescent="0.25">
      <c r="A2342" s="1">
        <v>43414</v>
      </c>
      <c r="B2342">
        <v>1110</v>
      </c>
      <c r="C2342">
        <v>2018</v>
      </c>
      <c r="D2342">
        <v>0</v>
      </c>
      <c r="E2342">
        <v>0</v>
      </c>
      <c r="F2342">
        <v>0</v>
      </c>
      <c r="G2342">
        <v>0</v>
      </c>
      <c r="H2342">
        <f>SUMIFS($F$2:F2342,$C$2:C2342,C2342)</f>
        <v>44385</v>
      </c>
      <c r="I2342" s="8">
        <f>STAMP_Escapement_Data[[#This Row],[DATE]]-DATE(STAMP_Escapement_Data[[#This Row],[YEAR]],8,1)</f>
        <v>101</v>
      </c>
    </row>
    <row r="2343" spans="1:9" x14ac:dyDescent="0.25">
      <c r="A2343" s="1">
        <v>43415</v>
      </c>
      <c r="B2343">
        <v>1111</v>
      </c>
      <c r="C2343">
        <v>2018</v>
      </c>
      <c r="D2343">
        <v>0</v>
      </c>
      <c r="E2343">
        <v>0</v>
      </c>
      <c r="F2343">
        <v>0</v>
      </c>
      <c r="G2343">
        <v>0</v>
      </c>
      <c r="H2343">
        <f>SUMIFS($F$2:F2343,$C$2:C2343,C2343)</f>
        <v>44385</v>
      </c>
      <c r="I2343" s="8">
        <f>STAMP_Escapement_Data[[#This Row],[DATE]]-DATE(STAMP_Escapement_Data[[#This Row],[YEAR]],8,1)</f>
        <v>102</v>
      </c>
    </row>
    <row r="2344" spans="1:9" x14ac:dyDescent="0.25">
      <c r="A2344" s="1">
        <v>43416</v>
      </c>
      <c r="B2344">
        <v>1112</v>
      </c>
      <c r="C2344">
        <v>2018</v>
      </c>
      <c r="D2344">
        <v>0</v>
      </c>
      <c r="E2344">
        <v>0</v>
      </c>
      <c r="F2344">
        <v>0</v>
      </c>
      <c r="G2344">
        <v>0</v>
      </c>
      <c r="H2344">
        <f>SUMIFS($F$2:F2344,$C$2:C2344,C2344)</f>
        <v>44385</v>
      </c>
      <c r="I2344" s="8">
        <f>STAMP_Escapement_Data[[#This Row],[DATE]]-DATE(STAMP_Escapement_Data[[#This Row],[YEAR]],8,1)</f>
        <v>103</v>
      </c>
    </row>
    <row r="2345" spans="1:9" x14ac:dyDescent="0.25">
      <c r="A2345" s="1">
        <v>43417</v>
      </c>
      <c r="B2345">
        <v>1113</v>
      </c>
      <c r="C2345">
        <v>2018</v>
      </c>
      <c r="D2345">
        <v>0</v>
      </c>
      <c r="E2345">
        <v>0</v>
      </c>
      <c r="F2345">
        <v>0</v>
      </c>
      <c r="G2345">
        <v>0</v>
      </c>
      <c r="H2345">
        <f>SUMIFS($F$2:F2345,$C$2:C2345,C2345)</f>
        <v>44385</v>
      </c>
      <c r="I2345" s="8">
        <f>STAMP_Escapement_Data[[#This Row],[DATE]]-DATE(STAMP_Escapement_Data[[#This Row],[YEAR]],8,1)</f>
        <v>104</v>
      </c>
    </row>
    <row r="2346" spans="1:9" x14ac:dyDescent="0.25">
      <c r="A2346" s="1">
        <v>43418</v>
      </c>
      <c r="B2346">
        <v>1114</v>
      </c>
      <c r="C2346">
        <v>2018</v>
      </c>
      <c r="D2346">
        <v>0</v>
      </c>
      <c r="E2346">
        <v>0</v>
      </c>
      <c r="F2346">
        <v>0</v>
      </c>
      <c r="G2346">
        <v>0</v>
      </c>
      <c r="H2346">
        <f>SUMIFS($F$2:F2346,$C$2:C2346,C2346)</f>
        <v>44385</v>
      </c>
      <c r="I2346" s="8">
        <f>STAMP_Escapement_Data[[#This Row],[DATE]]-DATE(STAMP_Escapement_Data[[#This Row],[YEAR]],8,1)</f>
        <v>105</v>
      </c>
    </row>
    <row r="2347" spans="1:9" x14ac:dyDescent="0.25">
      <c r="A2347" s="1">
        <v>43419</v>
      </c>
      <c r="B2347">
        <v>1115</v>
      </c>
      <c r="C2347">
        <v>2018</v>
      </c>
      <c r="D2347">
        <v>0</v>
      </c>
      <c r="E2347">
        <v>0</v>
      </c>
      <c r="F2347">
        <v>0</v>
      </c>
      <c r="G2347">
        <v>0</v>
      </c>
      <c r="H2347">
        <f>SUMIFS($F$2:F2347,$C$2:C2347,C2347)</f>
        <v>44385</v>
      </c>
      <c r="I2347" s="8">
        <f>STAMP_Escapement_Data[[#This Row],[DATE]]-DATE(STAMP_Escapement_Data[[#This Row],[YEAR]],8,1)</f>
        <v>106</v>
      </c>
    </row>
    <row r="2348" spans="1:9" x14ac:dyDescent="0.25">
      <c r="A2348" s="1">
        <v>43420</v>
      </c>
      <c r="B2348">
        <v>1116</v>
      </c>
      <c r="C2348">
        <v>2018</v>
      </c>
      <c r="D2348">
        <v>0</v>
      </c>
      <c r="E2348">
        <v>0</v>
      </c>
      <c r="F2348">
        <v>0</v>
      </c>
      <c r="G2348">
        <v>0</v>
      </c>
      <c r="H2348">
        <f>SUMIFS($F$2:F2348,$C$2:C2348,C2348)</f>
        <v>44385</v>
      </c>
      <c r="I2348" s="8">
        <f>STAMP_Escapement_Data[[#This Row],[DATE]]-DATE(STAMP_Escapement_Data[[#This Row],[YEAR]],8,1)</f>
        <v>107</v>
      </c>
    </row>
    <row r="2349" spans="1:9" x14ac:dyDescent="0.25">
      <c r="A2349" s="1">
        <v>43421</v>
      </c>
      <c r="B2349">
        <v>1117</v>
      </c>
      <c r="C2349">
        <v>2018</v>
      </c>
      <c r="D2349">
        <v>5</v>
      </c>
      <c r="E2349">
        <v>0</v>
      </c>
      <c r="F2349">
        <v>0</v>
      </c>
      <c r="G2349">
        <v>0</v>
      </c>
      <c r="H2349">
        <f>SUMIFS($F$2:F2349,$C$2:C2349,C2349)</f>
        <v>44385</v>
      </c>
      <c r="I2349" s="8">
        <f>STAMP_Escapement_Data[[#This Row],[DATE]]-DATE(STAMP_Escapement_Data[[#This Row],[YEAR]],8,1)</f>
        <v>108</v>
      </c>
    </row>
    <row r="2350" spans="1:9" x14ac:dyDescent="0.25">
      <c r="A2350" s="1">
        <v>43422</v>
      </c>
      <c r="B2350">
        <v>1118</v>
      </c>
      <c r="C2350">
        <v>2018</v>
      </c>
      <c r="D2350">
        <v>14</v>
      </c>
      <c r="E2350">
        <v>0</v>
      </c>
      <c r="F2350">
        <v>0</v>
      </c>
      <c r="G2350">
        <v>0</v>
      </c>
      <c r="H2350">
        <f>SUMIFS($F$2:F2350,$C$2:C2350,C2350)</f>
        <v>44385</v>
      </c>
      <c r="I2350" s="8">
        <f>STAMP_Escapement_Data[[#This Row],[DATE]]-DATE(STAMP_Escapement_Data[[#This Row],[YEAR]],8,1)</f>
        <v>109</v>
      </c>
    </row>
    <row r="2351" spans="1:9" x14ac:dyDescent="0.25">
      <c r="A2351" s="1">
        <v>43677</v>
      </c>
      <c r="B2351">
        <v>731</v>
      </c>
      <c r="C2351">
        <v>2019</v>
      </c>
      <c r="D2351">
        <v>38</v>
      </c>
      <c r="E2351">
        <v>1</v>
      </c>
      <c r="F2351">
        <v>43</v>
      </c>
      <c r="G2351">
        <v>0</v>
      </c>
      <c r="H2351">
        <f>SUMIFS($F$2:F2351,$C$2:C2351,C2351)</f>
        <v>43</v>
      </c>
      <c r="I2351" s="8">
        <f>STAMP_Escapement_Data[[#This Row],[DATE]]-DATE(STAMP_Escapement_Data[[#This Row],[YEAR]],8,1)</f>
        <v>-1</v>
      </c>
    </row>
    <row r="2352" spans="1:9" x14ac:dyDescent="0.25">
      <c r="A2352" s="1">
        <v>43678</v>
      </c>
      <c r="B2352">
        <v>801</v>
      </c>
      <c r="C2352">
        <v>2019</v>
      </c>
      <c r="D2352">
        <v>2</v>
      </c>
      <c r="E2352">
        <v>3</v>
      </c>
      <c r="F2352">
        <v>19</v>
      </c>
      <c r="G2352">
        <v>0</v>
      </c>
      <c r="H2352">
        <f>SUMIFS($F$2:F2352,$C$2:C2352,C2352)</f>
        <v>62</v>
      </c>
      <c r="I2352" s="8">
        <f>STAMP_Escapement_Data[[#This Row],[DATE]]-DATE(STAMP_Escapement_Data[[#This Row],[YEAR]],8,1)</f>
        <v>0</v>
      </c>
    </row>
    <row r="2353" spans="1:9" x14ac:dyDescent="0.25">
      <c r="A2353" s="1">
        <v>43679</v>
      </c>
      <c r="B2353">
        <v>802</v>
      </c>
      <c r="C2353">
        <v>2019</v>
      </c>
      <c r="D2353">
        <v>6</v>
      </c>
      <c r="E2353">
        <v>1</v>
      </c>
      <c r="F2353">
        <v>21</v>
      </c>
      <c r="G2353">
        <v>0</v>
      </c>
      <c r="H2353">
        <f>SUMIFS($F$2:F2353,$C$2:C2353,C2353)</f>
        <v>83</v>
      </c>
      <c r="I2353" s="8">
        <f>STAMP_Escapement_Data[[#This Row],[DATE]]-DATE(STAMP_Escapement_Data[[#This Row],[YEAR]],8,1)</f>
        <v>1</v>
      </c>
    </row>
    <row r="2354" spans="1:9" x14ac:dyDescent="0.25">
      <c r="A2354" s="1">
        <v>43680</v>
      </c>
      <c r="B2354">
        <v>803</v>
      </c>
      <c r="C2354">
        <v>2019</v>
      </c>
      <c r="D2354">
        <v>3</v>
      </c>
      <c r="E2354">
        <v>1</v>
      </c>
      <c r="F2354">
        <v>10</v>
      </c>
      <c r="G2354">
        <v>0</v>
      </c>
      <c r="H2354">
        <f>SUMIFS($F$2:F2354,$C$2:C2354,C2354)</f>
        <v>93</v>
      </c>
      <c r="I2354" s="8">
        <f>STAMP_Escapement_Data[[#This Row],[DATE]]-DATE(STAMP_Escapement_Data[[#This Row],[YEAR]],8,1)</f>
        <v>2</v>
      </c>
    </row>
    <row r="2355" spans="1:9" x14ac:dyDescent="0.25">
      <c r="A2355" s="1">
        <v>43681</v>
      </c>
      <c r="B2355">
        <v>804</v>
      </c>
      <c r="C2355">
        <v>2019</v>
      </c>
      <c r="D2355">
        <v>11</v>
      </c>
      <c r="E2355">
        <v>1</v>
      </c>
      <c r="F2355">
        <v>20</v>
      </c>
      <c r="G2355">
        <v>0</v>
      </c>
      <c r="H2355">
        <f>SUMIFS($F$2:F2355,$C$2:C2355,C2355)</f>
        <v>113</v>
      </c>
      <c r="I2355" s="8">
        <f>STAMP_Escapement_Data[[#This Row],[DATE]]-DATE(STAMP_Escapement_Data[[#This Row],[YEAR]],8,1)</f>
        <v>3</v>
      </c>
    </row>
    <row r="2356" spans="1:9" x14ac:dyDescent="0.25">
      <c r="A2356" s="1">
        <v>43682</v>
      </c>
      <c r="B2356">
        <v>805</v>
      </c>
      <c r="C2356">
        <v>2019</v>
      </c>
      <c r="D2356">
        <v>4</v>
      </c>
      <c r="E2356">
        <v>0</v>
      </c>
      <c r="F2356">
        <v>16</v>
      </c>
      <c r="G2356">
        <v>0</v>
      </c>
      <c r="H2356">
        <f>SUMIFS($F$2:F2356,$C$2:C2356,C2356)</f>
        <v>129</v>
      </c>
      <c r="I2356" s="8">
        <f>STAMP_Escapement_Data[[#This Row],[DATE]]-DATE(STAMP_Escapement_Data[[#This Row],[YEAR]],8,1)</f>
        <v>4</v>
      </c>
    </row>
    <row r="2357" spans="1:9" x14ac:dyDescent="0.25">
      <c r="A2357" s="1">
        <v>43683</v>
      </c>
      <c r="B2357">
        <v>806</v>
      </c>
      <c r="C2357">
        <v>2019</v>
      </c>
      <c r="D2357">
        <v>9</v>
      </c>
      <c r="E2357">
        <v>0</v>
      </c>
      <c r="F2357">
        <v>26</v>
      </c>
      <c r="G2357">
        <v>1</v>
      </c>
      <c r="H2357">
        <f>SUMIFS($F$2:F2357,$C$2:C2357,C2357)</f>
        <v>155</v>
      </c>
      <c r="I2357" s="8">
        <f>STAMP_Escapement_Data[[#This Row],[DATE]]-DATE(STAMP_Escapement_Data[[#This Row],[YEAR]],8,1)</f>
        <v>5</v>
      </c>
    </row>
    <row r="2358" spans="1:9" x14ac:dyDescent="0.25">
      <c r="A2358" s="1">
        <v>43684</v>
      </c>
      <c r="B2358">
        <v>807</v>
      </c>
      <c r="C2358">
        <v>2019</v>
      </c>
      <c r="D2358">
        <v>8</v>
      </c>
      <c r="E2358">
        <v>0</v>
      </c>
      <c r="F2358">
        <v>27</v>
      </c>
      <c r="G2358">
        <v>0</v>
      </c>
      <c r="H2358">
        <f>SUMIFS($F$2:F2358,$C$2:C2358,C2358)</f>
        <v>182</v>
      </c>
      <c r="I2358" s="8">
        <f>STAMP_Escapement_Data[[#This Row],[DATE]]-DATE(STAMP_Escapement_Data[[#This Row],[YEAR]],8,1)</f>
        <v>6</v>
      </c>
    </row>
    <row r="2359" spans="1:9" x14ac:dyDescent="0.25">
      <c r="A2359" s="1">
        <v>43685</v>
      </c>
      <c r="B2359">
        <v>808</v>
      </c>
      <c r="C2359">
        <v>2019</v>
      </c>
      <c r="D2359">
        <v>8</v>
      </c>
      <c r="E2359">
        <v>0</v>
      </c>
      <c r="F2359">
        <v>17</v>
      </c>
      <c r="G2359">
        <v>1</v>
      </c>
      <c r="H2359">
        <f>SUMIFS($F$2:F2359,$C$2:C2359,C2359)</f>
        <v>199</v>
      </c>
      <c r="I2359" s="8">
        <f>STAMP_Escapement_Data[[#This Row],[DATE]]-DATE(STAMP_Escapement_Data[[#This Row],[YEAR]],8,1)</f>
        <v>7</v>
      </c>
    </row>
    <row r="2360" spans="1:9" x14ac:dyDescent="0.25">
      <c r="A2360" s="1">
        <v>43686</v>
      </c>
      <c r="B2360">
        <v>809</v>
      </c>
      <c r="C2360">
        <v>2019</v>
      </c>
      <c r="D2360">
        <v>6</v>
      </c>
      <c r="E2360">
        <v>1</v>
      </c>
      <c r="F2360">
        <v>18</v>
      </c>
      <c r="G2360">
        <v>0</v>
      </c>
      <c r="H2360">
        <f>SUMIFS($F$2:F2360,$C$2:C2360,C2360)</f>
        <v>217</v>
      </c>
      <c r="I2360" s="8">
        <f>STAMP_Escapement_Data[[#This Row],[DATE]]-DATE(STAMP_Escapement_Data[[#This Row],[YEAR]],8,1)</f>
        <v>8</v>
      </c>
    </row>
    <row r="2361" spans="1:9" x14ac:dyDescent="0.25">
      <c r="A2361" s="1">
        <v>43687</v>
      </c>
      <c r="B2361">
        <v>810</v>
      </c>
      <c r="C2361">
        <v>2019</v>
      </c>
      <c r="D2361">
        <v>12</v>
      </c>
      <c r="E2361">
        <v>0</v>
      </c>
      <c r="F2361">
        <v>52</v>
      </c>
      <c r="G2361">
        <v>0</v>
      </c>
      <c r="H2361">
        <f>SUMIFS($F$2:F2361,$C$2:C2361,C2361)</f>
        <v>269</v>
      </c>
      <c r="I2361" s="8">
        <f>STAMP_Escapement_Data[[#This Row],[DATE]]-DATE(STAMP_Escapement_Data[[#This Row],[YEAR]],8,1)</f>
        <v>9</v>
      </c>
    </row>
    <row r="2362" spans="1:9" x14ac:dyDescent="0.25">
      <c r="A2362" s="1">
        <v>43688</v>
      </c>
      <c r="B2362">
        <v>811</v>
      </c>
      <c r="C2362">
        <v>2019</v>
      </c>
      <c r="D2362">
        <v>5</v>
      </c>
      <c r="E2362">
        <v>0</v>
      </c>
      <c r="F2362">
        <v>60</v>
      </c>
      <c r="G2362">
        <v>0</v>
      </c>
      <c r="H2362">
        <f>SUMIFS($F$2:F2362,$C$2:C2362,C2362)</f>
        <v>329</v>
      </c>
      <c r="I2362" s="8">
        <f>STAMP_Escapement_Data[[#This Row],[DATE]]-DATE(STAMP_Escapement_Data[[#This Row],[YEAR]],8,1)</f>
        <v>10</v>
      </c>
    </row>
    <row r="2363" spans="1:9" x14ac:dyDescent="0.25">
      <c r="A2363" s="1">
        <v>43689</v>
      </c>
      <c r="B2363">
        <v>812</v>
      </c>
      <c r="C2363">
        <v>2019</v>
      </c>
      <c r="D2363">
        <v>16</v>
      </c>
      <c r="E2363">
        <v>0</v>
      </c>
      <c r="F2363">
        <v>98</v>
      </c>
      <c r="G2363">
        <v>0</v>
      </c>
      <c r="H2363">
        <f>SUMIFS($F$2:F2363,$C$2:C2363,C2363)</f>
        <v>427</v>
      </c>
      <c r="I2363" s="8">
        <f>STAMP_Escapement_Data[[#This Row],[DATE]]-DATE(STAMP_Escapement_Data[[#This Row],[YEAR]],8,1)</f>
        <v>11</v>
      </c>
    </row>
    <row r="2364" spans="1:9" x14ac:dyDescent="0.25">
      <c r="A2364" s="1">
        <v>43690</v>
      </c>
      <c r="B2364">
        <v>813</v>
      </c>
      <c r="C2364">
        <v>2019</v>
      </c>
      <c r="D2364">
        <v>4</v>
      </c>
      <c r="E2364">
        <v>1</v>
      </c>
      <c r="F2364">
        <v>116</v>
      </c>
      <c r="G2364">
        <v>0</v>
      </c>
      <c r="H2364">
        <f>SUMIFS($F$2:F2364,$C$2:C2364,C2364)</f>
        <v>543</v>
      </c>
      <c r="I2364" s="8">
        <f>STAMP_Escapement_Data[[#This Row],[DATE]]-DATE(STAMP_Escapement_Data[[#This Row],[YEAR]],8,1)</f>
        <v>12</v>
      </c>
    </row>
    <row r="2365" spans="1:9" x14ac:dyDescent="0.25">
      <c r="A2365" s="1">
        <v>43691</v>
      </c>
      <c r="B2365">
        <v>814</v>
      </c>
      <c r="C2365">
        <v>2019</v>
      </c>
      <c r="D2365">
        <v>21</v>
      </c>
      <c r="E2365">
        <v>0</v>
      </c>
      <c r="F2365">
        <v>104</v>
      </c>
      <c r="G2365">
        <v>4</v>
      </c>
      <c r="H2365">
        <f>SUMIFS($F$2:F2365,$C$2:C2365,C2365)</f>
        <v>647</v>
      </c>
      <c r="I2365" s="8">
        <f>STAMP_Escapement_Data[[#This Row],[DATE]]-DATE(STAMP_Escapement_Data[[#This Row],[YEAR]],8,1)</f>
        <v>13</v>
      </c>
    </row>
    <row r="2366" spans="1:9" x14ac:dyDescent="0.25">
      <c r="A2366" s="1">
        <v>43692</v>
      </c>
      <c r="B2366">
        <v>815</v>
      </c>
      <c r="C2366">
        <v>2019</v>
      </c>
      <c r="D2366">
        <v>21</v>
      </c>
      <c r="E2366">
        <v>0</v>
      </c>
      <c r="F2366">
        <v>116</v>
      </c>
      <c r="G2366">
        <v>3</v>
      </c>
      <c r="H2366">
        <f>SUMIFS($F$2:F2366,$C$2:C2366,C2366)</f>
        <v>763</v>
      </c>
      <c r="I2366" s="8">
        <f>STAMP_Escapement_Data[[#This Row],[DATE]]-DATE(STAMP_Escapement_Data[[#This Row],[YEAR]],8,1)</f>
        <v>14</v>
      </c>
    </row>
    <row r="2367" spans="1:9" x14ac:dyDescent="0.25">
      <c r="A2367" s="1">
        <v>43693</v>
      </c>
      <c r="B2367">
        <v>816</v>
      </c>
      <c r="C2367">
        <v>2019</v>
      </c>
      <c r="D2367">
        <v>13</v>
      </c>
      <c r="E2367">
        <v>0</v>
      </c>
      <c r="F2367">
        <v>120</v>
      </c>
      <c r="G2367">
        <v>3</v>
      </c>
      <c r="H2367">
        <f>SUMIFS($F$2:F2367,$C$2:C2367,C2367)</f>
        <v>883</v>
      </c>
      <c r="I2367" s="8">
        <f>STAMP_Escapement_Data[[#This Row],[DATE]]-DATE(STAMP_Escapement_Data[[#This Row],[YEAR]],8,1)</f>
        <v>15</v>
      </c>
    </row>
    <row r="2368" spans="1:9" x14ac:dyDescent="0.25">
      <c r="A2368" s="1">
        <v>43694</v>
      </c>
      <c r="B2368">
        <v>817</v>
      </c>
      <c r="C2368">
        <v>2019</v>
      </c>
      <c r="D2368">
        <v>12</v>
      </c>
      <c r="E2368">
        <v>0</v>
      </c>
      <c r="F2368">
        <v>102</v>
      </c>
      <c r="G2368">
        <v>0</v>
      </c>
      <c r="H2368">
        <f>SUMIFS($F$2:F2368,$C$2:C2368,C2368)</f>
        <v>985</v>
      </c>
      <c r="I2368" s="8">
        <f>STAMP_Escapement_Data[[#This Row],[DATE]]-DATE(STAMP_Escapement_Data[[#This Row],[YEAR]],8,1)</f>
        <v>16</v>
      </c>
    </row>
    <row r="2369" spans="1:9" x14ac:dyDescent="0.25">
      <c r="A2369" s="1">
        <v>43695</v>
      </c>
      <c r="B2369">
        <v>818</v>
      </c>
      <c r="C2369">
        <v>2019</v>
      </c>
      <c r="D2369">
        <v>12</v>
      </c>
      <c r="E2369">
        <v>0</v>
      </c>
      <c r="F2369">
        <v>76</v>
      </c>
      <c r="G2369">
        <v>3</v>
      </c>
      <c r="H2369">
        <f>SUMIFS($F$2:F2369,$C$2:C2369,C2369)</f>
        <v>1061</v>
      </c>
      <c r="I2369" s="8">
        <f>STAMP_Escapement_Data[[#This Row],[DATE]]-DATE(STAMP_Escapement_Data[[#This Row],[YEAR]],8,1)</f>
        <v>17</v>
      </c>
    </row>
    <row r="2370" spans="1:9" x14ac:dyDescent="0.25">
      <c r="A2370" s="1">
        <v>43696</v>
      </c>
      <c r="B2370">
        <v>819</v>
      </c>
      <c r="C2370">
        <v>2019</v>
      </c>
      <c r="D2370">
        <v>47</v>
      </c>
      <c r="E2370">
        <v>3</v>
      </c>
      <c r="F2370">
        <v>62</v>
      </c>
      <c r="G2370">
        <v>3</v>
      </c>
      <c r="H2370">
        <f>SUMIFS($F$2:F2370,$C$2:C2370,C2370)</f>
        <v>1123</v>
      </c>
      <c r="I2370" s="8">
        <f>STAMP_Escapement_Data[[#This Row],[DATE]]-DATE(STAMP_Escapement_Data[[#This Row],[YEAR]],8,1)</f>
        <v>18</v>
      </c>
    </row>
    <row r="2371" spans="1:9" x14ac:dyDescent="0.25">
      <c r="A2371" s="1">
        <v>43697</v>
      </c>
      <c r="B2371">
        <v>820</v>
      </c>
      <c r="C2371">
        <v>2019</v>
      </c>
      <c r="D2371">
        <v>95</v>
      </c>
      <c r="E2371">
        <v>4</v>
      </c>
      <c r="F2371">
        <v>114</v>
      </c>
      <c r="G2371">
        <v>0</v>
      </c>
      <c r="H2371">
        <f>SUMIFS($F$2:F2371,$C$2:C2371,C2371)</f>
        <v>1237</v>
      </c>
      <c r="I2371" s="8">
        <f>STAMP_Escapement_Data[[#This Row],[DATE]]-DATE(STAMP_Escapement_Data[[#This Row],[YEAR]],8,1)</f>
        <v>19</v>
      </c>
    </row>
    <row r="2372" spans="1:9" x14ac:dyDescent="0.25">
      <c r="A2372" s="1">
        <v>43698</v>
      </c>
      <c r="B2372">
        <v>821</v>
      </c>
      <c r="C2372">
        <v>2019</v>
      </c>
      <c r="D2372">
        <v>71</v>
      </c>
      <c r="E2372">
        <v>0</v>
      </c>
      <c r="F2372">
        <v>134</v>
      </c>
      <c r="G2372">
        <v>1</v>
      </c>
      <c r="H2372">
        <f>SUMIFS($F$2:F2372,$C$2:C2372,C2372)</f>
        <v>1371</v>
      </c>
      <c r="I2372" s="8">
        <f>STAMP_Escapement_Data[[#This Row],[DATE]]-DATE(STAMP_Escapement_Data[[#This Row],[YEAR]],8,1)</f>
        <v>20</v>
      </c>
    </row>
    <row r="2373" spans="1:9" x14ac:dyDescent="0.25">
      <c r="A2373" s="1">
        <v>43699</v>
      </c>
      <c r="B2373">
        <v>822</v>
      </c>
      <c r="C2373">
        <v>2019</v>
      </c>
      <c r="D2373">
        <v>109</v>
      </c>
      <c r="E2373">
        <v>5</v>
      </c>
      <c r="F2373">
        <v>190</v>
      </c>
      <c r="G2373">
        <v>4</v>
      </c>
      <c r="H2373">
        <f>SUMIFS($F$2:F2373,$C$2:C2373,C2373)</f>
        <v>1561</v>
      </c>
      <c r="I2373" s="8">
        <f>STAMP_Escapement_Data[[#This Row],[DATE]]-DATE(STAMP_Escapement_Data[[#This Row],[YEAR]],8,1)</f>
        <v>21</v>
      </c>
    </row>
    <row r="2374" spans="1:9" x14ac:dyDescent="0.25">
      <c r="A2374" s="1">
        <v>43700</v>
      </c>
      <c r="B2374">
        <v>823</v>
      </c>
      <c r="C2374">
        <v>2019</v>
      </c>
      <c r="D2374">
        <v>73</v>
      </c>
      <c r="E2374">
        <v>5</v>
      </c>
      <c r="F2374">
        <v>387</v>
      </c>
      <c r="G2374">
        <v>8</v>
      </c>
      <c r="H2374">
        <f>SUMIFS($F$2:F2374,$C$2:C2374,C2374)</f>
        <v>1948</v>
      </c>
      <c r="I2374" s="8">
        <f>STAMP_Escapement_Data[[#This Row],[DATE]]-DATE(STAMP_Escapement_Data[[#This Row],[YEAR]],8,1)</f>
        <v>22</v>
      </c>
    </row>
    <row r="2375" spans="1:9" x14ac:dyDescent="0.25">
      <c r="A2375" s="1">
        <v>43701</v>
      </c>
      <c r="B2375">
        <v>824</v>
      </c>
      <c r="C2375">
        <v>2019</v>
      </c>
      <c r="D2375">
        <v>109</v>
      </c>
      <c r="E2375">
        <v>7</v>
      </c>
      <c r="F2375">
        <v>205</v>
      </c>
      <c r="G2375">
        <v>10</v>
      </c>
      <c r="H2375">
        <f>SUMIFS($F$2:F2375,$C$2:C2375,C2375)</f>
        <v>2153</v>
      </c>
      <c r="I2375" s="8">
        <f>STAMP_Escapement_Data[[#This Row],[DATE]]-DATE(STAMP_Escapement_Data[[#This Row],[YEAR]],8,1)</f>
        <v>23</v>
      </c>
    </row>
    <row r="2376" spans="1:9" x14ac:dyDescent="0.25">
      <c r="A2376" s="1">
        <v>43702</v>
      </c>
      <c r="B2376">
        <v>825</v>
      </c>
      <c r="C2376">
        <v>2019</v>
      </c>
      <c r="D2376">
        <v>129</v>
      </c>
      <c r="E2376">
        <v>4</v>
      </c>
      <c r="F2376">
        <v>371</v>
      </c>
      <c r="G2376">
        <v>10</v>
      </c>
      <c r="H2376">
        <f>SUMIFS($F$2:F2376,$C$2:C2376,C2376)</f>
        <v>2524</v>
      </c>
      <c r="I2376" s="8">
        <f>STAMP_Escapement_Data[[#This Row],[DATE]]-DATE(STAMP_Escapement_Data[[#This Row],[YEAR]],8,1)</f>
        <v>24</v>
      </c>
    </row>
    <row r="2377" spans="1:9" x14ac:dyDescent="0.25">
      <c r="A2377" s="1">
        <v>43703</v>
      </c>
      <c r="B2377">
        <v>826</v>
      </c>
      <c r="C2377">
        <v>2019</v>
      </c>
      <c r="D2377">
        <v>119</v>
      </c>
      <c r="E2377">
        <v>7</v>
      </c>
      <c r="F2377">
        <v>480</v>
      </c>
      <c r="G2377">
        <v>16</v>
      </c>
      <c r="H2377">
        <f>SUMIFS($F$2:F2377,$C$2:C2377,C2377)</f>
        <v>3004</v>
      </c>
      <c r="I2377" s="8">
        <f>STAMP_Escapement_Data[[#This Row],[DATE]]-DATE(STAMP_Escapement_Data[[#This Row],[YEAR]],8,1)</f>
        <v>25</v>
      </c>
    </row>
    <row r="2378" spans="1:9" x14ac:dyDescent="0.25">
      <c r="A2378" s="1">
        <v>43704</v>
      </c>
      <c r="B2378">
        <v>827</v>
      </c>
      <c r="C2378">
        <v>2019</v>
      </c>
      <c r="D2378">
        <v>137</v>
      </c>
      <c r="E2378">
        <v>13</v>
      </c>
      <c r="F2378">
        <v>351</v>
      </c>
      <c r="G2378">
        <v>13</v>
      </c>
      <c r="H2378">
        <f>SUMIFS($F$2:F2378,$C$2:C2378,C2378)</f>
        <v>3355</v>
      </c>
      <c r="I2378" s="8">
        <f>STAMP_Escapement_Data[[#This Row],[DATE]]-DATE(STAMP_Escapement_Data[[#This Row],[YEAR]],8,1)</f>
        <v>26</v>
      </c>
    </row>
    <row r="2379" spans="1:9" x14ac:dyDescent="0.25">
      <c r="A2379" s="1">
        <v>43705</v>
      </c>
      <c r="B2379">
        <v>828</v>
      </c>
      <c r="C2379">
        <v>2019</v>
      </c>
      <c r="D2379">
        <v>136</v>
      </c>
      <c r="E2379">
        <v>13</v>
      </c>
      <c r="F2379">
        <v>344</v>
      </c>
      <c r="G2379">
        <v>28</v>
      </c>
      <c r="H2379">
        <f>SUMIFS($F$2:F2379,$C$2:C2379,C2379)</f>
        <v>3699</v>
      </c>
      <c r="I2379" s="8">
        <f>STAMP_Escapement_Data[[#This Row],[DATE]]-DATE(STAMP_Escapement_Data[[#This Row],[YEAR]],8,1)</f>
        <v>27</v>
      </c>
    </row>
    <row r="2380" spans="1:9" x14ac:dyDescent="0.25">
      <c r="A2380" s="1">
        <v>43706</v>
      </c>
      <c r="B2380">
        <v>829</v>
      </c>
      <c r="C2380">
        <v>2019</v>
      </c>
      <c r="D2380">
        <v>72</v>
      </c>
      <c r="E2380">
        <v>22</v>
      </c>
      <c r="F2380">
        <v>344</v>
      </c>
      <c r="G2380">
        <v>28</v>
      </c>
      <c r="H2380">
        <f>SUMIFS($F$2:F2380,$C$2:C2380,C2380)</f>
        <v>4043</v>
      </c>
      <c r="I2380" s="8">
        <f>STAMP_Escapement_Data[[#This Row],[DATE]]-DATE(STAMP_Escapement_Data[[#This Row],[YEAR]],8,1)</f>
        <v>28</v>
      </c>
    </row>
    <row r="2381" spans="1:9" x14ac:dyDescent="0.25">
      <c r="A2381" s="1">
        <v>43707</v>
      </c>
      <c r="B2381">
        <v>830</v>
      </c>
      <c r="C2381">
        <v>2019</v>
      </c>
      <c r="D2381">
        <v>96</v>
      </c>
      <c r="E2381">
        <v>14</v>
      </c>
      <c r="F2381">
        <v>317</v>
      </c>
      <c r="G2381">
        <v>24</v>
      </c>
      <c r="H2381">
        <f>SUMIFS($F$2:F2381,$C$2:C2381,C2381)</f>
        <v>4360</v>
      </c>
      <c r="I2381" s="8">
        <f>STAMP_Escapement_Data[[#This Row],[DATE]]-DATE(STAMP_Escapement_Data[[#This Row],[YEAR]],8,1)</f>
        <v>29</v>
      </c>
    </row>
    <row r="2382" spans="1:9" x14ac:dyDescent="0.25">
      <c r="A2382" s="1">
        <v>43708</v>
      </c>
      <c r="B2382">
        <v>831</v>
      </c>
      <c r="C2382">
        <v>2019</v>
      </c>
      <c r="D2382">
        <v>169</v>
      </c>
      <c r="E2382">
        <v>39</v>
      </c>
      <c r="F2382">
        <v>445</v>
      </c>
      <c r="G2382">
        <v>33</v>
      </c>
      <c r="H2382">
        <f>SUMIFS($F$2:F2382,$C$2:C2382,C2382)</f>
        <v>4805</v>
      </c>
      <c r="I2382" s="8">
        <f>STAMP_Escapement_Data[[#This Row],[DATE]]-DATE(STAMP_Escapement_Data[[#This Row],[YEAR]],8,1)</f>
        <v>30</v>
      </c>
    </row>
    <row r="2383" spans="1:9" x14ac:dyDescent="0.25">
      <c r="A2383" s="1">
        <v>43709</v>
      </c>
      <c r="B2383">
        <v>901</v>
      </c>
      <c r="C2383">
        <v>2019</v>
      </c>
      <c r="D2383">
        <v>162</v>
      </c>
      <c r="E2383">
        <v>13</v>
      </c>
      <c r="F2383">
        <v>431</v>
      </c>
      <c r="G2383">
        <v>36</v>
      </c>
      <c r="H2383">
        <f>SUMIFS($F$2:F2383,$C$2:C2383,C2383)</f>
        <v>5236</v>
      </c>
      <c r="I2383" s="8">
        <f>STAMP_Escapement_Data[[#This Row],[DATE]]-DATE(STAMP_Escapement_Data[[#This Row],[YEAR]],8,1)</f>
        <v>31</v>
      </c>
    </row>
    <row r="2384" spans="1:9" x14ac:dyDescent="0.25">
      <c r="A2384" s="1">
        <v>43710</v>
      </c>
      <c r="B2384">
        <v>902</v>
      </c>
      <c r="C2384">
        <v>2019</v>
      </c>
      <c r="D2384">
        <v>505</v>
      </c>
      <c r="E2384">
        <v>28</v>
      </c>
      <c r="F2384">
        <v>479</v>
      </c>
      <c r="G2384">
        <v>23</v>
      </c>
      <c r="H2384">
        <f>SUMIFS($F$2:F2384,$C$2:C2384,C2384)</f>
        <v>5715</v>
      </c>
      <c r="I2384" s="8">
        <f>STAMP_Escapement_Data[[#This Row],[DATE]]-DATE(STAMP_Escapement_Data[[#This Row],[YEAR]],8,1)</f>
        <v>32</v>
      </c>
    </row>
    <row r="2385" spans="1:9" x14ac:dyDescent="0.25">
      <c r="A2385" s="1">
        <v>43711</v>
      </c>
      <c r="B2385">
        <v>903</v>
      </c>
      <c r="C2385">
        <v>2019</v>
      </c>
      <c r="D2385">
        <v>407</v>
      </c>
      <c r="E2385">
        <v>36</v>
      </c>
      <c r="F2385">
        <v>563</v>
      </c>
      <c r="G2385">
        <v>56</v>
      </c>
      <c r="H2385">
        <f>SUMIFS($F$2:F2385,$C$2:C2385,C2385)</f>
        <v>6278</v>
      </c>
      <c r="I2385" s="8">
        <f>STAMP_Escapement_Data[[#This Row],[DATE]]-DATE(STAMP_Escapement_Data[[#This Row],[YEAR]],8,1)</f>
        <v>33</v>
      </c>
    </row>
    <row r="2386" spans="1:9" x14ac:dyDescent="0.25">
      <c r="A2386" s="1">
        <v>43712</v>
      </c>
      <c r="B2386">
        <v>904</v>
      </c>
      <c r="C2386">
        <v>2019</v>
      </c>
      <c r="D2386">
        <v>451</v>
      </c>
      <c r="E2386">
        <v>61</v>
      </c>
      <c r="F2386">
        <v>386</v>
      </c>
      <c r="G2386">
        <v>32</v>
      </c>
      <c r="H2386">
        <f>SUMIFS($F$2:F2386,$C$2:C2386,C2386)</f>
        <v>6664</v>
      </c>
      <c r="I2386" s="8">
        <f>STAMP_Escapement_Data[[#This Row],[DATE]]-DATE(STAMP_Escapement_Data[[#This Row],[YEAR]],8,1)</f>
        <v>34</v>
      </c>
    </row>
    <row r="2387" spans="1:9" x14ac:dyDescent="0.25">
      <c r="A2387" s="1">
        <v>43713</v>
      </c>
      <c r="B2387">
        <v>905</v>
      </c>
      <c r="C2387">
        <v>2019</v>
      </c>
      <c r="D2387">
        <v>597</v>
      </c>
      <c r="E2387">
        <v>54</v>
      </c>
      <c r="F2387">
        <v>369</v>
      </c>
      <c r="G2387">
        <v>54</v>
      </c>
      <c r="H2387">
        <f>SUMIFS($F$2:F2387,$C$2:C2387,C2387)</f>
        <v>7033</v>
      </c>
      <c r="I2387" s="8">
        <f>STAMP_Escapement_Data[[#This Row],[DATE]]-DATE(STAMP_Escapement_Data[[#This Row],[YEAR]],8,1)</f>
        <v>35</v>
      </c>
    </row>
    <row r="2388" spans="1:9" x14ac:dyDescent="0.25">
      <c r="A2388" s="1">
        <v>43714</v>
      </c>
      <c r="B2388">
        <v>906</v>
      </c>
      <c r="C2388">
        <v>2019</v>
      </c>
      <c r="D2388">
        <v>346</v>
      </c>
      <c r="E2388">
        <v>42</v>
      </c>
      <c r="F2388">
        <v>286</v>
      </c>
      <c r="G2388">
        <v>18</v>
      </c>
      <c r="H2388">
        <f>SUMIFS($F$2:F2388,$C$2:C2388,C2388)</f>
        <v>7319</v>
      </c>
      <c r="I2388" s="8">
        <f>STAMP_Escapement_Data[[#This Row],[DATE]]-DATE(STAMP_Escapement_Data[[#This Row],[YEAR]],8,1)</f>
        <v>36</v>
      </c>
    </row>
    <row r="2389" spans="1:9" x14ac:dyDescent="0.25">
      <c r="A2389" s="1">
        <v>43715</v>
      </c>
      <c r="B2389">
        <v>907</v>
      </c>
      <c r="C2389">
        <v>2019</v>
      </c>
      <c r="D2389">
        <v>257</v>
      </c>
      <c r="E2389">
        <v>39</v>
      </c>
      <c r="F2389">
        <v>397</v>
      </c>
      <c r="G2389">
        <v>52</v>
      </c>
      <c r="H2389">
        <f>SUMIFS($F$2:F2389,$C$2:C2389,C2389)</f>
        <v>7716</v>
      </c>
      <c r="I2389" s="8">
        <f>STAMP_Escapement_Data[[#This Row],[DATE]]-DATE(STAMP_Escapement_Data[[#This Row],[YEAR]],8,1)</f>
        <v>37</v>
      </c>
    </row>
    <row r="2390" spans="1:9" x14ac:dyDescent="0.25">
      <c r="A2390" s="1">
        <v>43716</v>
      </c>
      <c r="B2390">
        <v>908</v>
      </c>
      <c r="C2390">
        <v>2019</v>
      </c>
      <c r="D2390">
        <v>381</v>
      </c>
      <c r="E2390">
        <v>72</v>
      </c>
      <c r="F2390">
        <v>330</v>
      </c>
      <c r="G2390">
        <v>36</v>
      </c>
      <c r="H2390">
        <f>SUMIFS($F$2:F2390,$C$2:C2390,C2390)</f>
        <v>8046</v>
      </c>
      <c r="I2390" s="8">
        <f>STAMP_Escapement_Data[[#This Row],[DATE]]-DATE(STAMP_Escapement_Data[[#This Row],[YEAR]],8,1)</f>
        <v>38</v>
      </c>
    </row>
    <row r="2391" spans="1:9" x14ac:dyDescent="0.25">
      <c r="A2391" s="1">
        <v>43717</v>
      </c>
      <c r="B2391">
        <v>909</v>
      </c>
      <c r="C2391">
        <v>2019</v>
      </c>
      <c r="D2391">
        <v>428</v>
      </c>
      <c r="E2391">
        <v>61</v>
      </c>
      <c r="F2391">
        <v>382</v>
      </c>
      <c r="G2391">
        <v>42</v>
      </c>
      <c r="H2391">
        <f>SUMIFS($F$2:F2391,$C$2:C2391,C2391)</f>
        <v>8428</v>
      </c>
      <c r="I2391" s="8">
        <f>STAMP_Escapement_Data[[#This Row],[DATE]]-DATE(STAMP_Escapement_Data[[#This Row],[YEAR]],8,1)</f>
        <v>39</v>
      </c>
    </row>
    <row r="2392" spans="1:9" x14ac:dyDescent="0.25">
      <c r="A2392" s="1">
        <v>43718</v>
      </c>
      <c r="B2392">
        <v>910</v>
      </c>
      <c r="C2392">
        <v>2019</v>
      </c>
      <c r="D2392">
        <v>184</v>
      </c>
      <c r="E2392">
        <v>42</v>
      </c>
      <c r="F2392">
        <v>344</v>
      </c>
      <c r="G2392">
        <v>26</v>
      </c>
      <c r="H2392">
        <f>SUMIFS($F$2:F2392,$C$2:C2392,C2392)</f>
        <v>8772</v>
      </c>
      <c r="I2392" s="8">
        <f>STAMP_Escapement_Data[[#This Row],[DATE]]-DATE(STAMP_Escapement_Data[[#This Row],[YEAR]],8,1)</f>
        <v>40</v>
      </c>
    </row>
    <row r="2393" spans="1:9" x14ac:dyDescent="0.25">
      <c r="A2393" s="1">
        <v>43719</v>
      </c>
      <c r="B2393">
        <v>911</v>
      </c>
      <c r="C2393">
        <v>2019</v>
      </c>
      <c r="D2393">
        <v>152</v>
      </c>
      <c r="E2393">
        <v>29</v>
      </c>
      <c r="F2393">
        <v>581</v>
      </c>
      <c r="G2393">
        <v>46</v>
      </c>
      <c r="H2393">
        <f>SUMIFS($F$2:F2393,$C$2:C2393,C2393)</f>
        <v>9353</v>
      </c>
      <c r="I2393" s="8">
        <f>STAMP_Escapement_Data[[#This Row],[DATE]]-DATE(STAMP_Escapement_Data[[#This Row],[YEAR]],8,1)</f>
        <v>41</v>
      </c>
    </row>
    <row r="2394" spans="1:9" x14ac:dyDescent="0.25">
      <c r="A2394" s="1">
        <v>43720</v>
      </c>
      <c r="B2394">
        <v>912</v>
      </c>
      <c r="C2394">
        <v>2019</v>
      </c>
      <c r="D2394">
        <v>200</v>
      </c>
      <c r="E2394">
        <v>24</v>
      </c>
      <c r="F2394">
        <v>530</v>
      </c>
      <c r="G2394">
        <v>45</v>
      </c>
      <c r="H2394">
        <f>SUMIFS($F$2:F2394,$C$2:C2394,C2394)</f>
        <v>9883</v>
      </c>
      <c r="I2394" s="8">
        <f>STAMP_Escapement_Data[[#This Row],[DATE]]-DATE(STAMP_Escapement_Data[[#This Row],[YEAR]],8,1)</f>
        <v>42</v>
      </c>
    </row>
    <row r="2395" spans="1:9" x14ac:dyDescent="0.25">
      <c r="A2395" s="1">
        <v>43721</v>
      </c>
      <c r="B2395">
        <v>913</v>
      </c>
      <c r="C2395">
        <v>2019</v>
      </c>
      <c r="D2395">
        <v>191</v>
      </c>
      <c r="E2395">
        <v>18</v>
      </c>
      <c r="F2395">
        <v>512</v>
      </c>
      <c r="G2395">
        <v>28</v>
      </c>
      <c r="H2395">
        <f>SUMIFS($F$2:F2395,$C$2:C2395,C2395)</f>
        <v>10395</v>
      </c>
      <c r="I2395" s="8">
        <f>STAMP_Escapement_Data[[#This Row],[DATE]]-DATE(STAMP_Escapement_Data[[#This Row],[YEAR]],8,1)</f>
        <v>43</v>
      </c>
    </row>
    <row r="2396" spans="1:9" x14ac:dyDescent="0.25">
      <c r="A2396" s="1">
        <v>43722</v>
      </c>
      <c r="B2396">
        <v>914</v>
      </c>
      <c r="C2396">
        <v>2019</v>
      </c>
      <c r="D2396">
        <v>375</v>
      </c>
      <c r="E2396">
        <v>33</v>
      </c>
      <c r="F2396">
        <v>615</v>
      </c>
      <c r="G2396">
        <v>65</v>
      </c>
      <c r="H2396">
        <f>SUMIFS($F$2:F2396,$C$2:C2396,C2396)</f>
        <v>11010</v>
      </c>
      <c r="I2396" s="8">
        <f>STAMP_Escapement_Data[[#This Row],[DATE]]-DATE(STAMP_Escapement_Data[[#This Row],[YEAR]],8,1)</f>
        <v>44</v>
      </c>
    </row>
    <row r="2397" spans="1:9" x14ac:dyDescent="0.25">
      <c r="A2397" s="1">
        <v>43723</v>
      </c>
      <c r="B2397">
        <v>915</v>
      </c>
      <c r="C2397">
        <v>2019</v>
      </c>
      <c r="D2397">
        <v>318</v>
      </c>
      <c r="E2397">
        <v>23</v>
      </c>
      <c r="F2397">
        <v>573</v>
      </c>
      <c r="G2397">
        <v>40</v>
      </c>
      <c r="H2397">
        <f>SUMIFS($F$2:F2397,$C$2:C2397,C2397)</f>
        <v>11583</v>
      </c>
      <c r="I2397" s="8">
        <f>STAMP_Escapement_Data[[#This Row],[DATE]]-DATE(STAMP_Escapement_Data[[#This Row],[YEAR]],8,1)</f>
        <v>45</v>
      </c>
    </row>
    <row r="2398" spans="1:9" x14ac:dyDescent="0.25">
      <c r="A2398" s="1">
        <v>43724</v>
      </c>
      <c r="B2398">
        <v>916</v>
      </c>
      <c r="C2398">
        <v>2019</v>
      </c>
      <c r="D2398">
        <v>369</v>
      </c>
      <c r="E2398">
        <v>42</v>
      </c>
      <c r="F2398">
        <v>608</v>
      </c>
      <c r="G2398">
        <v>69</v>
      </c>
      <c r="H2398">
        <f>SUMIFS($F$2:F2398,$C$2:C2398,C2398)</f>
        <v>12191</v>
      </c>
      <c r="I2398" s="8">
        <f>STAMP_Escapement_Data[[#This Row],[DATE]]-DATE(STAMP_Escapement_Data[[#This Row],[YEAR]],8,1)</f>
        <v>46</v>
      </c>
    </row>
    <row r="2399" spans="1:9" x14ac:dyDescent="0.25">
      <c r="A2399" s="1">
        <v>43725</v>
      </c>
      <c r="B2399">
        <v>917</v>
      </c>
      <c r="C2399">
        <v>2019</v>
      </c>
      <c r="D2399">
        <v>209</v>
      </c>
      <c r="E2399">
        <v>30</v>
      </c>
      <c r="F2399">
        <v>594</v>
      </c>
      <c r="G2399">
        <v>83</v>
      </c>
      <c r="H2399">
        <f>SUMIFS($F$2:F2399,$C$2:C2399,C2399)</f>
        <v>12785</v>
      </c>
      <c r="I2399" s="8">
        <f>STAMP_Escapement_Data[[#This Row],[DATE]]-DATE(STAMP_Escapement_Data[[#This Row],[YEAR]],8,1)</f>
        <v>47</v>
      </c>
    </row>
    <row r="2400" spans="1:9" x14ac:dyDescent="0.25">
      <c r="A2400" s="1">
        <v>43726</v>
      </c>
      <c r="B2400">
        <v>918</v>
      </c>
      <c r="C2400">
        <v>2019</v>
      </c>
      <c r="D2400">
        <v>430</v>
      </c>
      <c r="E2400">
        <v>77</v>
      </c>
      <c r="F2400">
        <v>776</v>
      </c>
      <c r="G2400">
        <v>97</v>
      </c>
      <c r="H2400">
        <f>SUMIFS($F$2:F2400,$C$2:C2400,C2400)</f>
        <v>13561</v>
      </c>
      <c r="I2400" s="8">
        <f>STAMP_Escapement_Data[[#This Row],[DATE]]-DATE(STAMP_Escapement_Data[[#This Row],[YEAR]],8,1)</f>
        <v>48</v>
      </c>
    </row>
    <row r="2401" spans="1:9" x14ac:dyDescent="0.25">
      <c r="A2401" s="1">
        <v>43727</v>
      </c>
      <c r="B2401">
        <v>919</v>
      </c>
      <c r="C2401">
        <v>2019</v>
      </c>
      <c r="D2401">
        <v>332</v>
      </c>
      <c r="E2401">
        <v>84</v>
      </c>
      <c r="F2401">
        <v>847</v>
      </c>
      <c r="G2401">
        <v>103</v>
      </c>
      <c r="H2401">
        <f>SUMIFS($F$2:F2401,$C$2:C2401,C2401)</f>
        <v>14408</v>
      </c>
      <c r="I2401" s="8">
        <f>STAMP_Escapement_Data[[#This Row],[DATE]]-DATE(STAMP_Escapement_Data[[#This Row],[YEAR]],8,1)</f>
        <v>49</v>
      </c>
    </row>
    <row r="2402" spans="1:9" x14ac:dyDescent="0.25">
      <c r="A2402" s="1">
        <v>43728</v>
      </c>
      <c r="B2402">
        <v>920</v>
      </c>
      <c r="C2402">
        <v>2019</v>
      </c>
      <c r="D2402">
        <v>280</v>
      </c>
      <c r="E2402">
        <v>71</v>
      </c>
      <c r="F2402">
        <v>523</v>
      </c>
      <c r="G2402">
        <v>80</v>
      </c>
      <c r="H2402">
        <f>SUMIFS($F$2:F2402,$C$2:C2402,C2402)</f>
        <v>14931</v>
      </c>
      <c r="I2402" s="8">
        <f>STAMP_Escapement_Data[[#This Row],[DATE]]-DATE(STAMP_Escapement_Data[[#This Row],[YEAR]],8,1)</f>
        <v>50</v>
      </c>
    </row>
    <row r="2403" spans="1:9" x14ac:dyDescent="0.25">
      <c r="A2403" s="1">
        <v>43729</v>
      </c>
      <c r="B2403">
        <v>921</v>
      </c>
      <c r="C2403">
        <v>2019</v>
      </c>
      <c r="D2403">
        <v>477</v>
      </c>
      <c r="E2403">
        <v>108</v>
      </c>
      <c r="F2403">
        <v>608</v>
      </c>
      <c r="G2403">
        <v>86</v>
      </c>
      <c r="H2403">
        <f>SUMIFS($F$2:F2403,$C$2:C2403,C2403)</f>
        <v>15539</v>
      </c>
      <c r="I2403" s="8">
        <f>STAMP_Escapement_Data[[#This Row],[DATE]]-DATE(STAMP_Escapement_Data[[#This Row],[YEAR]],8,1)</f>
        <v>51</v>
      </c>
    </row>
    <row r="2404" spans="1:9" x14ac:dyDescent="0.25">
      <c r="A2404" s="1">
        <v>43730</v>
      </c>
      <c r="B2404">
        <v>922</v>
      </c>
      <c r="C2404">
        <v>2019</v>
      </c>
      <c r="D2404">
        <v>236</v>
      </c>
      <c r="E2404">
        <v>62</v>
      </c>
      <c r="F2404">
        <v>788</v>
      </c>
      <c r="G2404">
        <v>123</v>
      </c>
      <c r="H2404">
        <f>SUMIFS($F$2:F2404,$C$2:C2404,C2404)</f>
        <v>16327</v>
      </c>
      <c r="I2404" s="8">
        <f>STAMP_Escapement_Data[[#This Row],[DATE]]-DATE(STAMP_Escapement_Data[[#This Row],[YEAR]],8,1)</f>
        <v>52</v>
      </c>
    </row>
    <row r="2405" spans="1:9" x14ac:dyDescent="0.25">
      <c r="A2405" s="1">
        <v>43731</v>
      </c>
      <c r="B2405">
        <v>923</v>
      </c>
      <c r="C2405">
        <v>2019</v>
      </c>
      <c r="D2405">
        <v>135</v>
      </c>
      <c r="E2405">
        <v>43</v>
      </c>
      <c r="F2405">
        <v>719</v>
      </c>
      <c r="G2405">
        <v>71</v>
      </c>
      <c r="H2405">
        <f>SUMIFS($F$2:F2405,$C$2:C2405,C2405)</f>
        <v>17046</v>
      </c>
      <c r="I2405" s="8">
        <f>STAMP_Escapement_Data[[#This Row],[DATE]]-DATE(STAMP_Escapement_Data[[#This Row],[YEAR]],8,1)</f>
        <v>53</v>
      </c>
    </row>
    <row r="2406" spans="1:9" x14ac:dyDescent="0.25">
      <c r="A2406" s="1">
        <v>43732</v>
      </c>
      <c r="B2406">
        <v>924</v>
      </c>
      <c r="C2406">
        <v>2019</v>
      </c>
      <c r="D2406">
        <v>145</v>
      </c>
      <c r="E2406">
        <v>54</v>
      </c>
      <c r="F2406">
        <v>719</v>
      </c>
      <c r="G2406">
        <v>86</v>
      </c>
      <c r="H2406">
        <f>SUMIFS($F$2:F2406,$C$2:C2406,C2406)</f>
        <v>17765</v>
      </c>
      <c r="I2406" s="8">
        <f>STAMP_Escapement_Data[[#This Row],[DATE]]-DATE(STAMP_Escapement_Data[[#This Row],[YEAR]],8,1)</f>
        <v>54</v>
      </c>
    </row>
    <row r="2407" spans="1:9" x14ac:dyDescent="0.25">
      <c r="A2407" s="1">
        <v>43733</v>
      </c>
      <c r="B2407">
        <v>925</v>
      </c>
      <c r="C2407">
        <v>2019</v>
      </c>
      <c r="D2407">
        <v>151</v>
      </c>
      <c r="E2407">
        <v>42</v>
      </c>
      <c r="F2407">
        <v>962</v>
      </c>
      <c r="G2407">
        <v>82</v>
      </c>
      <c r="H2407">
        <f>SUMIFS($F$2:F2407,$C$2:C2407,C2407)</f>
        <v>18727</v>
      </c>
      <c r="I2407" s="8">
        <f>STAMP_Escapement_Data[[#This Row],[DATE]]-DATE(STAMP_Escapement_Data[[#This Row],[YEAR]],8,1)</f>
        <v>55</v>
      </c>
    </row>
    <row r="2408" spans="1:9" x14ac:dyDescent="0.25">
      <c r="A2408" s="1">
        <v>43734</v>
      </c>
      <c r="B2408">
        <v>926</v>
      </c>
      <c r="C2408">
        <v>2019</v>
      </c>
      <c r="D2408">
        <v>163</v>
      </c>
      <c r="E2408">
        <v>32</v>
      </c>
      <c r="F2408">
        <v>689</v>
      </c>
      <c r="G2408">
        <v>65</v>
      </c>
      <c r="H2408">
        <f>SUMIFS($F$2:F2408,$C$2:C2408,C2408)</f>
        <v>19416</v>
      </c>
      <c r="I2408" s="8">
        <f>STAMP_Escapement_Data[[#This Row],[DATE]]-DATE(STAMP_Escapement_Data[[#This Row],[YEAR]],8,1)</f>
        <v>56</v>
      </c>
    </row>
    <row r="2409" spans="1:9" x14ac:dyDescent="0.25">
      <c r="A2409" s="1">
        <v>43735</v>
      </c>
      <c r="B2409">
        <v>927</v>
      </c>
      <c r="C2409">
        <v>2019</v>
      </c>
      <c r="D2409">
        <v>120</v>
      </c>
      <c r="E2409">
        <v>40</v>
      </c>
      <c r="F2409">
        <v>749</v>
      </c>
      <c r="G2409">
        <v>68</v>
      </c>
      <c r="H2409">
        <f>SUMIFS($F$2:F2409,$C$2:C2409,C2409)</f>
        <v>20165</v>
      </c>
      <c r="I2409" s="8">
        <f>STAMP_Escapement_Data[[#This Row],[DATE]]-DATE(STAMP_Escapement_Data[[#This Row],[YEAR]],8,1)</f>
        <v>57</v>
      </c>
    </row>
    <row r="2410" spans="1:9" x14ac:dyDescent="0.25">
      <c r="A2410" s="1">
        <v>43736</v>
      </c>
      <c r="B2410">
        <v>928</v>
      </c>
      <c r="C2410">
        <v>2019</v>
      </c>
      <c r="D2410">
        <v>139</v>
      </c>
      <c r="E2410">
        <v>64</v>
      </c>
      <c r="F2410">
        <v>775</v>
      </c>
      <c r="G2410">
        <v>73</v>
      </c>
      <c r="H2410">
        <f>SUMIFS($F$2:F2410,$C$2:C2410,C2410)</f>
        <v>20940</v>
      </c>
      <c r="I2410" s="8">
        <f>STAMP_Escapement_Data[[#This Row],[DATE]]-DATE(STAMP_Escapement_Data[[#This Row],[YEAR]],8,1)</f>
        <v>58</v>
      </c>
    </row>
    <row r="2411" spans="1:9" x14ac:dyDescent="0.25">
      <c r="A2411" s="1">
        <v>43737</v>
      </c>
      <c r="B2411">
        <v>929</v>
      </c>
      <c r="C2411">
        <v>2019</v>
      </c>
      <c r="D2411">
        <v>86</v>
      </c>
      <c r="E2411">
        <v>59</v>
      </c>
      <c r="F2411">
        <v>728</v>
      </c>
      <c r="G2411">
        <v>61</v>
      </c>
      <c r="H2411">
        <f>SUMIFS($F$2:F2411,$C$2:C2411,C2411)</f>
        <v>21668</v>
      </c>
      <c r="I2411" s="8">
        <f>STAMP_Escapement_Data[[#This Row],[DATE]]-DATE(STAMP_Escapement_Data[[#This Row],[YEAR]],8,1)</f>
        <v>59</v>
      </c>
    </row>
    <row r="2412" spans="1:9" x14ac:dyDescent="0.25">
      <c r="A2412" s="1">
        <v>43738</v>
      </c>
      <c r="B2412">
        <v>930</v>
      </c>
      <c r="C2412">
        <v>2019</v>
      </c>
      <c r="D2412">
        <v>73</v>
      </c>
      <c r="E2412">
        <v>59</v>
      </c>
      <c r="F2412">
        <v>623</v>
      </c>
      <c r="G2412">
        <v>46</v>
      </c>
      <c r="H2412">
        <f>SUMIFS($F$2:F2412,$C$2:C2412,C2412)</f>
        <v>22291</v>
      </c>
      <c r="I2412" s="8">
        <f>STAMP_Escapement_Data[[#This Row],[DATE]]-DATE(STAMP_Escapement_Data[[#This Row],[YEAR]],8,1)</f>
        <v>60</v>
      </c>
    </row>
    <row r="2413" spans="1:9" x14ac:dyDescent="0.25">
      <c r="A2413" s="1">
        <v>43739</v>
      </c>
      <c r="B2413">
        <v>1001</v>
      </c>
      <c r="C2413">
        <v>2019</v>
      </c>
      <c r="D2413">
        <v>62</v>
      </c>
      <c r="E2413">
        <v>47</v>
      </c>
      <c r="F2413">
        <v>476</v>
      </c>
      <c r="G2413">
        <v>40</v>
      </c>
      <c r="H2413">
        <f>SUMIFS($F$2:F2413,$C$2:C2413,C2413)</f>
        <v>22767</v>
      </c>
      <c r="I2413" s="8">
        <f>STAMP_Escapement_Data[[#This Row],[DATE]]-DATE(STAMP_Escapement_Data[[#This Row],[YEAR]],8,1)</f>
        <v>61</v>
      </c>
    </row>
    <row r="2414" spans="1:9" x14ac:dyDescent="0.25">
      <c r="A2414" s="1">
        <v>43740</v>
      </c>
      <c r="B2414">
        <v>1002</v>
      </c>
      <c r="C2414">
        <v>2019</v>
      </c>
      <c r="D2414">
        <v>72</v>
      </c>
      <c r="E2414">
        <v>30</v>
      </c>
      <c r="F2414">
        <v>536</v>
      </c>
      <c r="G2414">
        <v>57</v>
      </c>
      <c r="H2414">
        <f>SUMIFS($F$2:F2414,$C$2:C2414,C2414)</f>
        <v>23303</v>
      </c>
      <c r="I2414" s="8">
        <f>STAMP_Escapement_Data[[#This Row],[DATE]]-DATE(STAMP_Escapement_Data[[#This Row],[YEAR]],8,1)</f>
        <v>62</v>
      </c>
    </row>
    <row r="2415" spans="1:9" x14ac:dyDescent="0.25">
      <c r="A2415" s="1">
        <v>43741</v>
      </c>
      <c r="B2415">
        <v>1003</v>
      </c>
      <c r="C2415">
        <v>2019</v>
      </c>
      <c r="D2415">
        <v>17</v>
      </c>
      <c r="E2415">
        <v>9</v>
      </c>
      <c r="F2415">
        <v>425</v>
      </c>
      <c r="G2415">
        <v>18</v>
      </c>
      <c r="H2415">
        <f>SUMIFS($F$2:F2415,$C$2:C2415,C2415)</f>
        <v>23728</v>
      </c>
      <c r="I2415" s="8">
        <f>STAMP_Escapement_Data[[#This Row],[DATE]]-DATE(STAMP_Escapement_Data[[#This Row],[YEAR]],8,1)</f>
        <v>63</v>
      </c>
    </row>
    <row r="2416" spans="1:9" x14ac:dyDescent="0.25">
      <c r="A2416" s="1">
        <v>43742</v>
      </c>
      <c r="B2416">
        <v>1004</v>
      </c>
      <c r="C2416">
        <v>2019</v>
      </c>
      <c r="D2416">
        <v>35</v>
      </c>
      <c r="E2416">
        <v>15</v>
      </c>
      <c r="F2416">
        <v>624</v>
      </c>
      <c r="G2416">
        <v>36</v>
      </c>
      <c r="H2416">
        <f>SUMIFS($F$2:F2416,$C$2:C2416,C2416)</f>
        <v>24352</v>
      </c>
      <c r="I2416" s="8">
        <f>STAMP_Escapement_Data[[#This Row],[DATE]]-DATE(STAMP_Escapement_Data[[#This Row],[YEAR]],8,1)</f>
        <v>64</v>
      </c>
    </row>
    <row r="2417" spans="1:9" x14ac:dyDescent="0.25">
      <c r="A2417" s="1">
        <v>43743</v>
      </c>
      <c r="B2417">
        <v>1005</v>
      </c>
      <c r="C2417">
        <v>2019</v>
      </c>
      <c r="D2417">
        <v>27</v>
      </c>
      <c r="E2417">
        <v>6</v>
      </c>
      <c r="F2417">
        <v>799</v>
      </c>
      <c r="G2417">
        <v>72</v>
      </c>
      <c r="H2417">
        <f>SUMIFS($F$2:F2417,$C$2:C2417,C2417)</f>
        <v>25151</v>
      </c>
      <c r="I2417" s="8">
        <f>STAMP_Escapement_Data[[#This Row],[DATE]]-DATE(STAMP_Escapement_Data[[#This Row],[YEAR]],8,1)</f>
        <v>65</v>
      </c>
    </row>
    <row r="2418" spans="1:9" x14ac:dyDescent="0.25">
      <c r="A2418" s="1">
        <v>43744</v>
      </c>
      <c r="B2418">
        <v>1006</v>
      </c>
      <c r="C2418">
        <v>2019</v>
      </c>
      <c r="D2418">
        <v>19</v>
      </c>
      <c r="E2418">
        <v>1</v>
      </c>
      <c r="F2418">
        <v>699</v>
      </c>
      <c r="G2418">
        <v>49</v>
      </c>
      <c r="H2418">
        <f>SUMIFS($F$2:F2418,$C$2:C2418,C2418)</f>
        <v>25850</v>
      </c>
      <c r="I2418" s="8">
        <f>STAMP_Escapement_Data[[#This Row],[DATE]]-DATE(STAMP_Escapement_Data[[#This Row],[YEAR]],8,1)</f>
        <v>66</v>
      </c>
    </row>
    <row r="2419" spans="1:9" x14ac:dyDescent="0.25">
      <c r="A2419" s="1">
        <v>43745</v>
      </c>
      <c r="B2419">
        <v>1007</v>
      </c>
      <c r="C2419">
        <v>2019</v>
      </c>
      <c r="D2419">
        <v>34</v>
      </c>
      <c r="E2419">
        <v>10</v>
      </c>
      <c r="F2419">
        <v>968</v>
      </c>
      <c r="G2419">
        <v>59</v>
      </c>
      <c r="H2419">
        <f>SUMIFS($F$2:F2419,$C$2:C2419,C2419)</f>
        <v>26818</v>
      </c>
      <c r="I2419" s="8">
        <f>STAMP_Escapement_Data[[#This Row],[DATE]]-DATE(STAMP_Escapement_Data[[#This Row],[YEAR]],8,1)</f>
        <v>67</v>
      </c>
    </row>
    <row r="2420" spans="1:9" x14ac:dyDescent="0.25">
      <c r="A2420" s="1">
        <v>43746</v>
      </c>
      <c r="B2420">
        <v>1008</v>
      </c>
      <c r="C2420">
        <v>2019</v>
      </c>
      <c r="D2420">
        <v>30</v>
      </c>
      <c r="E2420">
        <v>2</v>
      </c>
      <c r="F2420">
        <v>872</v>
      </c>
      <c r="G2420">
        <v>29</v>
      </c>
      <c r="H2420">
        <f>SUMIFS($F$2:F2420,$C$2:C2420,C2420)</f>
        <v>27690</v>
      </c>
      <c r="I2420" s="8">
        <f>STAMP_Escapement_Data[[#This Row],[DATE]]-DATE(STAMP_Escapement_Data[[#This Row],[YEAR]],8,1)</f>
        <v>68</v>
      </c>
    </row>
    <row r="2421" spans="1:9" x14ac:dyDescent="0.25">
      <c r="A2421" s="1">
        <v>43747</v>
      </c>
      <c r="B2421">
        <v>1009</v>
      </c>
      <c r="C2421">
        <v>2019</v>
      </c>
      <c r="D2421">
        <v>27</v>
      </c>
      <c r="E2421">
        <v>7</v>
      </c>
      <c r="F2421">
        <v>564</v>
      </c>
      <c r="G2421">
        <v>36</v>
      </c>
      <c r="H2421">
        <f>SUMIFS($F$2:F2421,$C$2:C2421,C2421)</f>
        <v>28254</v>
      </c>
      <c r="I2421" s="8">
        <f>STAMP_Escapement_Data[[#This Row],[DATE]]-DATE(STAMP_Escapement_Data[[#This Row],[YEAR]],8,1)</f>
        <v>69</v>
      </c>
    </row>
    <row r="2422" spans="1:9" x14ac:dyDescent="0.25">
      <c r="A2422" s="1">
        <v>43748</v>
      </c>
      <c r="B2422">
        <v>1010</v>
      </c>
      <c r="C2422">
        <v>2019</v>
      </c>
      <c r="D2422">
        <v>17</v>
      </c>
      <c r="E2422">
        <v>20</v>
      </c>
      <c r="F2422">
        <v>428</v>
      </c>
      <c r="G2422">
        <v>32</v>
      </c>
      <c r="H2422">
        <f>SUMIFS($F$2:F2422,$C$2:C2422,C2422)</f>
        <v>28682</v>
      </c>
      <c r="I2422" s="8">
        <f>STAMP_Escapement_Data[[#This Row],[DATE]]-DATE(STAMP_Escapement_Data[[#This Row],[YEAR]],8,1)</f>
        <v>70</v>
      </c>
    </row>
    <row r="2423" spans="1:9" x14ac:dyDescent="0.25">
      <c r="A2423" s="1">
        <v>43749</v>
      </c>
      <c r="B2423">
        <v>1011</v>
      </c>
      <c r="C2423">
        <v>2019</v>
      </c>
      <c r="D2423">
        <v>5</v>
      </c>
      <c r="E2423">
        <v>3</v>
      </c>
      <c r="F2423">
        <v>488</v>
      </c>
      <c r="G2423">
        <v>26</v>
      </c>
      <c r="H2423">
        <f>SUMIFS($F$2:F2423,$C$2:C2423,C2423)</f>
        <v>29170</v>
      </c>
      <c r="I2423" s="8">
        <f>STAMP_Escapement_Data[[#This Row],[DATE]]-DATE(STAMP_Escapement_Data[[#This Row],[YEAR]],8,1)</f>
        <v>71</v>
      </c>
    </row>
    <row r="2424" spans="1:9" x14ac:dyDescent="0.25">
      <c r="A2424" s="1">
        <v>43750</v>
      </c>
      <c r="B2424">
        <v>1012</v>
      </c>
      <c r="C2424">
        <v>2019</v>
      </c>
      <c r="D2424">
        <v>13</v>
      </c>
      <c r="E2424">
        <v>7</v>
      </c>
      <c r="F2424">
        <v>725</v>
      </c>
      <c r="G2424">
        <v>35</v>
      </c>
      <c r="H2424">
        <f>SUMIFS($F$2:F2424,$C$2:C2424,C2424)</f>
        <v>29895</v>
      </c>
      <c r="I2424" s="8">
        <f>STAMP_Escapement_Data[[#This Row],[DATE]]-DATE(STAMP_Escapement_Data[[#This Row],[YEAR]],8,1)</f>
        <v>72</v>
      </c>
    </row>
    <row r="2425" spans="1:9" x14ac:dyDescent="0.25">
      <c r="A2425" s="1">
        <v>43751</v>
      </c>
      <c r="B2425">
        <v>1013</v>
      </c>
      <c r="C2425">
        <v>2019</v>
      </c>
      <c r="D2425">
        <v>23</v>
      </c>
      <c r="E2425">
        <v>9</v>
      </c>
      <c r="F2425">
        <v>682</v>
      </c>
      <c r="G2425">
        <v>40</v>
      </c>
      <c r="H2425">
        <f>SUMIFS($F$2:F2425,$C$2:C2425,C2425)</f>
        <v>30577</v>
      </c>
      <c r="I2425" s="8">
        <f>STAMP_Escapement_Data[[#This Row],[DATE]]-DATE(STAMP_Escapement_Data[[#This Row],[YEAR]],8,1)</f>
        <v>73</v>
      </c>
    </row>
    <row r="2426" spans="1:9" x14ac:dyDescent="0.25">
      <c r="A2426" s="1">
        <v>43752</v>
      </c>
      <c r="B2426">
        <v>1014</v>
      </c>
      <c r="C2426">
        <v>2019</v>
      </c>
      <c r="D2426">
        <v>17</v>
      </c>
      <c r="E2426">
        <v>10</v>
      </c>
      <c r="F2426">
        <v>666</v>
      </c>
      <c r="G2426">
        <v>54</v>
      </c>
      <c r="H2426">
        <f>SUMIFS($F$2:F2426,$C$2:C2426,C2426)</f>
        <v>31243</v>
      </c>
      <c r="I2426" s="8">
        <f>STAMP_Escapement_Data[[#This Row],[DATE]]-DATE(STAMP_Escapement_Data[[#This Row],[YEAR]],8,1)</f>
        <v>74</v>
      </c>
    </row>
    <row r="2427" spans="1:9" x14ac:dyDescent="0.25">
      <c r="A2427" s="1">
        <v>43753</v>
      </c>
      <c r="B2427">
        <v>1015</v>
      </c>
      <c r="C2427">
        <v>2019</v>
      </c>
      <c r="D2427">
        <v>13</v>
      </c>
      <c r="E2427">
        <v>2</v>
      </c>
      <c r="F2427">
        <v>787</v>
      </c>
      <c r="G2427">
        <v>62</v>
      </c>
      <c r="H2427">
        <f>SUMIFS($F$2:F2427,$C$2:C2427,C2427)</f>
        <v>32030</v>
      </c>
      <c r="I2427" s="8">
        <f>STAMP_Escapement_Data[[#This Row],[DATE]]-DATE(STAMP_Escapement_Data[[#This Row],[YEAR]],8,1)</f>
        <v>75</v>
      </c>
    </row>
    <row r="2428" spans="1:9" x14ac:dyDescent="0.25">
      <c r="A2428" s="1">
        <v>43754</v>
      </c>
      <c r="B2428">
        <v>1016</v>
      </c>
      <c r="C2428">
        <v>2019</v>
      </c>
      <c r="D2428">
        <v>63</v>
      </c>
      <c r="E2428">
        <v>19</v>
      </c>
      <c r="F2428">
        <v>1315</v>
      </c>
      <c r="G2428">
        <v>175</v>
      </c>
      <c r="H2428">
        <f>SUMIFS($F$2:F2428,$C$2:C2428,C2428)</f>
        <v>33345</v>
      </c>
      <c r="I2428" s="8">
        <f>STAMP_Escapement_Data[[#This Row],[DATE]]-DATE(STAMP_Escapement_Data[[#This Row],[YEAR]],8,1)</f>
        <v>76</v>
      </c>
    </row>
    <row r="2429" spans="1:9" x14ac:dyDescent="0.25">
      <c r="A2429" s="1">
        <v>43755</v>
      </c>
      <c r="B2429">
        <v>1017</v>
      </c>
      <c r="C2429">
        <v>2019</v>
      </c>
      <c r="D2429">
        <v>103</v>
      </c>
      <c r="E2429">
        <v>12</v>
      </c>
      <c r="F2429">
        <v>420</v>
      </c>
      <c r="G2429">
        <v>30</v>
      </c>
      <c r="H2429">
        <f>SUMIFS($F$2:F2429,$C$2:C2429,C2429)</f>
        <v>33765</v>
      </c>
      <c r="I2429" s="8">
        <f>STAMP_Escapement_Data[[#This Row],[DATE]]-DATE(STAMP_Escapement_Data[[#This Row],[YEAR]],8,1)</f>
        <v>77</v>
      </c>
    </row>
    <row r="2430" spans="1:9" x14ac:dyDescent="0.25">
      <c r="A2430" s="1">
        <v>43756</v>
      </c>
      <c r="B2430">
        <v>1018</v>
      </c>
      <c r="C2430">
        <v>2019</v>
      </c>
      <c r="D2430">
        <v>48</v>
      </c>
      <c r="E2430">
        <v>7</v>
      </c>
      <c r="F2430">
        <v>209</v>
      </c>
      <c r="G2430">
        <v>23</v>
      </c>
      <c r="H2430">
        <f>SUMIFS($F$2:F2430,$C$2:C2430,C2430)</f>
        <v>33974</v>
      </c>
      <c r="I2430" s="8">
        <f>STAMP_Escapement_Data[[#This Row],[DATE]]-DATE(STAMP_Escapement_Data[[#This Row],[YEAR]],8,1)</f>
        <v>78</v>
      </c>
    </row>
    <row r="2431" spans="1:9" x14ac:dyDescent="0.25">
      <c r="A2431" s="1">
        <v>43757</v>
      </c>
      <c r="B2431">
        <v>1019</v>
      </c>
      <c r="C2431">
        <v>2019</v>
      </c>
      <c r="D2431">
        <v>15</v>
      </c>
      <c r="E2431">
        <v>4</v>
      </c>
      <c r="F2431">
        <v>66</v>
      </c>
      <c r="G2431">
        <v>11</v>
      </c>
      <c r="H2431">
        <f>SUMIFS($F$2:F2431,$C$2:C2431,C2431)</f>
        <v>34040</v>
      </c>
      <c r="I2431" s="8">
        <f>STAMP_Escapement_Data[[#This Row],[DATE]]-DATE(STAMP_Escapement_Data[[#This Row],[YEAR]],8,1)</f>
        <v>79</v>
      </c>
    </row>
    <row r="2432" spans="1:9" x14ac:dyDescent="0.25">
      <c r="A2432" s="1">
        <v>43758</v>
      </c>
      <c r="B2432">
        <v>1020</v>
      </c>
      <c r="C2432">
        <v>2019</v>
      </c>
      <c r="D2432">
        <v>13</v>
      </c>
      <c r="E2432">
        <v>8</v>
      </c>
      <c r="F2432">
        <v>82</v>
      </c>
      <c r="G2432">
        <v>18</v>
      </c>
      <c r="H2432">
        <f>SUMIFS($F$2:F2432,$C$2:C2432,C2432)</f>
        <v>34122</v>
      </c>
      <c r="I2432" s="8">
        <f>STAMP_Escapement_Data[[#This Row],[DATE]]-DATE(STAMP_Escapement_Data[[#This Row],[YEAR]],8,1)</f>
        <v>80</v>
      </c>
    </row>
    <row r="2433" spans="1:9" x14ac:dyDescent="0.25">
      <c r="A2433" s="1">
        <v>43759</v>
      </c>
      <c r="B2433">
        <v>1021</v>
      </c>
      <c r="C2433">
        <v>2019</v>
      </c>
      <c r="D2433">
        <v>4</v>
      </c>
      <c r="E2433">
        <v>1</v>
      </c>
      <c r="F2433">
        <v>80</v>
      </c>
      <c r="G2433">
        <v>12</v>
      </c>
      <c r="H2433">
        <f>SUMIFS($F$2:F2433,$C$2:C2433,C2433)</f>
        <v>34202</v>
      </c>
      <c r="I2433" s="8">
        <f>STAMP_Escapement_Data[[#This Row],[DATE]]-DATE(STAMP_Escapement_Data[[#This Row],[YEAR]],8,1)</f>
        <v>81</v>
      </c>
    </row>
    <row r="2434" spans="1:9" x14ac:dyDescent="0.25">
      <c r="A2434" s="1">
        <v>43760</v>
      </c>
      <c r="B2434">
        <v>1022</v>
      </c>
      <c r="C2434">
        <v>2019</v>
      </c>
      <c r="D2434">
        <v>6</v>
      </c>
      <c r="E2434">
        <v>1</v>
      </c>
      <c r="F2434">
        <v>54</v>
      </c>
      <c r="G2434">
        <v>7</v>
      </c>
      <c r="H2434">
        <f>SUMIFS($F$2:F2434,$C$2:C2434,C2434)</f>
        <v>34256</v>
      </c>
      <c r="I2434" s="8">
        <f>STAMP_Escapement_Data[[#This Row],[DATE]]-DATE(STAMP_Escapement_Data[[#This Row],[YEAR]],8,1)</f>
        <v>82</v>
      </c>
    </row>
    <row r="2435" spans="1:9" x14ac:dyDescent="0.25">
      <c r="A2435" s="1">
        <v>43761</v>
      </c>
      <c r="B2435">
        <v>1023</v>
      </c>
      <c r="C2435">
        <v>2019</v>
      </c>
      <c r="D2435">
        <v>9</v>
      </c>
      <c r="E2435">
        <v>1</v>
      </c>
      <c r="F2435">
        <v>38</v>
      </c>
      <c r="G2435">
        <v>4</v>
      </c>
      <c r="H2435">
        <f>SUMIFS($F$2:F2435,$C$2:C2435,C2435)</f>
        <v>34294</v>
      </c>
      <c r="I2435" s="8">
        <f>STAMP_Escapement_Data[[#This Row],[DATE]]-DATE(STAMP_Escapement_Data[[#This Row],[YEAR]],8,1)</f>
        <v>83</v>
      </c>
    </row>
    <row r="2436" spans="1:9" x14ac:dyDescent="0.25">
      <c r="A2436" s="1">
        <v>43762</v>
      </c>
      <c r="B2436">
        <v>1024</v>
      </c>
      <c r="C2436">
        <v>2019</v>
      </c>
      <c r="D2436">
        <v>11</v>
      </c>
      <c r="E2436">
        <v>2</v>
      </c>
      <c r="F2436">
        <v>21</v>
      </c>
      <c r="G2436">
        <v>1</v>
      </c>
      <c r="H2436">
        <f>SUMIFS($F$2:F2436,$C$2:C2436,C2436)</f>
        <v>34315</v>
      </c>
      <c r="I2436" s="8">
        <f>STAMP_Escapement_Data[[#This Row],[DATE]]-DATE(STAMP_Escapement_Data[[#This Row],[YEAR]],8,1)</f>
        <v>84</v>
      </c>
    </row>
    <row r="2437" spans="1:9" x14ac:dyDescent="0.25">
      <c r="A2437" s="1">
        <v>43763</v>
      </c>
      <c r="B2437">
        <v>1025</v>
      </c>
      <c r="C2437">
        <v>2019</v>
      </c>
      <c r="D2437">
        <v>5</v>
      </c>
      <c r="E2437">
        <v>0</v>
      </c>
      <c r="F2437">
        <v>22</v>
      </c>
      <c r="G2437">
        <v>9</v>
      </c>
      <c r="H2437">
        <f>SUMIFS($F$2:F2437,$C$2:C2437,C2437)</f>
        <v>34337</v>
      </c>
      <c r="I2437" s="8">
        <f>STAMP_Escapement_Data[[#This Row],[DATE]]-DATE(STAMP_Escapement_Data[[#This Row],[YEAR]],8,1)</f>
        <v>85</v>
      </c>
    </row>
    <row r="2438" spans="1:9" x14ac:dyDescent="0.25">
      <c r="A2438" s="1">
        <v>43764</v>
      </c>
      <c r="B2438">
        <v>1026</v>
      </c>
      <c r="C2438">
        <v>2019</v>
      </c>
      <c r="D2438">
        <v>2</v>
      </c>
      <c r="E2438">
        <v>0</v>
      </c>
      <c r="F2438">
        <v>22</v>
      </c>
      <c r="G2438">
        <v>4</v>
      </c>
      <c r="H2438">
        <f>SUMIFS($F$2:F2438,$C$2:C2438,C2438)</f>
        <v>34359</v>
      </c>
      <c r="I2438" s="8">
        <f>STAMP_Escapement_Data[[#This Row],[DATE]]-DATE(STAMP_Escapement_Data[[#This Row],[YEAR]],8,1)</f>
        <v>86</v>
      </c>
    </row>
    <row r="2439" spans="1:9" x14ac:dyDescent="0.25">
      <c r="A2439" s="1">
        <v>43765</v>
      </c>
      <c r="B2439">
        <v>1027</v>
      </c>
      <c r="C2439">
        <v>2019</v>
      </c>
      <c r="D2439">
        <v>2</v>
      </c>
      <c r="E2439">
        <v>0</v>
      </c>
      <c r="F2439">
        <v>46</v>
      </c>
      <c r="G2439">
        <v>7</v>
      </c>
      <c r="H2439">
        <f>SUMIFS($F$2:F2439,$C$2:C2439,C2439)</f>
        <v>34405</v>
      </c>
      <c r="I2439" s="8">
        <f>STAMP_Escapement_Data[[#This Row],[DATE]]-DATE(STAMP_Escapement_Data[[#This Row],[YEAR]],8,1)</f>
        <v>87</v>
      </c>
    </row>
    <row r="2440" spans="1:9" x14ac:dyDescent="0.25">
      <c r="A2440" s="1">
        <v>43766</v>
      </c>
      <c r="B2440">
        <v>1028</v>
      </c>
      <c r="C2440">
        <v>2019</v>
      </c>
      <c r="D2440">
        <v>3</v>
      </c>
      <c r="E2440">
        <v>0</v>
      </c>
      <c r="F2440">
        <v>69</v>
      </c>
      <c r="G2440">
        <v>10</v>
      </c>
      <c r="H2440">
        <f>SUMIFS($F$2:F2440,$C$2:C2440,C2440)</f>
        <v>34474</v>
      </c>
      <c r="I2440" s="8">
        <f>STAMP_Escapement_Data[[#This Row],[DATE]]-DATE(STAMP_Escapement_Data[[#This Row],[YEAR]],8,1)</f>
        <v>88</v>
      </c>
    </row>
    <row r="2441" spans="1:9" x14ac:dyDescent="0.25">
      <c r="A2441" s="1">
        <v>43767</v>
      </c>
      <c r="B2441">
        <v>1029</v>
      </c>
      <c r="C2441">
        <v>2019</v>
      </c>
      <c r="D2441">
        <v>2</v>
      </c>
      <c r="E2441">
        <v>3</v>
      </c>
      <c r="F2441">
        <v>52</v>
      </c>
      <c r="G2441">
        <v>2</v>
      </c>
      <c r="H2441">
        <f>SUMIFS($F$2:F2441,$C$2:C2441,C2441)</f>
        <v>34526</v>
      </c>
      <c r="I2441" s="8">
        <f>STAMP_Escapement_Data[[#This Row],[DATE]]-DATE(STAMP_Escapement_Data[[#This Row],[YEAR]],8,1)</f>
        <v>89</v>
      </c>
    </row>
    <row r="2442" spans="1:9" x14ac:dyDescent="0.25">
      <c r="A2442" s="1">
        <v>43768</v>
      </c>
      <c r="B2442">
        <v>1030</v>
      </c>
      <c r="C2442">
        <v>2019</v>
      </c>
      <c r="D2442">
        <v>3</v>
      </c>
      <c r="E2442">
        <v>0</v>
      </c>
      <c r="F2442">
        <v>34</v>
      </c>
      <c r="G2442">
        <v>4</v>
      </c>
      <c r="H2442">
        <f>SUMIFS($F$2:F2442,$C$2:C2442,C2442)</f>
        <v>34560</v>
      </c>
      <c r="I2442" s="8">
        <f>STAMP_Escapement_Data[[#This Row],[DATE]]-DATE(STAMP_Escapement_Data[[#This Row],[YEAR]],8,1)</f>
        <v>90</v>
      </c>
    </row>
    <row r="2443" spans="1:9" x14ac:dyDescent="0.25">
      <c r="A2443" s="1">
        <v>43769</v>
      </c>
      <c r="B2443">
        <v>1031</v>
      </c>
      <c r="C2443">
        <v>2019</v>
      </c>
      <c r="D2443">
        <v>0</v>
      </c>
      <c r="E2443">
        <v>0</v>
      </c>
      <c r="F2443">
        <v>6</v>
      </c>
      <c r="G2443">
        <v>0</v>
      </c>
      <c r="H2443">
        <f>SUMIFS($F$2:F2443,$C$2:C2443,C2443)</f>
        <v>34566</v>
      </c>
      <c r="I2443" s="8">
        <f>STAMP_Escapement_Data[[#This Row],[DATE]]-DATE(STAMP_Escapement_Data[[#This Row],[YEAR]],8,1)</f>
        <v>91</v>
      </c>
    </row>
    <row r="2444" spans="1:9" x14ac:dyDescent="0.25">
      <c r="A2444" s="1">
        <v>43770</v>
      </c>
      <c r="B2444">
        <v>1101</v>
      </c>
      <c r="C2444">
        <v>2019</v>
      </c>
      <c r="D2444">
        <v>0</v>
      </c>
      <c r="E2444">
        <v>0</v>
      </c>
      <c r="F2444">
        <v>6</v>
      </c>
      <c r="G2444">
        <v>5</v>
      </c>
      <c r="H2444">
        <f>SUMIFS($F$2:F2444,$C$2:C2444,C2444)</f>
        <v>34572</v>
      </c>
      <c r="I2444" s="8">
        <f>STAMP_Escapement_Data[[#This Row],[DATE]]-DATE(STAMP_Escapement_Data[[#This Row],[YEAR]],8,1)</f>
        <v>92</v>
      </c>
    </row>
    <row r="2445" spans="1:9" x14ac:dyDescent="0.25">
      <c r="A2445" s="1">
        <v>43771</v>
      </c>
      <c r="B2445">
        <v>1102</v>
      </c>
      <c r="C2445">
        <v>2019</v>
      </c>
      <c r="D2445">
        <v>6</v>
      </c>
      <c r="E2445">
        <v>3</v>
      </c>
      <c r="F2445">
        <v>8</v>
      </c>
      <c r="G2445">
        <v>1</v>
      </c>
      <c r="H2445">
        <f>SUMIFS($F$2:F2445,$C$2:C2445,C2445)</f>
        <v>34580</v>
      </c>
      <c r="I2445" s="8">
        <f>STAMP_Escapement_Data[[#This Row],[DATE]]-DATE(STAMP_Escapement_Data[[#This Row],[YEAR]],8,1)</f>
        <v>93</v>
      </c>
    </row>
    <row r="2446" spans="1:9" x14ac:dyDescent="0.25">
      <c r="A2446" s="1">
        <v>43772</v>
      </c>
      <c r="B2446">
        <v>1103</v>
      </c>
      <c r="C2446">
        <v>2019</v>
      </c>
      <c r="D2446">
        <v>1</v>
      </c>
      <c r="E2446">
        <v>0</v>
      </c>
      <c r="F2446">
        <v>7</v>
      </c>
      <c r="G2446">
        <v>0</v>
      </c>
      <c r="H2446">
        <f>SUMIFS($F$2:F2446,$C$2:C2446,C2446)</f>
        <v>34587</v>
      </c>
      <c r="I2446" s="8">
        <f>STAMP_Escapement_Data[[#This Row],[DATE]]-DATE(STAMP_Escapement_Data[[#This Row],[YEAR]],8,1)</f>
        <v>94</v>
      </c>
    </row>
    <row r="2447" spans="1:9" x14ac:dyDescent="0.25">
      <c r="A2447" s="1">
        <v>43773</v>
      </c>
      <c r="B2447">
        <v>1104</v>
      </c>
      <c r="C2447">
        <v>2019</v>
      </c>
      <c r="D2447">
        <v>2</v>
      </c>
      <c r="E2447">
        <v>3</v>
      </c>
      <c r="F2447">
        <v>8</v>
      </c>
      <c r="G2447">
        <v>2</v>
      </c>
      <c r="H2447">
        <f>SUMIFS($F$2:F2447,$C$2:C2447,C2447)</f>
        <v>34595</v>
      </c>
      <c r="I2447" s="8">
        <f>STAMP_Escapement_Data[[#This Row],[DATE]]-DATE(STAMP_Escapement_Data[[#This Row],[YEAR]],8,1)</f>
        <v>95</v>
      </c>
    </row>
    <row r="2448" spans="1:9" x14ac:dyDescent="0.25">
      <c r="A2448" s="1">
        <v>43774</v>
      </c>
      <c r="B2448">
        <v>1105</v>
      </c>
      <c r="C2448">
        <v>2019</v>
      </c>
      <c r="D2448">
        <v>0</v>
      </c>
      <c r="E2448">
        <v>0</v>
      </c>
      <c r="F2448">
        <v>3</v>
      </c>
      <c r="G2448">
        <v>1</v>
      </c>
      <c r="H2448">
        <f>SUMIFS($F$2:F2448,$C$2:C2448,C2448)</f>
        <v>34598</v>
      </c>
      <c r="I2448" s="8">
        <f>STAMP_Escapement_Data[[#This Row],[DATE]]-DATE(STAMP_Escapement_Data[[#This Row],[YEAR]],8,1)</f>
        <v>96</v>
      </c>
    </row>
    <row r="2449" spans="1:9" x14ac:dyDescent="0.25">
      <c r="A2449" s="1">
        <v>43775</v>
      </c>
      <c r="B2449">
        <v>1106</v>
      </c>
      <c r="C2449">
        <v>2019</v>
      </c>
      <c r="D2449">
        <v>8</v>
      </c>
      <c r="E2449">
        <v>1</v>
      </c>
      <c r="F2449">
        <v>4</v>
      </c>
      <c r="G2449">
        <v>1</v>
      </c>
      <c r="H2449">
        <f>SUMIFS($F$2:F2449,$C$2:C2449,C2449)</f>
        <v>34602</v>
      </c>
      <c r="I2449" s="8">
        <f>STAMP_Escapement_Data[[#This Row],[DATE]]-DATE(STAMP_Escapement_Data[[#This Row],[YEAR]],8,1)</f>
        <v>97</v>
      </c>
    </row>
    <row r="2450" spans="1:9" x14ac:dyDescent="0.25">
      <c r="A2450" s="1">
        <v>43776</v>
      </c>
      <c r="B2450">
        <v>1107</v>
      </c>
      <c r="C2450">
        <v>2019</v>
      </c>
      <c r="D2450">
        <v>41</v>
      </c>
      <c r="E2450">
        <v>0</v>
      </c>
      <c r="F2450">
        <v>0</v>
      </c>
      <c r="G2450">
        <v>0</v>
      </c>
      <c r="H2450">
        <f>SUMIFS($F$2:F2450,$C$2:C2450,C2450)</f>
        <v>34602</v>
      </c>
      <c r="I2450" s="8">
        <f>STAMP_Escapement_Data[[#This Row],[DATE]]-DATE(STAMP_Escapement_Data[[#This Row],[YEAR]],8,1)</f>
        <v>98</v>
      </c>
    </row>
    <row r="2451" spans="1:9" x14ac:dyDescent="0.25">
      <c r="A2451" s="1">
        <v>43777</v>
      </c>
      <c r="B2451">
        <v>1108</v>
      </c>
      <c r="C2451">
        <v>2019</v>
      </c>
      <c r="D2451">
        <v>5</v>
      </c>
      <c r="E2451">
        <v>0</v>
      </c>
      <c r="F2451">
        <v>0</v>
      </c>
      <c r="G2451">
        <v>2</v>
      </c>
      <c r="H2451">
        <f>SUMIFS($F$2:F2451,$C$2:C2451,C2451)</f>
        <v>34602</v>
      </c>
      <c r="I2451" s="8">
        <f>STAMP_Escapement_Data[[#This Row],[DATE]]-DATE(STAMP_Escapement_Data[[#This Row],[YEAR]],8,1)</f>
        <v>99</v>
      </c>
    </row>
    <row r="2452" spans="1:9" x14ac:dyDescent="0.25">
      <c r="A2452" s="1">
        <v>43778</v>
      </c>
      <c r="B2452">
        <v>1109</v>
      </c>
      <c r="C2452">
        <v>2019</v>
      </c>
      <c r="D2452">
        <v>18</v>
      </c>
      <c r="E2452">
        <v>0</v>
      </c>
      <c r="F2452">
        <v>3</v>
      </c>
      <c r="G2452">
        <v>0</v>
      </c>
      <c r="H2452">
        <f>SUMIFS($F$2:F2452,$C$2:C2452,C2452)</f>
        <v>34605</v>
      </c>
      <c r="I2452" s="8">
        <f>STAMP_Escapement_Data[[#This Row],[DATE]]-DATE(STAMP_Escapement_Data[[#This Row],[YEAR]],8,1)</f>
        <v>100</v>
      </c>
    </row>
    <row r="2453" spans="1:9" x14ac:dyDescent="0.25">
      <c r="A2453" s="1">
        <v>43779</v>
      </c>
      <c r="B2453">
        <v>1110</v>
      </c>
      <c r="C2453">
        <v>2019</v>
      </c>
      <c r="D2453">
        <v>3</v>
      </c>
      <c r="E2453">
        <v>0</v>
      </c>
      <c r="F2453">
        <v>1</v>
      </c>
      <c r="G2453">
        <v>2</v>
      </c>
      <c r="H2453">
        <f>SUMIFS($F$2:F2453,$C$2:C2453,C2453)</f>
        <v>34606</v>
      </c>
      <c r="I2453" s="8">
        <f>STAMP_Escapement_Data[[#This Row],[DATE]]-DATE(STAMP_Escapement_Data[[#This Row],[YEAR]],8,1)</f>
        <v>101</v>
      </c>
    </row>
    <row r="2454" spans="1:9" x14ac:dyDescent="0.25">
      <c r="A2454" s="1">
        <v>43780</v>
      </c>
      <c r="B2454">
        <v>1111</v>
      </c>
      <c r="C2454">
        <v>2019</v>
      </c>
      <c r="D2454">
        <v>0</v>
      </c>
      <c r="E2454">
        <v>0</v>
      </c>
      <c r="F2454">
        <v>0</v>
      </c>
      <c r="G2454">
        <v>0</v>
      </c>
      <c r="H2454">
        <f>SUMIFS($F$2:F2454,$C$2:C2454,C2454)</f>
        <v>34606</v>
      </c>
      <c r="I2454" s="8">
        <f>STAMP_Escapement_Data[[#This Row],[DATE]]-DATE(STAMP_Escapement_Data[[#This Row],[YEAR]],8,1)</f>
        <v>102</v>
      </c>
    </row>
    <row r="2455" spans="1:9" x14ac:dyDescent="0.25">
      <c r="A2455" s="1">
        <v>43781</v>
      </c>
      <c r="B2455">
        <v>1112</v>
      </c>
      <c r="C2455">
        <v>2019</v>
      </c>
      <c r="D2455">
        <v>2</v>
      </c>
      <c r="E2455">
        <v>0</v>
      </c>
      <c r="F2455">
        <v>1</v>
      </c>
      <c r="G2455">
        <v>0</v>
      </c>
      <c r="H2455">
        <f>SUMIFS($F$2:F2455,$C$2:C2455,C2455)</f>
        <v>34607</v>
      </c>
      <c r="I2455" s="8">
        <f>STAMP_Escapement_Data[[#This Row],[DATE]]-DATE(STAMP_Escapement_Data[[#This Row],[YEAR]],8,1)</f>
        <v>103</v>
      </c>
    </row>
    <row r="2456" spans="1:9" x14ac:dyDescent="0.25">
      <c r="A2456" s="1">
        <v>43782</v>
      </c>
      <c r="B2456">
        <v>1113</v>
      </c>
      <c r="C2456">
        <v>2019</v>
      </c>
      <c r="D2456">
        <v>4</v>
      </c>
      <c r="E2456">
        <v>1</v>
      </c>
      <c r="F2456">
        <v>0</v>
      </c>
      <c r="G2456">
        <v>0</v>
      </c>
      <c r="H2456">
        <f>SUMIFS($F$2:F2456,$C$2:C2456,C2456)</f>
        <v>34607</v>
      </c>
      <c r="I2456" s="8">
        <f>STAMP_Escapement_Data[[#This Row],[DATE]]-DATE(STAMP_Escapement_Data[[#This Row],[YEAR]],8,1)</f>
        <v>104</v>
      </c>
    </row>
    <row r="2457" spans="1:9" x14ac:dyDescent="0.25">
      <c r="A2457" s="1">
        <v>43783</v>
      </c>
      <c r="B2457">
        <v>1114</v>
      </c>
      <c r="C2457">
        <v>2019</v>
      </c>
      <c r="D2457">
        <v>0</v>
      </c>
      <c r="E2457">
        <v>0</v>
      </c>
      <c r="F2457">
        <v>0</v>
      </c>
      <c r="G2457">
        <v>0</v>
      </c>
      <c r="H2457">
        <f>SUMIFS($F$2:F2457,$C$2:C2457,C2457)</f>
        <v>34607</v>
      </c>
      <c r="I2457" s="8">
        <f>STAMP_Escapement_Data[[#This Row],[DATE]]-DATE(STAMP_Escapement_Data[[#This Row],[YEAR]],8,1)</f>
        <v>105</v>
      </c>
    </row>
    <row r="2458" spans="1:9" x14ac:dyDescent="0.25">
      <c r="A2458" s="1">
        <v>43784</v>
      </c>
      <c r="B2458">
        <v>1115</v>
      </c>
      <c r="C2458">
        <v>2019</v>
      </c>
      <c r="D2458">
        <v>6</v>
      </c>
      <c r="E2458">
        <v>2</v>
      </c>
      <c r="F2458">
        <v>0</v>
      </c>
      <c r="G2458">
        <v>0</v>
      </c>
      <c r="H2458">
        <f>SUMIFS($F$2:F2458,$C$2:C2458,C2458)</f>
        <v>34607</v>
      </c>
      <c r="I2458" s="8">
        <f>STAMP_Escapement_Data[[#This Row],[DATE]]-DATE(STAMP_Escapement_Data[[#This Row],[YEAR]],8,1)</f>
        <v>106</v>
      </c>
    </row>
    <row r="2459" spans="1:9" x14ac:dyDescent="0.25">
      <c r="A2459" s="1">
        <v>43785</v>
      </c>
      <c r="B2459">
        <v>1116</v>
      </c>
      <c r="C2459">
        <v>2019</v>
      </c>
      <c r="D2459">
        <v>13</v>
      </c>
      <c r="E2459">
        <v>5</v>
      </c>
      <c r="F2459">
        <v>0</v>
      </c>
      <c r="G2459">
        <v>0</v>
      </c>
      <c r="H2459">
        <f>SUMIFS($F$2:F2459,$C$2:C2459,C2459)</f>
        <v>34607</v>
      </c>
      <c r="I2459" s="8">
        <f>STAMP_Escapement_Data[[#This Row],[DATE]]-DATE(STAMP_Escapement_Data[[#This Row],[YEAR]],8,1)</f>
        <v>107</v>
      </c>
    </row>
    <row r="2460" spans="1:9" x14ac:dyDescent="0.25">
      <c r="A2460" s="1">
        <v>43786</v>
      </c>
      <c r="B2460">
        <v>1117</v>
      </c>
      <c r="C2460">
        <v>2019</v>
      </c>
      <c r="D2460">
        <v>3</v>
      </c>
      <c r="E2460">
        <v>0</v>
      </c>
      <c r="F2460">
        <v>0</v>
      </c>
      <c r="G2460">
        <v>0</v>
      </c>
      <c r="H2460">
        <f>SUMIFS($F$2:F2460,$C$2:C2460,C2460)</f>
        <v>34607</v>
      </c>
      <c r="I2460" s="8">
        <f>STAMP_Escapement_Data[[#This Row],[DATE]]-DATE(STAMP_Escapement_Data[[#This Row],[YEAR]],8,1)</f>
        <v>108</v>
      </c>
    </row>
    <row r="2461" spans="1:9" x14ac:dyDescent="0.25">
      <c r="A2461" s="1">
        <v>43787</v>
      </c>
      <c r="B2461">
        <v>1118</v>
      </c>
      <c r="C2461">
        <v>2019</v>
      </c>
      <c r="D2461">
        <v>0</v>
      </c>
      <c r="E2461">
        <v>2</v>
      </c>
      <c r="F2461">
        <v>0</v>
      </c>
      <c r="G2461">
        <v>0</v>
      </c>
      <c r="H2461">
        <f>SUMIFS($F$2:F2461,$C$2:C2461,C2461)</f>
        <v>34607</v>
      </c>
      <c r="I2461" s="8">
        <f>STAMP_Escapement_Data[[#This Row],[DATE]]-DATE(STAMP_Escapement_Data[[#This Row],[YEAR]],8,1)</f>
        <v>109</v>
      </c>
    </row>
    <row r="2462" spans="1:9" x14ac:dyDescent="0.25">
      <c r="A2462" s="1">
        <v>44043</v>
      </c>
      <c r="B2462">
        <v>731</v>
      </c>
      <c r="C2462">
        <v>2020</v>
      </c>
      <c r="D2462">
        <v>4</v>
      </c>
      <c r="E2462">
        <v>5</v>
      </c>
      <c r="F2462">
        <v>33</v>
      </c>
      <c r="G2462">
        <v>0</v>
      </c>
      <c r="H2462">
        <f>SUMIFS($F$2:F2462,$C$2:C2462,C2462)</f>
        <v>33</v>
      </c>
      <c r="I2462" s="8">
        <f>STAMP_Escapement_Data[[#This Row],[DATE]]-DATE(STAMP_Escapement_Data[[#This Row],[YEAR]],8,1)</f>
        <v>-1</v>
      </c>
    </row>
    <row r="2463" spans="1:9" x14ac:dyDescent="0.25">
      <c r="A2463" s="1">
        <v>44044</v>
      </c>
      <c r="B2463">
        <v>801</v>
      </c>
      <c r="C2463">
        <v>2020</v>
      </c>
      <c r="D2463">
        <v>1</v>
      </c>
      <c r="E2463">
        <v>0</v>
      </c>
      <c r="F2463">
        <v>1</v>
      </c>
      <c r="G2463">
        <v>0</v>
      </c>
      <c r="H2463">
        <f>SUMIFS($F$2:F2463,$C$2:C2463,C2463)</f>
        <v>34</v>
      </c>
      <c r="I2463" s="8">
        <f>STAMP_Escapement_Data[[#This Row],[DATE]]-DATE(STAMP_Escapement_Data[[#This Row],[YEAR]],8,1)</f>
        <v>0</v>
      </c>
    </row>
    <row r="2464" spans="1:9" x14ac:dyDescent="0.25">
      <c r="A2464" s="1">
        <v>44045</v>
      </c>
      <c r="B2464">
        <v>802</v>
      </c>
      <c r="C2464">
        <v>2020</v>
      </c>
      <c r="D2464">
        <v>3</v>
      </c>
      <c r="E2464">
        <v>0</v>
      </c>
      <c r="F2464">
        <v>4</v>
      </c>
      <c r="G2464">
        <v>0</v>
      </c>
      <c r="H2464">
        <f>SUMIFS($F$2:F2464,$C$2:C2464,C2464)</f>
        <v>38</v>
      </c>
      <c r="I2464" s="8">
        <f>STAMP_Escapement_Data[[#This Row],[DATE]]-DATE(STAMP_Escapement_Data[[#This Row],[YEAR]],8,1)</f>
        <v>1</v>
      </c>
    </row>
    <row r="2465" spans="1:9" x14ac:dyDescent="0.25">
      <c r="A2465" s="1">
        <v>44046</v>
      </c>
      <c r="B2465">
        <v>803</v>
      </c>
      <c r="C2465">
        <v>2020</v>
      </c>
      <c r="D2465">
        <v>6</v>
      </c>
      <c r="E2465">
        <v>0</v>
      </c>
      <c r="F2465">
        <v>6</v>
      </c>
      <c r="G2465">
        <v>0</v>
      </c>
      <c r="H2465">
        <f>SUMIFS($F$2:F2465,$C$2:C2465,C2465)</f>
        <v>44</v>
      </c>
      <c r="I2465" s="8">
        <f>STAMP_Escapement_Data[[#This Row],[DATE]]-DATE(STAMP_Escapement_Data[[#This Row],[YEAR]],8,1)</f>
        <v>2</v>
      </c>
    </row>
    <row r="2466" spans="1:9" x14ac:dyDescent="0.25">
      <c r="A2466" s="1">
        <v>44047</v>
      </c>
      <c r="B2466">
        <v>804</v>
      </c>
      <c r="C2466">
        <v>2020</v>
      </c>
      <c r="D2466">
        <v>6</v>
      </c>
      <c r="E2466">
        <v>0</v>
      </c>
      <c r="F2466">
        <v>3</v>
      </c>
      <c r="G2466">
        <v>0</v>
      </c>
      <c r="H2466">
        <f>SUMIFS($F$2:F2466,$C$2:C2466,C2466)</f>
        <v>47</v>
      </c>
      <c r="I2466" s="8">
        <f>STAMP_Escapement_Data[[#This Row],[DATE]]-DATE(STAMP_Escapement_Data[[#This Row],[YEAR]],8,1)</f>
        <v>3</v>
      </c>
    </row>
    <row r="2467" spans="1:9" x14ac:dyDescent="0.25">
      <c r="A2467" s="1">
        <v>44048</v>
      </c>
      <c r="B2467">
        <v>805</v>
      </c>
      <c r="C2467">
        <v>2020</v>
      </c>
      <c r="D2467">
        <v>4</v>
      </c>
      <c r="E2467">
        <v>0</v>
      </c>
      <c r="F2467">
        <v>11</v>
      </c>
      <c r="G2467">
        <v>0</v>
      </c>
      <c r="H2467">
        <f>SUMIFS($F$2:F2467,$C$2:C2467,C2467)</f>
        <v>58</v>
      </c>
      <c r="I2467" s="8">
        <f>STAMP_Escapement_Data[[#This Row],[DATE]]-DATE(STAMP_Escapement_Data[[#This Row],[YEAR]],8,1)</f>
        <v>4</v>
      </c>
    </row>
    <row r="2468" spans="1:9" x14ac:dyDescent="0.25">
      <c r="A2468" s="1">
        <v>44049</v>
      </c>
      <c r="B2468">
        <v>806</v>
      </c>
      <c r="C2468">
        <v>2020</v>
      </c>
      <c r="D2468">
        <v>0</v>
      </c>
      <c r="E2468">
        <v>1</v>
      </c>
      <c r="F2468">
        <v>12</v>
      </c>
      <c r="G2468">
        <v>0</v>
      </c>
      <c r="H2468">
        <f>SUMIFS($F$2:F2468,$C$2:C2468,C2468)</f>
        <v>70</v>
      </c>
      <c r="I2468" s="8">
        <f>STAMP_Escapement_Data[[#This Row],[DATE]]-DATE(STAMP_Escapement_Data[[#This Row],[YEAR]],8,1)</f>
        <v>5</v>
      </c>
    </row>
    <row r="2469" spans="1:9" x14ac:dyDescent="0.25">
      <c r="A2469" s="1">
        <v>44050</v>
      </c>
      <c r="B2469">
        <v>807</v>
      </c>
      <c r="C2469">
        <v>2020</v>
      </c>
      <c r="D2469">
        <v>4</v>
      </c>
      <c r="E2469">
        <v>1</v>
      </c>
      <c r="F2469">
        <v>5</v>
      </c>
      <c r="G2469">
        <v>0</v>
      </c>
      <c r="H2469">
        <f>SUMIFS($F$2:F2469,$C$2:C2469,C2469)</f>
        <v>75</v>
      </c>
      <c r="I2469" s="8">
        <f>STAMP_Escapement_Data[[#This Row],[DATE]]-DATE(STAMP_Escapement_Data[[#This Row],[YEAR]],8,1)</f>
        <v>6</v>
      </c>
    </row>
    <row r="2470" spans="1:9" x14ac:dyDescent="0.25">
      <c r="A2470" s="1">
        <v>44051</v>
      </c>
      <c r="B2470">
        <v>808</v>
      </c>
      <c r="C2470">
        <v>2020</v>
      </c>
      <c r="D2470">
        <v>2</v>
      </c>
      <c r="E2470">
        <v>3</v>
      </c>
      <c r="F2470">
        <v>14</v>
      </c>
      <c r="G2470">
        <v>0</v>
      </c>
      <c r="H2470">
        <f>SUMIFS($F$2:F2470,$C$2:C2470,C2470)</f>
        <v>89</v>
      </c>
      <c r="I2470" s="8">
        <f>STAMP_Escapement_Data[[#This Row],[DATE]]-DATE(STAMP_Escapement_Data[[#This Row],[YEAR]],8,1)</f>
        <v>7</v>
      </c>
    </row>
    <row r="2471" spans="1:9" x14ac:dyDescent="0.25">
      <c r="A2471" s="1">
        <v>44052</v>
      </c>
      <c r="B2471">
        <v>809</v>
      </c>
      <c r="C2471">
        <v>2020</v>
      </c>
      <c r="D2471">
        <v>7</v>
      </c>
      <c r="E2471">
        <v>0</v>
      </c>
      <c r="F2471">
        <v>11</v>
      </c>
      <c r="G2471">
        <v>1</v>
      </c>
      <c r="H2471">
        <f>SUMIFS($F$2:F2471,$C$2:C2471,C2471)</f>
        <v>100</v>
      </c>
      <c r="I2471" s="8">
        <f>STAMP_Escapement_Data[[#This Row],[DATE]]-DATE(STAMP_Escapement_Data[[#This Row],[YEAR]],8,1)</f>
        <v>8</v>
      </c>
    </row>
    <row r="2472" spans="1:9" x14ac:dyDescent="0.25">
      <c r="A2472" s="1">
        <v>44053</v>
      </c>
      <c r="B2472">
        <v>810</v>
      </c>
      <c r="C2472">
        <v>2020</v>
      </c>
      <c r="D2472">
        <v>11</v>
      </c>
      <c r="E2472">
        <v>0</v>
      </c>
      <c r="F2472">
        <v>44</v>
      </c>
      <c r="G2472">
        <v>0</v>
      </c>
      <c r="H2472">
        <f>SUMIFS($F$2:F2472,$C$2:C2472,C2472)</f>
        <v>144</v>
      </c>
      <c r="I2472" s="8">
        <f>STAMP_Escapement_Data[[#This Row],[DATE]]-DATE(STAMP_Escapement_Data[[#This Row],[YEAR]],8,1)</f>
        <v>9</v>
      </c>
    </row>
    <row r="2473" spans="1:9" x14ac:dyDescent="0.25">
      <c r="A2473" s="1">
        <v>44054</v>
      </c>
      <c r="B2473">
        <v>811</v>
      </c>
      <c r="C2473">
        <v>2020</v>
      </c>
      <c r="D2473">
        <v>5</v>
      </c>
      <c r="E2473">
        <v>2</v>
      </c>
      <c r="F2473">
        <v>43</v>
      </c>
      <c r="G2473">
        <v>1</v>
      </c>
      <c r="H2473">
        <f>SUMIFS($F$2:F2473,$C$2:C2473,C2473)</f>
        <v>187</v>
      </c>
      <c r="I2473" s="8">
        <f>STAMP_Escapement_Data[[#This Row],[DATE]]-DATE(STAMP_Escapement_Data[[#This Row],[YEAR]],8,1)</f>
        <v>10</v>
      </c>
    </row>
    <row r="2474" spans="1:9" x14ac:dyDescent="0.25">
      <c r="A2474" s="1">
        <v>44055</v>
      </c>
      <c r="B2474">
        <v>812</v>
      </c>
      <c r="C2474">
        <v>2020</v>
      </c>
      <c r="D2474">
        <v>13</v>
      </c>
      <c r="E2474">
        <v>5</v>
      </c>
      <c r="F2474">
        <v>33</v>
      </c>
      <c r="G2474">
        <v>2</v>
      </c>
      <c r="H2474">
        <f>SUMIFS($F$2:F2474,$C$2:C2474,C2474)</f>
        <v>220</v>
      </c>
      <c r="I2474" s="8">
        <f>STAMP_Escapement_Data[[#This Row],[DATE]]-DATE(STAMP_Escapement_Data[[#This Row],[YEAR]],8,1)</f>
        <v>11</v>
      </c>
    </row>
    <row r="2475" spans="1:9" x14ac:dyDescent="0.25">
      <c r="A2475" s="1">
        <v>44056</v>
      </c>
      <c r="B2475">
        <v>813</v>
      </c>
      <c r="C2475">
        <v>2020</v>
      </c>
      <c r="D2475">
        <v>7</v>
      </c>
      <c r="E2475">
        <v>6</v>
      </c>
      <c r="F2475">
        <v>49</v>
      </c>
      <c r="G2475">
        <v>0</v>
      </c>
      <c r="H2475">
        <f>SUMIFS($F$2:F2475,$C$2:C2475,C2475)</f>
        <v>269</v>
      </c>
      <c r="I2475" s="8">
        <f>STAMP_Escapement_Data[[#This Row],[DATE]]-DATE(STAMP_Escapement_Data[[#This Row],[YEAR]],8,1)</f>
        <v>12</v>
      </c>
    </row>
    <row r="2476" spans="1:9" x14ac:dyDescent="0.25">
      <c r="A2476" s="1">
        <v>44057</v>
      </c>
      <c r="B2476">
        <v>814</v>
      </c>
      <c r="C2476">
        <v>2020</v>
      </c>
      <c r="D2476">
        <v>11</v>
      </c>
      <c r="E2476">
        <v>0</v>
      </c>
      <c r="F2476">
        <v>53</v>
      </c>
      <c r="G2476">
        <v>0</v>
      </c>
      <c r="H2476">
        <f>SUMIFS($F$2:F2476,$C$2:C2476,C2476)</f>
        <v>322</v>
      </c>
      <c r="I2476" s="8">
        <f>STAMP_Escapement_Data[[#This Row],[DATE]]-DATE(STAMP_Escapement_Data[[#This Row],[YEAR]],8,1)</f>
        <v>13</v>
      </c>
    </row>
    <row r="2477" spans="1:9" x14ac:dyDescent="0.25">
      <c r="A2477" s="1">
        <v>44058</v>
      </c>
      <c r="B2477">
        <v>815</v>
      </c>
      <c r="C2477">
        <v>2020</v>
      </c>
      <c r="D2477">
        <v>19</v>
      </c>
      <c r="E2477">
        <v>10</v>
      </c>
      <c r="F2477">
        <v>91</v>
      </c>
      <c r="G2477">
        <v>4</v>
      </c>
      <c r="H2477">
        <f>SUMIFS($F$2:F2477,$C$2:C2477,C2477)</f>
        <v>413</v>
      </c>
      <c r="I2477" s="8">
        <f>STAMP_Escapement_Data[[#This Row],[DATE]]-DATE(STAMP_Escapement_Data[[#This Row],[YEAR]],8,1)</f>
        <v>14</v>
      </c>
    </row>
    <row r="2478" spans="1:9" x14ac:dyDescent="0.25">
      <c r="A2478" s="1">
        <v>44059</v>
      </c>
      <c r="B2478">
        <v>816</v>
      </c>
      <c r="C2478">
        <v>2020</v>
      </c>
      <c r="D2478">
        <v>14</v>
      </c>
      <c r="E2478">
        <v>7</v>
      </c>
      <c r="F2478">
        <v>79</v>
      </c>
      <c r="G2478">
        <v>2</v>
      </c>
      <c r="H2478">
        <f>SUMIFS($F$2:F2478,$C$2:C2478,C2478)</f>
        <v>492</v>
      </c>
      <c r="I2478" s="8">
        <f>STAMP_Escapement_Data[[#This Row],[DATE]]-DATE(STAMP_Escapement_Data[[#This Row],[YEAR]],8,1)</f>
        <v>15</v>
      </c>
    </row>
    <row r="2479" spans="1:9" x14ac:dyDescent="0.25">
      <c r="A2479" s="1">
        <v>44060</v>
      </c>
      <c r="B2479">
        <v>817</v>
      </c>
      <c r="C2479">
        <v>2020</v>
      </c>
      <c r="D2479">
        <v>10</v>
      </c>
      <c r="E2479">
        <v>4</v>
      </c>
      <c r="F2479">
        <v>67</v>
      </c>
      <c r="G2479">
        <v>1</v>
      </c>
      <c r="H2479">
        <f>SUMIFS($F$2:F2479,$C$2:C2479,C2479)</f>
        <v>559</v>
      </c>
      <c r="I2479" s="8">
        <f>STAMP_Escapement_Data[[#This Row],[DATE]]-DATE(STAMP_Escapement_Data[[#This Row],[YEAR]],8,1)</f>
        <v>16</v>
      </c>
    </row>
    <row r="2480" spans="1:9" x14ac:dyDescent="0.25">
      <c r="A2480" s="1">
        <v>44061</v>
      </c>
      <c r="B2480">
        <v>818</v>
      </c>
      <c r="C2480">
        <v>2020</v>
      </c>
      <c r="D2480">
        <v>6</v>
      </c>
      <c r="E2480">
        <v>6</v>
      </c>
      <c r="F2480">
        <v>114</v>
      </c>
      <c r="G2480">
        <v>2</v>
      </c>
      <c r="H2480">
        <f>SUMIFS($F$2:F2480,$C$2:C2480,C2480)</f>
        <v>673</v>
      </c>
      <c r="I2480" s="8">
        <f>STAMP_Escapement_Data[[#This Row],[DATE]]-DATE(STAMP_Escapement_Data[[#This Row],[YEAR]],8,1)</f>
        <v>17</v>
      </c>
    </row>
    <row r="2481" spans="1:9" x14ac:dyDescent="0.25">
      <c r="A2481" s="1">
        <v>44062</v>
      </c>
      <c r="B2481">
        <v>819</v>
      </c>
      <c r="C2481">
        <v>2020</v>
      </c>
      <c r="D2481">
        <v>15</v>
      </c>
      <c r="E2481">
        <v>4</v>
      </c>
      <c r="F2481">
        <v>69</v>
      </c>
      <c r="G2481">
        <v>0</v>
      </c>
      <c r="H2481">
        <f>SUMIFS($F$2:F2481,$C$2:C2481,C2481)</f>
        <v>742</v>
      </c>
      <c r="I2481" s="8">
        <f>STAMP_Escapement_Data[[#This Row],[DATE]]-DATE(STAMP_Escapement_Data[[#This Row],[YEAR]],8,1)</f>
        <v>18</v>
      </c>
    </row>
    <row r="2482" spans="1:9" x14ac:dyDescent="0.25">
      <c r="A2482" s="1">
        <v>44063</v>
      </c>
      <c r="B2482">
        <v>820</v>
      </c>
      <c r="C2482">
        <v>2020</v>
      </c>
      <c r="D2482">
        <v>8</v>
      </c>
      <c r="E2482">
        <v>6</v>
      </c>
      <c r="F2482">
        <v>179</v>
      </c>
      <c r="G2482">
        <v>15</v>
      </c>
      <c r="H2482">
        <f>SUMIFS($F$2:F2482,$C$2:C2482,C2482)</f>
        <v>921</v>
      </c>
      <c r="I2482" s="8">
        <f>STAMP_Escapement_Data[[#This Row],[DATE]]-DATE(STAMP_Escapement_Data[[#This Row],[YEAR]],8,1)</f>
        <v>19</v>
      </c>
    </row>
    <row r="2483" spans="1:9" x14ac:dyDescent="0.25">
      <c r="A2483" s="1">
        <v>44064</v>
      </c>
      <c r="B2483">
        <v>821</v>
      </c>
      <c r="C2483">
        <v>2020</v>
      </c>
      <c r="D2483">
        <v>17</v>
      </c>
      <c r="E2483">
        <v>1</v>
      </c>
      <c r="F2483">
        <v>124</v>
      </c>
      <c r="G2483">
        <v>7</v>
      </c>
      <c r="H2483">
        <f>SUMIFS($F$2:F2483,$C$2:C2483,C2483)</f>
        <v>1045</v>
      </c>
      <c r="I2483" s="8">
        <f>STAMP_Escapement_Data[[#This Row],[DATE]]-DATE(STAMP_Escapement_Data[[#This Row],[YEAR]],8,1)</f>
        <v>20</v>
      </c>
    </row>
    <row r="2484" spans="1:9" x14ac:dyDescent="0.25">
      <c r="A2484" s="1">
        <v>44065</v>
      </c>
      <c r="B2484">
        <v>822</v>
      </c>
      <c r="C2484">
        <v>2020</v>
      </c>
      <c r="D2484">
        <v>57</v>
      </c>
      <c r="E2484">
        <v>18</v>
      </c>
      <c r="F2484">
        <v>268</v>
      </c>
      <c r="G2484">
        <v>24</v>
      </c>
      <c r="H2484">
        <f>SUMIFS($F$2:F2484,$C$2:C2484,C2484)</f>
        <v>1313</v>
      </c>
      <c r="I2484" s="8">
        <f>STAMP_Escapement_Data[[#This Row],[DATE]]-DATE(STAMP_Escapement_Data[[#This Row],[YEAR]],8,1)</f>
        <v>21</v>
      </c>
    </row>
    <row r="2485" spans="1:9" x14ac:dyDescent="0.25">
      <c r="A2485" s="1">
        <v>44066</v>
      </c>
      <c r="B2485">
        <v>823</v>
      </c>
      <c r="C2485">
        <v>2020</v>
      </c>
      <c r="D2485">
        <v>88</v>
      </c>
      <c r="E2485">
        <v>12</v>
      </c>
      <c r="F2485">
        <v>599</v>
      </c>
      <c r="G2485">
        <v>0</v>
      </c>
      <c r="H2485">
        <f>SUMIFS($F$2:F2485,$C$2:C2485,C2485)</f>
        <v>1912</v>
      </c>
      <c r="I2485" s="8">
        <f>STAMP_Escapement_Data[[#This Row],[DATE]]-DATE(STAMP_Escapement_Data[[#This Row],[YEAR]],8,1)</f>
        <v>22</v>
      </c>
    </row>
    <row r="2486" spans="1:9" x14ac:dyDescent="0.25">
      <c r="A2486" s="1">
        <v>44067</v>
      </c>
      <c r="B2486">
        <v>824</v>
      </c>
      <c r="C2486">
        <v>2020</v>
      </c>
      <c r="D2486">
        <v>61</v>
      </c>
      <c r="E2486">
        <v>17</v>
      </c>
      <c r="F2486">
        <v>451</v>
      </c>
      <c r="G2486">
        <v>6</v>
      </c>
      <c r="H2486">
        <f>SUMIFS($F$2:F2486,$C$2:C2486,C2486)</f>
        <v>2363</v>
      </c>
      <c r="I2486" s="8">
        <f>STAMP_Escapement_Data[[#This Row],[DATE]]-DATE(STAMP_Escapement_Data[[#This Row],[YEAR]],8,1)</f>
        <v>23</v>
      </c>
    </row>
    <row r="2487" spans="1:9" x14ac:dyDescent="0.25">
      <c r="A2487" s="1">
        <v>44068</v>
      </c>
      <c r="B2487">
        <v>825</v>
      </c>
      <c r="C2487">
        <v>2020</v>
      </c>
      <c r="D2487">
        <v>58</v>
      </c>
      <c r="E2487">
        <v>44</v>
      </c>
      <c r="F2487">
        <v>436</v>
      </c>
      <c r="G2487">
        <v>6</v>
      </c>
      <c r="H2487">
        <f>SUMIFS($F$2:F2487,$C$2:C2487,C2487)</f>
        <v>2799</v>
      </c>
      <c r="I2487" s="8">
        <f>STAMP_Escapement_Data[[#This Row],[DATE]]-DATE(STAMP_Escapement_Data[[#This Row],[YEAR]],8,1)</f>
        <v>24</v>
      </c>
    </row>
    <row r="2488" spans="1:9" x14ac:dyDescent="0.25">
      <c r="A2488" s="1">
        <v>44069</v>
      </c>
      <c r="B2488">
        <v>826</v>
      </c>
      <c r="C2488">
        <v>2020</v>
      </c>
      <c r="D2488">
        <v>43</v>
      </c>
      <c r="E2488">
        <v>32</v>
      </c>
      <c r="F2488">
        <v>409</v>
      </c>
      <c r="G2488">
        <v>19</v>
      </c>
      <c r="H2488">
        <f>SUMIFS($F$2:F2488,$C$2:C2488,C2488)</f>
        <v>3208</v>
      </c>
      <c r="I2488" s="8">
        <f>STAMP_Escapement_Data[[#This Row],[DATE]]-DATE(STAMP_Escapement_Data[[#This Row],[YEAR]],8,1)</f>
        <v>25</v>
      </c>
    </row>
    <row r="2489" spans="1:9" x14ac:dyDescent="0.25">
      <c r="A2489" s="1">
        <v>44070</v>
      </c>
      <c r="B2489">
        <v>827</v>
      </c>
      <c r="C2489">
        <v>2020</v>
      </c>
      <c r="D2489">
        <v>67</v>
      </c>
      <c r="E2489">
        <v>78</v>
      </c>
      <c r="F2489">
        <v>362</v>
      </c>
      <c r="G2489">
        <v>10</v>
      </c>
      <c r="H2489">
        <f>SUMIFS($F$2:F2489,$C$2:C2489,C2489)</f>
        <v>3570</v>
      </c>
      <c r="I2489" s="8">
        <f>STAMP_Escapement_Data[[#This Row],[DATE]]-DATE(STAMP_Escapement_Data[[#This Row],[YEAR]],8,1)</f>
        <v>26</v>
      </c>
    </row>
    <row r="2490" spans="1:9" x14ac:dyDescent="0.25">
      <c r="A2490" s="1">
        <v>44071</v>
      </c>
      <c r="B2490">
        <v>828</v>
      </c>
      <c r="C2490">
        <v>2020</v>
      </c>
      <c r="D2490">
        <v>70</v>
      </c>
      <c r="E2490">
        <v>34</v>
      </c>
      <c r="F2490">
        <v>398</v>
      </c>
      <c r="G2490">
        <v>19</v>
      </c>
      <c r="H2490">
        <f>SUMIFS($F$2:F2490,$C$2:C2490,C2490)</f>
        <v>3968</v>
      </c>
      <c r="I2490" s="8">
        <f>STAMP_Escapement_Data[[#This Row],[DATE]]-DATE(STAMP_Escapement_Data[[#This Row],[YEAR]],8,1)</f>
        <v>27</v>
      </c>
    </row>
    <row r="2491" spans="1:9" x14ac:dyDescent="0.25">
      <c r="A2491" s="1">
        <v>44072</v>
      </c>
      <c r="B2491">
        <v>829</v>
      </c>
      <c r="C2491">
        <v>2020</v>
      </c>
      <c r="D2491">
        <v>90</v>
      </c>
      <c r="E2491">
        <v>12</v>
      </c>
      <c r="F2491">
        <v>507</v>
      </c>
      <c r="G2491">
        <v>39</v>
      </c>
      <c r="H2491">
        <f>SUMIFS($F$2:F2491,$C$2:C2491,C2491)</f>
        <v>4475</v>
      </c>
      <c r="I2491" s="8">
        <f>STAMP_Escapement_Data[[#This Row],[DATE]]-DATE(STAMP_Escapement_Data[[#This Row],[YEAR]],8,1)</f>
        <v>28</v>
      </c>
    </row>
    <row r="2492" spans="1:9" x14ac:dyDescent="0.25">
      <c r="A2492" s="1">
        <v>44073</v>
      </c>
      <c r="B2492">
        <v>830</v>
      </c>
      <c r="C2492">
        <v>2020</v>
      </c>
      <c r="D2492">
        <v>66</v>
      </c>
      <c r="E2492">
        <v>9</v>
      </c>
      <c r="F2492">
        <v>609</v>
      </c>
      <c r="G2492">
        <v>60</v>
      </c>
      <c r="H2492">
        <f>SUMIFS($F$2:F2492,$C$2:C2492,C2492)</f>
        <v>5084</v>
      </c>
      <c r="I2492" s="8">
        <f>STAMP_Escapement_Data[[#This Row],[DATE]]-DATE(STAMP_Escapement_Data[[#This Row],[YEAR]],8,1)</f>
        <v>29</v>
      </c>
    </row>
    <row r="2493" spans="1:9" x14ac:dyDescent="0.25">
      <c r="A2493" s="1">
        <v>44074</v>
      </c>
      <c r="B2493">
        <v>831</v>
      </c>
      <c r="C2493">
        <v>2020</v>
      </c>
      <c r="D2493">
        <v>174</v>
      </c>
      <c r="E2493">
        <v>100</v>
      </c>
      <c r="F2493">
        <v>591</v>
      </c>
      <c r="G2493">
        <v>41</v>
      </c>
      <c r="H2493">
        <f>SUMIFS($F$2:F2493,$C$2:C2493,C2493)</f>
        <v>5675</v>
      </c>
      <c r="I2493" s="8">
        <f>STAMP_Escapement_Data[[#This Row],[DATE]]-DATE(STAMP_Escapement_Data[[#This Row],[YEAR]],8,1)</f>
        <v>30</v>
      </c>
    </row>
    <row r="2494" spans="1:9" x14ac:dyDescent="0.25">
      <c r="A2494" s="1">
        <v>44075</v>
      </c>
      <c r="B2494">
        <v>901</v>
      </c>
      <c r="C2494">
        <v>2020</v>
      </c>
      <c r="D2494">
        <v>206</v>
      </c>
      <c r="E2494">
        <v>90</v>
      </c>
      <c r="F2494">
        <v>406</v>
      </c>
      <c r="G2494">
        <v>59</v>
      </c>
      <c r="H2494">
        <f>SUMIFS($F$2:F2494,$C$2:C2494,C2494)</f>
        <v>6081</v>
      </c>
      <c r="I2494" s="8">
        <f>STAMP_Escapement_Data[[#This Row],[DATE]]-DATE(STAMP_Escapement_Data[[#This Row],[YEAR]],8,1)</f>
        <v>31</v>
      </c>
    </row>
    <row r="2495" spans="1:9" x14ac:dyDescent="0.25">
      <c r="A2495" s="1">
        <v>44076</v>
      </c>
      <c r="B2495">
        <v>902</v>
      </c>
      <c r="C2495">
        <v>2020</v>
      </c>
      <c r="D2495">
        <v>341</v>
      </c>
      <c r="E2495">
        <v>83</v>
      </c>
      <c r="F2495">
        <v>674</v>
      </c>
      <c r="G2495">
        <v>64</v>
      </c>
      <c r="H2495">
        <f>SUMIFS($F$2:F2495,$C$2:C2495,C2495)</f>
        <v>6755</v>
      </c>
      <c r="I2495" s="8">
        <f>STAMP_Escapement_Data[[#This Row],[DATE]]-DATE(STAMP_Escapement_Data[[#This Row],[YEAR]],8,1)</f>
        <v>32</v>
      </c>
    </row>
    <row r="2496" spans="1:9" x14ac:dyDescent="0.25">
      <c r="A2496" s="1">
        <v>44077</v>
      </c>
      <c r="B2496">
        <v>903</v>
      </c>
      <c r="C2496">
        <v>2020</v>
      </c>
      <c r="D2496">
        <v>194</v>
      </c>
      <c r="E2496">
        <v>90</v>
      </c>
      <c r="F2496">
        <v>374</v>
      </c>
      <c r="G2496">
        <v>29</v>
      </c>
      <c r="H2496">
        <f>SUMIFS($F$2:F2496,$C$2:C2496,C2496)</f>
        <v>7129</v>
      </c>
      <c r="I2496" s="8">
        <f>STAMP_Escapement_Data[[#This Row],[DATE]]-DATE(STAMP_Escapement_Data[[#This Row],[YEAR]],8,1)</f>
        <v>33</v>
      </c>
    </row>
    <row r="2497" spans="1:9" x14ac:dyDescent="0.25">
      <c r="A2497" s="1">
        <v>44078</v>
      </c>
      <c r="B2497">
        <v>904</v>
      </c>
      <c r="C2497">
        <v>2020</v>
      </c>
      <c r="D2497">
        <v>216</v>
      </c>
      <c r="E2497">
        <v>56</v>
      </c>
      <c r="F2497">
        <v>448</v>
      </c>
      <c r="G2497">
        <v>24</v>
      </c>
      <c r="H2497">
        <f>SUMIFS($F$2:F2497,$C$2:C2497,C2497)</f>
        <v>7577</v>
      </c>
      <c r="I2497" s="8">
        <f>STAMP_Escapement_Data[[#This Row],[DATE]]-DATE(STAMP_Escapement_Data[[#This Row],[YEAR]],8,1)</f>
        <v>34</v>
      </c>
    </row>
    <row r="2498" spans="1:9" x14ac:dyDescent="0.25">
      <c r="A2498" s="1">
        <v>44079</v>
      </c>
      <c r="B2498">
        <v>905</v>
      </c>
      <c r="C2498">
        <v>2020</v>
      </c>
      <c r="D2498">
        <v>154</v>
      </c>
      <c r="E2498">
        <v>58</v>
      </c>
      <c r="F2498">
        <v>510</v>
      </c>
      <c r="G2498">
        <v>24</v>
      </c>
      <c r="H2498">
        <f>SUMIFS($F$2:F2498,$C$2:C2498,C2498)</f>
        <v>8087</v>
      </c>
      <c r="I2498" s="8">
        <f>STAMP_Escapement_Data[[#This Row],[DATE]]-DATE(STAMP_Escapement_Data[[#This Row],[YEAR]],8,1)</f>
        <v>35</v>
      </c>
    </row>
    <row r="2499" spans="1:9" x14ac:dyDescent="0.25">
      <c r="A2499" s="1">
        <v>44080</v>
      </c>
      <c r="B2499">
        <v>906</v>
      </c>
      <c r="C2499">
        <v>2020</v>
      </c>
      <c r="D2499">
        <v>289</v>
      </c>
      <c r="E2499">
        <v>46</v>
      </c>
      <c r="F2499">
        <v>323</v>
      </c>
      <c r="G2499">
        <v>70</v>
      </c>
      <c r="H2499">
        <f>SUMIFS($F$2:F2499,$C$2:C2499,C2499)</f>
        <v>8410</v>
      </c>
      <c r="I2499" s="8">
        <f>STAMP_Escapement_Data[[#This Row],[DATE]]-DATE(STAMP_Escapement_Data[[#This Row],[YEAR]],8,1)</f>
        <v>36</v>
      </c>
    </row>
    <row r="2500" spans="1:9" x14ac:dyDescent="0.25">
      <c r="A2500" s="1">
        <v>44081</v>
      </c>
      <c r="B2500">
        <v>907</v>
      </c>
      <c r="C2500">
        <v>2020</v>
      </c>
      <c r="D2500">
        <v>153</v>
      </c>
      <c r="E2500">
        <v>48</v>
      </c>
      <c r="F2500">
        <v>509</v>
      </c>
      <c r="G2500">
        <v>12</v>
      </c>
      <c r="H2500">
        <f>SUMIFS($F$2:F2500,$C$2:C2500,C2500)</f>
        <v>8919</v>
      </c>
      <c r="I2500" s="8">
        <f>STAMP_Escapement_Data[[#This Row],[DATE]]-DATE(STAMP_Escapement_Data[[#This Row],[YEAR]],8,1)</f>
        <v>37</v>
      </c>
    </row>
    <row r="2501" spans="1:9" x14ac:dyDescent="0.25">
      <c r="A2501" s="1">
        <v>44082</v>
      </c>
      <c r="B2501">
        <v>908</v>
      </c>
      <c r="C2501">
        <v>2020</v>
      </c>
      <c r="D2501">
        <v>256</v>
      </c>
      <c r="E2501">
        <v>56</v>
      </c>
      <c r="F2501">
        <v>483</v>
      </c>
      <c r="G2501">
        <v>25</v>
      </c>
      <c r="H2501">
        <f>SUMIFS($F$2:F2501,$C$2:C2501,C2501)</f>
        <v>9402</v>
      </c>
      <c r="I2501" s="8">
        <f>STAMP_Escapement_Data[[#This Row],[DATE]]-DATE(STAMP_Escapement_Data[[#This Row],[YEAR]],8,1)</f>
        <v>38</v>
      </c>
    </row>
    <row r="2502" spans="1:9" x14ac:dyDescent="0.25">
      <c r="A2502" s="1">
        <v>44083</v>
      </c>
      <c r="B2502">
        <v>909</v>
      </c>
      <c r="C2502">
        <v>2020</v>
      </c>
      <c r="D2502">
        <v>359</v>
      </c>
      <c r="E2502">
        <v>64</v>
      </c>
      <c r="F2502">
        <v>457</v>
      </c>
      <c r="G2502">
        <v>38</v>
      </c>
      <c r="H2502">
        <f>SUMIFS($F$2:F2502,$C$2:C2502,C2502)</f>
        <v>9859</v>
      </c>
      <c r="I2502" s="8">
        <f>STAMP_Escapement_Data[[#This Row],[DATE]]-DATE(STAMP_Escapement_Data[[#This Row],[YEAR]],8,1)</f>
        <v>39</v>
      </c>
    </row>
    <row r="2503" spans="1:9" x14ac:dyDescent="0.25">
      <c r="A2503" s="1">
        <v>44084</v>
      </c>
      <c r="B2503">
        <v>910</v>
      </c>
      <c r="C2503">
        <v>2020</v>
      </c>
      <c r="D2503">
        <v>338</v>
      </c>
      <c r="E2503">
        <v>64</v>
      </c>
      <c r="F2503">
        <v>587</v>
      </c>
      <c r="G2503">
        <v>72</v>
      </c>
      <c r="H2503">
        <f>SUMIFS($F$2:F2503,$C$2:C2503,C2503)</f>
        <v>10446</v>
      </c>
      <c r="I2503" s="8">
        <f>STAMP_Escapement_Data[[#This Row],[DATE]]-DATE(STAMP_Escapement_Data[[#This Row],[YEAR]],8,1)</f>
        <v>40</v>
      </c>
    </row>
    <row r="2504" spans="1:9" x14ac:dyDescent="0.25">
      <c r="A2504" s="1">
        <v>44085</v>
      </c>
      <c r="B2504">
        <v>911</v>
      </c>
      <c r="C2504">
        <v>2020</v>
      </c>
      <c r="D2504">
        <v>213</v>
      </c>
      <c r="E2504">
        <v>11</v>
      </c>
      <c r="F2504">
        <v>404</v>
      </c>
      <c r="G2504">
        <v>11</v>
      </c>
      <c r="H2504">
        <f>SUMIFS($F$2:F2504,$C$2:C2504,C2504)</f>
        <v>10850</v>
      </c>
      <c r="I2504" s="8">
        <f>STAMP_Escapement_Data[[#This Row],[DATE]]-DATE(STAMP_Escapement_Data[[#This Row],[YEAR]],8,1)</f>
        <v>41</v>
      </c>
    </row>
    <row r="2505" spans="1:9" x14ac:dyDescent="0.25">
      <c r="A2505" s="1">
        <v>44086</v>
      </c>
      <c r="B2505">
        <v>912</v>
      </c>
      <c r="C2505">
        <v>2020</v>
      </c>
      <c r="D2505">
        <v>218</v>
      </c>
      <c r="E2505">
        <v>20</v>
      </c>
      <c r="F2505">
        <v>360</v>
      </c>
      <c r="G2505">
        <v>34</v>
      </c>
      <c r="H2505">
        <f>SUMIFS($F$2:F2505,$C$2:C2505,C2505)</f>
        <v>11210</v>
      </c>
      <c r="I2505" s="8">
        <f>STAMP_Escapement_Data[[#This Row],[DATE]]-DATE(STAMP_Escapement_Data[[#This Row],[YEAR]],8,1)</f>
        <v>42</v>
      </c>
    </row>
    <row r="2506" spans="1:9" x14ac:dyDescent="0.25">
      <c r="A2506" s="1">
        <v>44087</v>
      </c>
      <c r="B2506">
        <v>913</v>
      </c>
      <c r="C2506">
        <v>2020</v>
      </c>
      <c r="D2506">
        <v>390</v>
      </c>
      <c r="E2506">
        <v>32</v>
      </c>
      <c r="F2506">
        <v>636</v>
      </c>
      <c r="G2506">
        <v>40</v>
      </c>
      <c r="H2506">
        <f>SUMIFS($F$2:F2506,$C$2:C2506,C2506)</f>
        <v>11846</v>
      </c>
      <c r="I2506" s="8">
        <f>STAMP_Escapement_Data[[#This Row],[DATE]]-DATE(STAMP_Escapement_Data[[#This Row],[YEAR]],8,1)</f>
        <v>43</v>
      </c>
    </row>
    <row r="2507" spans="1:9" x14ac:dyDescent="0.25">
      <c r="A2507" s="1">
        <v>44088</v>
      </c>
      <c r="B2507">
        <v>914</v>
      </c>
      <c r="C2507">
        <v>2020</v>
      </c>
      <c r="D2507">
        <v>347</v>
      </c>
      <c r="E2507">
        <v>27</v>
      </c>
      <c r="F2507">
        <v>454</v>
      </c>
      <c r="G2507">
        <v>27</v>
      </c>
      <c r="H2507">
        <f>SUMIFS($F$2:F2507,$C$2:C2507,C2507)</f>
        <v>12300</v>
      </c>
      <c r="I2507" s="8">
        <f>STAMP_Escapement_Data[[#This Row],[DATE]]-DATE(STAMP_Escapement_Data[[#This Row],[YEAR]],8,1)</f>
        <v>44</v>
      </c>
    </row>
    <row r="2508" spans="1:9" x14ac:dyDescent="0.25">
      <c r="A2508" s="1">
        <v>44089</v>
      </c>
      <c r="B2508">
        <v>915</v>
      </c>
      <c r="C2508">
        <v>2020</v>
      </c>
      <c r="D2508">
        <v>363</v>
      </c>
      <c r="E2508">
        <v>15</v>
      </c>
      <c r="F2508">
        <v>543</v>
      </c>
      <c r="G2508">
        <v>63</v>
      </c>
      <c r="H2508">
        <f>SUMIFS($F$2:F2508,$C$2:C2508,C2508)</f>
        <v>12843</v>
      </c>
      <c r="I2508" s="8">
        <f>STAMP_Escapement_Data[[#This Row],[DATE]]-DATE(STAMP_Escapement_Data[[#This Row],[YEAR]],8,1)</f>
        <v>45</v>
      </c>
    </row>
    <row r="2509" spans="1:9" x14ac:dyDescent="0.25">
      <c r="A2509" s="1">
        <v>44090</v>
      </c>
      <c r="B2509">
        <v>916</v>
      </c>
      <c r="C2509">
        <v>2020</v>
      </c>
      <c r="D2509">
        <v>615</v>
      </c>
      <c r="E2509">
        <v>64</v>
      </c>
      <c r="F2509">
        <v>557</v>
      </c>
      <c r="G2509">
        <v>35</v>
      </c>
      <c r="H2509">
        <f>SUMIFS($F$2:F2509,$C$2:C2509,C2509)</f>
        <v>13400</v>
      </c>
      <c r="I2509" s="8">
        <f>STAMP_Escapement_Data[[#This Row],[DATE]]-DATE(STAMP_Escapement_Data[[#This Row],[YEAR]],8,1)</f>
        <v>46</v>
      </c>
    </row>
    <row r="2510" spans="1:9" x14ac:dyDescent="0.25">
      <c r="A2510" s="1">
        <v>44091</v>
      </c>
      <c r="B2510">
        <v>917</v>
      </c>
      <c r="C2510">
        <v>2020</v>
      </c>
      <c r="D2510">
        <v>672</v>
      </c>
      <c r="E2510">
        <v>81</v>
      </c>
      <c r="F2510">
        <v>690</v>
      </c>
      <c r="G2510">
        <v>108</v>
      </c>
      <c r="H2510">
        <f>SUMIFS($F$2:F2510,$C$2:C2510,C2510)</f>
        <v>14090</v>
      </c>
      <c r="I2510" s="8">
        <f>STAMP_Escapement_Data[[#This Row],[DATE]]-DATE(STAMP_Escapement_Data[[#This Row],[YEAR]],8,1)</f>
        <v>47</v>
      </c>
    </row>
    <row r="2511" spans="1:9" x14ac:dyDescent="0.25">
      <c r="A2511" s="1">
        <v>44092</v>
      </c>
      <c r="B2511">
        <v>918</v>
      </c>
      <c r="C2511">
        <v>2020</v>
      </c>
      <c r="D2511">
        <v>526</v>
      </c>
      <c r="E2511">
        <v>80</v>
      </c>
      <c r="F2511">
        <v>522</v>
      </c>
      <c r="G2511">
        <v>78</v>
      </c>
      <c r="H2511">
        <f>SUMIFS($F$2:F2511,$C$2:C2511,C2511)</f>
        <v>14612</v>
      </c>
      <c r="I2511" s="8">
        <f>STAMP_Escapement_Data[[#This Row],[DATE]]-DATE(STAMP_Escapement_Data[[#This Row],[YEAR]],8,1)</f>
        <v>48</v>
      </c>
    </row>
    <row r="2512" spans="1:9" x14ac:dyDescent="0.25">
      <c r="A2512" s="1">
        <v>44093</v>
      </c>
      <c r="B2512">
        <v>919</v>
      </c>
      <c r="C2512">
        <v>2020</v>
      </c>
      <c r="D2512">
        <v>398</v>
      </c>
      <c r="E2512">
        <v>46</v>
      </c>
      <c r="F2512">
        <v>616</v>
      </c>
      <c r="G2512">
        <v>30</v>
      </c>
      <c r="H2512">
        <f>SUMIFS($F$2:F2512,$C$2:C2512,C2512)</f>
        <v>15228</v>
      </c>
      <c r="I2512" s="8">
        <f>STAMP_Escapement_Data[[#This Row],[DATE]]-DATE(STAMP_Escapement_Data[[#This Row],[YEAR]],8,1)</f>
        <v>49</v>
      </c>
    </row>
    <row r="2513" spans="1:9" x14ac:dyDescent="0.25">
      <c r="A2513" s="1">
        <v>44094</v>
      </c>
      <c r="B2513">
        <v>920</v>
      </c>
      <c r="C2513">
        <v>2020</v>
      </c>
      <c r="D2513">
        <v>452</v>
      </c>
      <c r="E2513">
        <v>74</v>
      </c>
      <c r="F2513">
        <v>684</v>
      </c>
      <c r="G2513">
        <v>46</v>
      </c>
      <c r="H2513">
        <f>SUMIFS($F$2:F2513,$C$2:C2513,C2513)</f>
        <v>15912</v>
      </c>
      <c r="I2513" s="8">
        <f>STAMP_Escapement_Data[[#This Row],[DATE]]-DATE(STAMP_Escapement_Data[[#This Row],[YEAR]],8,1)</f>
        <v>50</v>
      </c>
    </row>
    <row r="2514" spans="1:9" x14ac:dyDescent="0.25">
      <c r="A2514" s="1">
        <v>44095</v>
      </c>
      <c r="B2514">
        <v>921</v>
      </c>
      <c r="C2514">
        <v>2020</v>
      </c>
      <c r="D2514">
        <v>507</v>
      </c>
      <c r="E2514">
        <v>102</v>
      </c>
      <c r="F2514">
        <v>753</v>
      </c>
      <c r="G2514">
        <v>63</v>
      </c>
      <c r="H2514">
        <f>SUMIFS($F$2:F2514,$C$2:C2514,C2514)</f>
        <v>16665</v>
      </c>
      <c r="I2514" s="8">
        <f>STAMP_Escapement_Data[[#This Row],[DATE]]-DATE(STAMP_Escapement_Data[[#This Row],[YEAR]],8,1)</f>
        <v>51</v>
      </c>
    </row>
    <row r="2515" spans="1:9" x14ac:dyDescent="0.25">
      <c r="A2515" s="1">
        <v>44096</v>
      </c>
      <c r="B2515">
        <v>922</v>
      </c>
      <c r="C2515">
        <v>2020</v>
      </c>
      <c r="D2515">
        <v>69</v>
      </c>
      <c r="E2515">
        <v>18</v>
      </c>
      <c r="F2515">
        <v>291</v>
      </c>
      <c r="G2515">
        <v>6</v>
      </c>
      <c r="H2515">
        <f>SUMIFS($F$2:F2515,$C$2:C2515,C2515)</f>
        <v>16956</v>
      </c>
      <c r="I2515" s="8">
        <f>STAMP_Escapement_Data[[#This Row],[DATE]]-DATE(STAMP_Escapement_Data[[#This Row],[YEAR]],8,1)</f>
        <v>52</v>
      </c>
    </row>
    <row r="2516" spans="1:9" x14ac:dyDescent="0.25">
      <c r="A2516" s="1">
        <v>44097</v>
      </c>
      <c r="B2516">
        <v>923</v>
      </c>
      <c r="C2516">
        <v>2020</v>
      </c>
      <c r="D2516">
        <v>207</v>
      </c>
      <c r="E2516">
        <v>78</v>
      </c>
      <c r="F2516">
        <v>906</v>
      </c>
      <c r="G2516">
        <v>60</v>
      </c>
      <c r="H2516">
        <f>SUMIFS($F$2:F2516,$C$2:C2516,C2516)</f>
        <v>17862</v>
      </c>
      <c r="I2516" s="8">
        <f>STAMP_Escapement_Data[[#This Row],[DATE]]-DATE(STAMP_Escapement_Data[[#This Row],[YEAR]],8,1)</f>
        <v>53</v>
      </c>
    </row>
    <row r="2517" spans="1:9" x14ac:dyDescent="0.25">
      <c r="A2517" s="1">
        <v>44098</v>
      </c>
      <c r="B2517">
        <v>924</v>
      </c>
      <c r="C2517">
        <v>2020</v>
      </c>
      <c r="D2517">
        <v>264</v>
      </c>
      <c r="E2517">
        <v>9</v>
      </c>
      <c r="F2517">
        <v>1164</v>
      </c>
      <c r="G2517">
        <v>51</v>
      </c>
      <c r="H2517">
        <f>SUMIFS($F$2:F2517,$C$2:C2517,C2517)</f>
        <v>19026</v>
      </c>
      <c r="I2517" s="8">
        <f>STAMP_Escapement_Data[[#This Row],[DATE]]-DATE(STAMP_Escapement_Data[[#This Row],[YEAR]],8,1)</f>
        <v>54</v>
      </c>
    </row>
    <row r="2518" spans="1:9" x14ac:dyDescent="0.25">
      <c r="A2518" s="1">
        <v>44099</v>
      </c>
      <c r="B2518">
        <v>925</v>
      </c>
      <c r="C2518">
        <v>2020</v>
      </c>
      <c r="D2518">
        <v>468</v>
      </c>
      <c r="E2518">
        <v>42</v>
      </c>
      <c r="F2518">
        <v>3192</v>
      </c>
      <c r="G2518">
        <v>75</v>
      </c>
      <c r="H2518">
        <f>SUMIFS($F$2:F2518,$C$2:C2518,C2518)</f>
        <v>22218</v>
      </c>
      <c r="I2518" s="8">
        <f>STAMP_Escapement_Data[[#This Row],[DATE]]-DATE(STAMP_Escapement_Data[[#This Row],[YEAR]],8,1)</f>
        <v>55</v>
      </c>
    </row>
    <row r="2519" spans="1:9" x14ac:dyDescent="0.25">
      <c r="A2519" s="1">
        <v>44100</v>
      </c>
      <c r="B2519">
        <v>926</v>
      </c>
      <c r="C2519">
        <v>2020</v>
      </c>
      <c r="D2519">
        <v>277</v>
      </c>
      <c r="E2519">
        <v>20</v>
      </c>
      <c r="F2519">
        <v>2272</v>
      </c>
      <c r="G2519">
        <v>41</v>
      </c>
      <c r="H2519">
        <f>SUMIFS($F$2:F2519,$C$2:C2519,C2519)</f>
        <v>24490</v>
      </c>
      <c r="I2519" s="8">
        <f>STAMP_Escapement_Data[[#This Row],[DATE]]-DATE(STAMP_Escapement_Data[[#This Row],[YEAR]],8,1)</f>
        <v>56</v>
      </c>
    </row>
    <row r="2520" spans="1:9" x14ac:dyDescent="0.25">
      <c r="A2520" s="1">
        <v>44101</v>
      </c>
      <c r="B2520">
        <v>927</v>
      </c>
      <c r="C2520">
        <v>2020</v>
      </c>
      <c r="D2520">
        <v>48</v>
      </c>
      <c r="E2520">
        <v>12</v>
      </c>
      <c r="F2520">
        <v>996</v>
      </c>
      <c r="G2520">
        <v>30</v>
      </c>
      <c r="H2520">
        <f>SUMIFS($F$2:F2520,$C$2:C2520,C2520)</f>
        <v>25486</v>
      </c>
      <c r="I2520" s="8">
        <f>STAMP_Escapement_Data[[#This Row],[DATE]]-DATE(STAMP_Escapement_Data[[#This Row],[YEAR]],8,1)</f>
        <v>57</v>
      </c>
    </row>
    <row r="2521" spans="1:9" x14ac:dyDescent="0.25">
      <c r="A2521" s="1">
        <v>44102</v>
      </c>
      <c r="B2521">
        <v>928</v>
      </c>
      <c r="C2521">
        <v>2020</v>
      </c>
      <c r="D2521">
        <v>162</v>
      </c>
      <c r="E2521">
        <v>24</v>
      </c>
      <c r="F2521">
        <v>1056</v>
      </c>
      <c r="G2521">
        <v>54</v>
      </c>
      <c r="H2521">
        <f>SUMIFS($F$2:F2521,$C$2:C2521,C2521)</f>
        <v>26542</v>
      </c>
      <c r="I2521" s="8">
        <f>STAMP_Escapement_Data[[#This Row],[DATE]]-DATE(STAMP_Escapement_Data[[#This Row],[YEAR]],8,1)</f>
        <v>58</v>
      </c>
    </row>
    <row r="2522" spans="1:9" x14ac:dyDescent="0.25">
      <c r="A2522" s="1">
        <v>44103</v>
      </c>
      <c r="B2522">
        <v>929</v>
      </c>
      <c r="C2522">
        <v>2020</v>
      </c>
      <c r="D2522">
        <v>384</v>
      </c>
      <c r="E2522">
        <v>54</v>
      </c>
      <c r="F2522">
        <v>1170</v>
      </c>
      <c r="G2522">
        <v>96</v>
      </c>
      <c r="H2522">
        <f>SUMIFS($F$2:F2522,$C$2:C2522,C2522)</f>
        <v>27712</v>
      </c>
      <c r="I2522" s="8">
        <f>STAMP_Escapement_Data[[#This Row],[DATE]]-DATE(STAMP_Escapement_Data[[#This Row],[YEAR]],8,1)</f>
        <v>59</v>
      </c>
    </row>
    <row r="2523" spans="1:9" x14ac:dyDescent="0.25">
      <c r="A2523" s="1">
        <v>44104</v>
      </c>
      <c r="B2523">
        <v>930</v>
      </c>
      <c r="C2523">
        <v>2020</v>
      </c>
      <c r="D2523">
        <v>303</v>
      </c>
      <c r="E2523">
        <v>45</v>
      </c>
      <c r="F2523">
        <v>1062</v>
      </c>
      <c r="G2523">
        <v>78</v>
      </c>
      <c r="H2523">
        <f>SUMIFS($F$2:F2523,$C$2:C2523,C2523)</f>
        <v>28774</v>
      </c>
      <c r="I2523" s="8">
        <f>STAMP_Escapement_Data[[#This Row],[DATE]]-DATE(STAMP_Escapement_Data[[#This Row],[YEAR]],8,1)</f>
        <v>60</v>
      </c>
    </row>
    <row r="2524" spans="1:9" x14ac:dyDescent="0.25">
      <c r="A2524" s="1">
        <v>44105</v>
      </c>
      <c r="B2524">
        <v>1001</v>
      </c>
      <c r="C2524">
        <v>2020</v>
      </c>
      <c r="D2524">
        <v>222</v>
      </c>
      <c r="E2524">
        <v>57</v>
      </c>
      <c r="F2524">
        <v>1047</v>
      </c>
      <c r="G2524">
        <v>48</v>
      </c>
      <c r="H2524">
        <f>SUMIFS($F$2:F2524,$C$2:C2524,C2524)</f>
        <v>29821</v>
      </c>
      <c r="I2524" s="8">
        <f>STAMP_Escapement_Data[[#This Row],[DATE]]-DATE(STAMP_Escapement_Data[[#This Row],[YEAR]],8,1)</f>
        <v>61</v>
      </c>
    </row>
    <row r="2525" spans="1:9" x14ac:dyDescent="0.25">
      <c r="A2525" s="1">
        <v>44106</v>
      </c>
      <c r="B2525">
        <v>1002</v>
      </c>
      <c r="C2525">
        <v>2020</v>
      </c>
      <c r="D2525">
        <v>285</v>
      </c>
      <c r="E2525">
        <v>27</v>
      </c>
      <c r="F2525">
        <v>961</v>
      </c>
      <c r="G2525">
        <v>50</v>
      </c>
      <c r="H2525">
        <f>SUMIFS($F$2:F2525,$C$2:C2525,C2525)</f>
        <v>30782</v>
      </c>
      <c r="I2525" s="8">
        <f>STAMP_Escapement_Data[[#This Row],[DATE]]-DATE(STAMP_Escapement_Data[[#This Row],[YEAR]],8,1)</f>
        <v>62</v>
      </c>
    </row>
    <row r="2526" spans="1:9" x14ac:dyDescent="0.25">
      <c r="A2526" s="1">
        <v>44107</v>
      </c>
      <c r="B2526">
        <v>1003</v>
      </c>
      <c r="C2526">
        <v>2020</v>
      </c>
      <c r="D2526">
        <v>220</v>
      </c>
      <c r="E2526">
        <v>26</v>
      </c>
      <c r="F2526">
        <v>1264</v>
      </c>
      <c r="G2526">
        <v>60</v>
      </c>
      <c r="H2526">
        <f>SUMIFS($F$2:F2526,$C$2:C2526,C2526)</f>
        <v>32046</v>
      </c>
      <c r="I2526" s="8">
        <f>STAMP_Escapement_Data[[#This Row],[DATE]]-DATE(STAMP_Escapement_Data[[#This Row],[YEAR]],8,1)</f>
        <v>63</v>
      </c>
    </row>
    <row r="2527" spans="1:9" x14ac:dyDescent="0.25">
      <c r="A2527" s="1">
        <v>44108</v>
      </c>
      <c r="B2527">
        <v>1004</v>
      </c>
      <c r="C2527">
        <v>2020</v>
      </c>
      <c r="D2527">
        <v>163</v>
      </c>
      <c r="E2527">
        <v>5</v>
      </c>
      <c r="F2527">
        <v>1195</v>
      </c>
      <c r="G2527">
        <v>18</v>
      </c>
      <c r="H2527">
        <f>SUMIFS($F$2:F2527,$C$2:C2527,C2527)</f>
        <v>33241</v>
      </c>
      <c r="I2527" s="8">
        <f>STAMP_Escapement_Data[[#This Row],[DATE]]-DATE(STAMP_Escapement_Data[[#This Row],[YEAR]],8,1)</f>
        <v>64</v>
      </c>
    </row>
    <row r="2528" spans="1:9" x14ac:dyDescent="0.25">
      <c r="A2528" s="1">
        <v>44109</v>
      </c>
      <c r="B2528">
        <v>1005</v>
      </c>
      <c r="C2528">
        <v>2020</v>
      </c>
      <c r="D2528">
        <v>169</v>
      </c>
      <c r="E2528">
        <v>16</v>
      </c>
      <c r="F2528">
        <v>1080</v>
      </c>
      <c r="G2528">
        <v>25</v>
      </c>
      <c r="H2528">
        <f>SUMIFS($F$2:F2528,$C$2:C2528,C2528)</f>
        <v>34321</v>
      </c>
      <c r="I2528" s="8">
        <f>STAMP_Escapement_Data[[#This Row],[DATE]]-DATE(STAMP_Escapement_Data[[#This Row],[YEAR]],8,1)</f>
        <v>65</v>
      </c>
    </row>
    <row r="2529" spans="1:9" x14ac:dyDescent="0.25">
      <c r="A2529" s="1">
        <v>44110</v>
      </c>
      <c r="B2529">
        <v>1006</v>
      </c>
      <c r="C2529">
        <v>2020</v>
      </c>
      <c r="D2529">
        <v>160</v>
      </c>
      <c r="E2529">
        <v>5</v>
      </c>
      <c r="F2529">
        <v>1013</v>
      </c>
      <c r="G2529">
        <v>38</v>
      </c>
      <c r="H2529">
        <f>SUMIFS($F$2:F2529,$C$2:C2529,C2529)</f>
        <v>35334</v>
      </c>
      <c r="I2529" s="8">
        <f>STAMP_Escapement_Data[[#This Row],[DATE]]-DATE(STAMP_Escapement_Data[[#This Row],[YEAR]],8,1)</f>
        <v>66</v>
      </c>
    </row>
    <row r="2530" spans="1:9" x14ac:dyDescent="0.25">
      <c r="A2530" s="1">
        <v>44111</v>
      </c>
      <c r="B2530">
        <v>1007</v>
      </c>
      <c r="C2530">
        <v>2020</v>
      </c>
      <c r="D2530">
        <v>144</v>
      </c>
      <c r="E2530">
        <v>13</v>
      </c>
      <c r="F2530">
        <v>977</v>
      </c>
      <c r="G2530">
        <v>30</v>
      </c>
      <c r="H2530">
        <f>SUMIFS($F$2:F2530,$C$2:C2530,C2530)</f>
        <v>36311</v>
      </c>
      <c r="I2530" s="8">
        <f>STAMP_Escapement_Data[[#This Row],[DATE]]-DATE(STAMP_Escapement_Data[[#This Row],[YEAR]],8,1)</f>
        <v>67</v>
      </c>
    </row>
    <row r="2531" spans="1:9" x14ac:dyDescent="0.25">
      <c r="A2531" s="1">
        <v>44112</v>
      </c>
      <c r="B2531">
        <v>1008</v>
      </c>
      <c r="C2531">
        <v>2020</v>
      </c>
      <c r="D2531">
        <v>168</v>
      </c>
      <c r="E2531">
        <v>5</v>
      </c>
      <c r="F2531">
        <v>1191</v>
      </c>
      <c r="G2531">
        <v>25</v>
      </c>
      <c r="H2531">
        <f>SUMIFS($F$2:F2531,$C$2:C2531,C2531)</f>
        <v>37502</v>
      </c>
      <c r="I2531" s="8">
        <f>STAMP_Escapement_Data[[#This Row],[DATE]]-DATE(STAMP_Escapement_Data[[#This Row],[YEAR]],8,1)</f>
        <v>68</v>
      </c>
    </row>
    <row r="2532" spans="1:9" x14ac:dyDescent="0.25">
      <c r="A2532" s="1">
        <v>44113</v>
      </c>
      <c r="B2532">
        <v>1009</v>
      </c>
      <c r="C2532">
        <v>2020</v>
      </c>
      <c r="D2532">
        <v>47</v>
      </c>
      <c r="E2532">
        <v>3</v>
      </c>
      <c r="F2532">
        <v>384</v>
      </c>
      <c r="G2532">
        <v>7</v>
      </c>
      <c r="H2532">
        <f>SUMIFS($F$2:F2532,$C$2:C2532,C2532)</f>
        <v>37886</v>
      </c>
      <c r="I2532" s="8">
        <f>STAMP_Escapement_Data[[#This Row],[DATE]]-DATE(STAMP_Escapement_Data[[#This Row],[YEAR]],8,1)</f>
        <v>69</v>
      </c>
    </row>
    <row r="2533" spans="1:9" x14ac:dyDescent="0.25">
      <c r="A2533" s="1">
        <v>44114</v>
      </c>
      <c r="B2533">
        <v>1010</v>
      </c>
      <c r="C2533">
        <v>2020</v>
      </c>
      <c r="D2533">
        <v>66</v>
      </c>
      <c r="E2533">
        <v>3</v>
      </c>
      <c r="F2533">
        <v>81</v>
      </c>
      <c r="G2533">
        <v>4</v>
      </c>
      <c r="H2533">
        <f>SUMIFS($F$2:F2533,$C$2:C2533,C2533)</f>
        <v>37967</v>
      </c>
      <c r="I2533" s="8">
        <f>STAMP_Escapement_Data[[#This Row],[DATE]]-DATE(STAMP_Escapement_Data[[#This Row],[YEAR]],8,1)</f>
        <v>70</v>
      </c>
    </row>
    <row r="2534" spans="1:9" x14ac:dyDescent="0.25">
      <c r="A2534" s="1">
        <v>44115</v>
      </c>
      <c r="B2534">
        <v>1011</v>
      </c>
      <c r="C2534">
        <v>2020</v>
      </c>
      <c r="D2534">
        <v>3</v>
      </c>
      <c r="E2534">
        <v>2</v>
      </c>
      <c r="F2534">
        <v>91</v>
      </c>
      <c r="G2534">
        <v>1</v>
      </c>
      <c r="H2534">
        <f>SUMIFS($F$2:F2534,$C$2:C2534,C2534)</f>
        <v>38058</v>
      </c>
      <c r="I2534" s="8">
        <f>STAMP_Escapement_Data[[#This Row],[DATE]]-DATE(STAMP_Escapement_Data[[#This Row],[YEAR]],8,1)</f>
        <v>71</v>
      </c>
    </row>
    <row r="2535" spans="1:9" x14ac:dyDescent="0.25">
      <c r="A2535" s="1">
        <v>44116</v>
      </c>
      <c r="B2535">
        <v>1012</v>
      </c>
      <c r="C2535">
        <v>2020</v>
      </c>
      <c r="D2535">
        <v>8</v>
      </c>
      <c r="E2535">
        <v>0</v>
      </c>
      <c r="F2535">
        <v>79</v>
      </c>
      <c r="G2535">
        <v>3</v>
      </c>
      <c r="H2535">
        <f>SUMIFS($F$2:F2535,$C$2:C2535,C2535)</f>
        <v>38137</v>
      </c>
      <c r="I2535" s="8">
        <f>STAMP_Escapement_Data[[#This Row],[DATE]]-DATE(STAMP_Escapement_Data[[#This Row],[YEAR]],8,1)</f>
        <v>72</v>
      </c>
    </row>
    <row r="2536" spans="1:9" x14ac:dyDescent="0.25">
      <c r="A2536" s="1">
        <v>44117</v>
      </c>
      <c r="B2536">
        <v>1013</v>
      </c>
      <c r="C2536">
        <v>2020</v>
      </c>
      <c r="D2536">
        <v>9</v>
      </c>
      <c r="E2536">
        <v>2</v>
      </c>
      <c r="F2536">
        <v>71</v>
      </c>
      <c r="G2536">
        <v>4</v>
      </c>
      <c r="H2536">
        <f>SUMIFS($F$2:F2536,$C$2:C2536,C2536)</f>
        <v>38208</v>
      </c>
      <c r="I2536" s="8">
        <f>STAMP_Escapement_Data[[#This Row],[DATE]]-DATE(STAMP_Escapement_Data[[#This Row],[YEAR]],8,1)</f>
        <v>73</v>
      </c>
    </row>
    <row r="2537" spans="1:9" x14ac:dyDescent="0.25">
      <c r="A2537" s="1">
        <v>44118</v>
      </c>
      <c r="B2537">
        <v>1014</v>
      </c>
      <c r="C2537">
        <v>2020</v>
      </c>
      <c r="D2537">
        <v>2</v>
      </c>
      <c r="E2537">
        <v>0</v>
      </c>
      <c r="F2537">
        <v>21</v>
      </c>
      <c r="G2537">
        <v>0</v>
      </c>
      <c r="H2537">
        <f>SUMIFS($F$2:F2537,$C$2:C2537,C2537)</f>
        <v>38229</v>
      </c>
      <c r="I2537" s="8">
        <f>STAMP_Escapement_Data[[#This Row],[DATE]]-DATE(STAMP_Escapement_Data[[#This Row],[YEAR]],8,1)</f>
        <v>74</v>
      </c>
    </row>
    <row r="2538" spans="1:9" x14ac:dyDescent="0.25">
      <c r="A2538" s="1">
        <v>44119</v>
      </c>
      <c r="B2538">
        <v>1015</v>
      </c>
      <c r="C2538">
        <v>2020</v>
      </c>
      <c r="D2538">
        <v>0</v>
      </c>
      <c r="E2538">
        <v>0</v>
      </c>
      <c r="F2538">
        <v>4</v>
      </c>
      <c r="G2538">
        <v>0</v>
      </c>
      <c r="H2538">
        <f>SUMIFS($F$2:F2538,$C$2:C2538,C2538)</f>
        <v>38233</v>
      </c>
      <c r="I2538" s="8">
        <f>STAMP_Escapement_Data[[#This Row],[DATE]]-DATE(STAMP_Escapement_Data[[#This Row],[YEAR]],8,1)</f>
        <v>75</v>
      </c>
    </row>
    <row r="2539" spans="1:9" x14ac:dyDescent="0.25">
      <c r="A2539" s="1">
        <v>44120</v>
      </c>
      <c r="B2539">
        <v>1016</v>
      </c>
      <c r="C2539">
        <v>2020</v>
      </c>
      <c r="D2539">
        <v>0</v>
      </c>
      <c r="E2539">
        <v>0</v>
      </c>
      <c r="F2539">
        <v>8</v>
      </c>
      <c r="G2539">
        <v>0</v>
      </c>
      <c r="H2539">
        <f>SUMIFS($F$2:F2539,$C$2:C2539,C2539)</f>
        <v>38241</v>
      </c>
      <c r="I2539" s="8">
        <f>STAMP_Escapement_Data[[#This Row],[DATE]]-DATE(STAMP_Escapement_Data[[#This Row],[YEAR]],8,1)</f>
        <v>76</v>
      </c>
    </row>
    <row r="2540" spans="1:9" x14ac:dyDescent="0.25">
      <c r="A2540" s="1">
        <v>44121</v>
      </c>
      <c r="B2540">
        <v>1017</v>
      </c>
      <c r="C2540">
        <v>2020</v>
      </c>
      <c r="D2540">
        <v>1</v>
      </c>
      <c r="E2540">
        <v>0</v>
      </c>
      <c r="F2540">
        <v>13</v>
      </c>
      <c r="G2540">
        <v>1</v>
      </c>
      <c r="H2540">
        <f>SUMIFS($F$2:F2540,$C$2:C2540,C2540)</f>
        <v>38254</v>
      </c>
      <c r="I2540" s="8">
        <f>STAMP_Escapement_Data[[#This Row],[DATE]]-DATE(STAMP_Escapement_Data[[#This Row],[YEAR]],8,1)</f>
        <v>77</v>
      </c>
    </row>
    <row r="2541" spans="1:9" x14ac:dyDescent="0.25">
      <c r="A2541" s="1">
        <v>44122</v>
      </c>
      <c r="B2541">
        <v>1018</v>
      </c>
      <c r="C2541">
        <v>2020</v>
      </c>
      <c r="D2541">
        <v>2</v>
      </c>
      <c r="E2541">
        <v>0</v>
      </c>
      <c r="F2541">
        <v>14</v>
      </c>
      <c r="G2541">
        <v>0</v>
      </c>
      <c r="H2541">
        <f>SUMIFS($F$2:F2541,$C$2:C2541,C2541)</f>
        <v>38268</v>
      </c>
      <c r="I2541" s="8">
        <f>STAMP_Escapement_Data[[#This Row],[DATE]]-DATE(STAMP_Escapement_Data[[#This Row],[YEAR]],8,1)</f>
        <v>78</v>
      </c>
    </row>
    <row r="2542" spans="1:9" x14ac:dyDescent="0.25">
      <c r="A2542" s="1">
        <v>44123</v>
      </c>
      <c r="B2542">
        <v>1019</v>
      </c>
      <c r="C2542">
        <v>2020</v>
      </c>
      <c r="D2542">
        <v>2</v>
      </c>
      <c r="E2542">
        <v>1</v>
      </c>
      <c r="F2542">
        <v>15</v>
      </c>
      <c r="G2542">
        <v>0</v>
      </c>
      <c r="H2542">
        <f>SUMIFS($F$2:F2542,$C$2:C2542,C2542)</f>
        <v>38283</v>
      </c>
      <c r="I2542" s="8">
        <f>STAMP_Escapement_Data[[#This Row],[DATE]]-DATE(STAMP_Escapement_Data[[#This Row],[YEAR]],8,1)</f>
        <v>79</v>
      </c>
    </row>
    <row r="2543" spans="1:9" x14ac:dyDescent="0.25">
      <c r="A2543" s="1">
        <v>44124</v>
      </c>
      <c r="B2543">
        <v>1020</v>
      </c>
      <c r="C2543">
        <v>2020</v>
      </c>
      <c r="D2543">
        <v>3</v>
      </c>
      <c r="E2543">
        <v>2</v>
      </c>
      <c r="F2543">
        <v>13</v>
      </c>
      <c r="G2543">
        <v>0</v>
      </c>
      <c r="H2543">
        <f>SUMIFS($F$2:F2543,$C$2:C2543,C2543)</f>
        <v>38296</v>
      </c>
      <c r="I2543" s="8">
        <f>STAMP_Escapement_Data[[#This Row],[DATE]]-DATE(STAMP_Escapement_Data[[#This Row],[YEAR]],8,1)</f>
        <v>80</v>
      </c>
    </row>
    <row r="2544" spans="1:9" x14ac:dyDescent="0.25">
      <c r="A2544" s="1">
        <v>44125</v>
      </c>
      <c r="B2544">
        <v>1021</v>
      </c>
      <c r="C2544">
        <v>2020</v>
      </c>
      <c r="D2544">
        <v>2</v>
      </c>
      <c r="E2544">
        <v>0</v>
      </c>
      <c r="F2544">
        <v>9</v>
      </c>
      <c r="G2544">
        <v>2</v>
      </c>
      <c r="H2544">
        <f>SUMIFS($F$2:F2544,$C$2:C2544,C2544)</f>
        <v>38305</v>
      </c>
      <c r="I2544" s="8">
        <f>STAMP_Escapement_Data[[#This Row],[DATE]]-DATE(STAMP_Escapement_Data[[#This Row],[YEAR]],8,1)</f>
        <v>81</v>
      </c>
    </row>
    <row r="2545" spans="1:9" x14ac:dyDescent="0.25">
      <c r="A2545" s="1">
        <v>44126</v>
      </c>
      <c r="B2545">
        <v>1022</v>
      </c>
      <c r="C2545">
        <v>2020</v>
      </c>
      <c r="D2545">
        <v>1</v>
      </c>
      <c r="E2545">
        <v>0</v>
      </c>
      <c r="F2545">
        <v>6</v>
      </c>
      <c r="G2545">
        <v>1</v>
      </c>
      <c r="H2545">
        <f>SUMIFS($F$2:F2545,$C$2:C2545,C2545)</f>
        <v>38311</v>
      </c>
      <c r="I2545" s="8">
        <f>STAMP_Escapement_Data[[#This Row],[DATE]]-DATE(STAMP_Escapement_Data[[#This Row],[YEAR]],8,1)</f>
        <v>82</v>
      </c>
    </row>
    <row r="2546" spans="1:9" x14ac:dyDescent="0.25">
      <c r="A2546" s="1">
        <v>44127</v>
      </c>
      <c r="B2546">
        <v>1023</v>
      </c>
      <c r="C2546">
        <v>2020</v>
      </c>
      <c r="D2546">
        <v>3</v>
      </c>
      <c r="E2546">
        <v>0</v>
      </c>
      <c r="F2546">
        <v>26</v>
      </c>
      <c r="G2546">
        <v>2</v>
      </c>
      <c r="H2546">
        <f>SUMIFS($F$2:F2546,$C$2:C2546,C2546)</f>
        <v>38337</v>
      </c>
      <c r="I2546" s="8">
        <f>STAMP_Escapement_Data[[#This Row],[DATE]]-DATE(STAMP_Escapement_Data[[#This Row],[YEAR]],8,1)</f>
        <v>83</v>
      </c>
    </row>
    <row r="2547" spans="1:9" x14ac:dyDescent="0.25">
      <c r="A2547" s="1">
        <v>44128</v>
      </c>
      <c r="B2547">
        <v>1024</v>
      </c>
      <c r="C2547">
        <v>2020</v>
      </c>
      <c r="D2547">
        <v>0</v>
      </c>
      <c r="E2547">
        <v>0</v>
      </c>
      <c r="F2547">
        <v>32</v>
      </c>
      <c r="G2547">
        <v>2</v>
      </c>
      <c r="H2547">
        <f>SUMIFS($F$2:F2547,$C$2:C2547,C2547)</f>
        <v>38369</v>
      </c>
      <c r="I2547" s="8">
        <f>STAMP_Escapement_Data[[#This Row],[DATE]]-DATE(STAMP_Escapement_Data[[#This Row],[YEAR]],8,1)</f>
        <v>84</v>
      </c>
    </row>
    <row r="2548" spans="1:9" x14ac:dyDescent="0.25">
      <c r="A2548" s="1">
        <v>44129</v>
      </c>
      <c r="B2548">
        <v>1025</v>
      </c>
      <c r="C2548">
        <v>2020</v>
      </c>
      <c r="D2548">
        <v>4</v>
      </c>
      <c r="E2548">
        <v>0</v>
      </c>
      <c r="F2548">
        <v>10</v>
      </c>
      <c r="G2548">
        <v>0</v>
      </c>
      <c r="H2548">
        <f>SUMIFS($F$2:F2548,$C$2:C2548,C2548)</f>
        <v>38379</v>
      </c>
      <c r="I2548" s="8">
        <f>STAMP_Escapement_Data[[#This Row],[DATE]]-DATE(STAMP_Escapement_Data[[#This Row],[YEAR]],8,1)</f>
        <v>85</v>
      </c>
    </row>
    <row r="2549" spans="1:9" x14ac:dyDescent="0.25">
      <c r="A2549" s="1">
        <v>44130</v>
      </c>
      <c r="B2549">
        <v>1026</v>
      </c>
      <c r="C2549">
        <v>2020</v>
      </c>
      <c r="D2549">
        <v>1</v>
      </c>
      <c r="E2549">
        <v>0</v>
      </c>
      <c r="F2549">
        <v>1</v>
      </c>
      <c r="G2549">
        <v>0</v>
      </c>
      <c r="H2549">
        <f>SUMIFS($F$2:F2549,$C$2:C2549,C2549)</f>
        <v>38380</v>
      </c>
      <c r="I2549" s="8">
        <f>STAMP_Escapement_Data[[#This Row],[DATE]]-DATE(STAMP_Escapement_Data[[#This Row],[YEAR]],8,1)</f>
        <v>86</v>
      </c>
    </row>
    <row r="2550" spans="1:9" x14ac:dyDescent="0.25">
      <c r="A2550" s="1">
        <v>44131</v>
      </c>
      <c r="B2550">
        <v>1027</v>
      </c>
      <c r="C2550">
        <v>2020</v>
      </c>
      <c r="D2550">
        <v>8</v>
      </c>
      <c r="E2550">
        <v>0</v>
      </c>
      <c r="F2550">
        <v>28</v>
      </c>
      <c r="G2550">
        <v>2</v>
      </c>
      <c r="H2550">
        <f>SUMIFS($F$2:F2550,$C$2:C2550,C2550)</f>
        <v>38408</v>
      </c>
      <c r="I2550" s="8">
        <f>STAMP_Escapement_Data[[#This Row],[DATE]]-DATE(STAMP_Escapement_Data[[#This Row],[YEAR]],8,1)</f>
        <v>87</v>
      </c>
    </row>
    <row r="2551" spans="1:9" x14ac:dyDescent="0.25">
      <c r="A2551" s="1">
        <v>44132</v>
      </c>
      <c r="B2551">
        <v>1028</v>
      </c>
      <c r="C2551">
        <v>2020</v>
      </c>
      <c r="D2551">
        <v>15</v>
      </c>
      <c r="E2551">
        <v>0</v>
      </c>
      <c r="F2551">
        <v>58</v>
      </c>
      <c r="G2551">
        <v>3</v>
      </c>
      <c r="H2551">
        <f>SUMIFS($F$2:F2551,$C$2:C2551,C2551)</f>
        <v>38466</v>
      </c>
      <c r="I2551" s="8">
        <f>STAMP_Escapement_Data[[#This Row],[DATE]]-DATE(STAMP_Escapement_Data[[#This Row],[YEAR]],8,1)</f>
        <v>88</v>
      </c>
    </row>
    <row r="2552" spans="1:9" x14ac:dyDescent="0.25">
      <c r="A2552" s="1">
        <v>44133</v>
      </c>
      <c r="B2552">
        <v>1029</v>
      </c>
      <c r="C2552">
        <v>2020</v>
      </c>
      <c r="D2552">
        <v>17</v>
      </c>
      <c r="E2552">
        <v>0</v>
      </c>
      <c r="F2552">
        <v>41</v>
      </c>
      <c r="G2552">
        <v>6</v>
      </c>
      <c r="H2552">
        <f>SUMIFS($F$2:F2552,$C$2:C2552,C2552)</f>
        <v>38507</v>
      </c>
      <c r="I2552" s="8">
        <f>STAMP_Escapement_Data[[#This Row],[DATE]]-DATE(STAMP_Escapement_Data[[#This Row],[YEAR]],8,1)</f>
        <v>89</v>
      </c>
    </row>
    <row r="2553" spans="1:9" x14ac:dyDescent="0.25">
      <c r="A2553" s="1">
        <v>44134</v>
      </c>
      <c r="B2553">
        <v>1030</v>
      </c>
      <c r="C2553">
        <v>2020</v>
      </c>
      <c r="D2553">
        <v>24</v>
      </c>
      <c r="E2553">
        <v>0</v>
      </c>
      <c r="F2553">
        <v>24</v>
      </c>
      <c r="G2553">
        <v>2</v>
      </c>
      <c r="H2553">
        <f>SUMIFS($F$2:F2553,$C$2:C2553,C2553)</f>
        <v>38531</v>
      </c>
      <c r="I2553" s="8">
        <f>STAMP_Escapement_Data[[#This Row],[DATE]]-DATE(STAMP_Escapement_Data[[#This Row],[YEAR]],8,1)</f>
        <v>90</v>
      </c>
    </row>
    <row r="2554" spans="1:9" x14ac:dyDescent="0.25">
      <c r="A2554" s="1">
        <v>44135</v>
      </c>
      <c r="B2554">
        <v>1031</v>
      </c>
      <c r="C2554">
        <v>2020</v>
      </c>
      <c r="D2554">
        <v>18</v>
      </c>
      <c r="E2554">
        <v>0</v>
      </c>
      <c r="F2554">
        <v>20</v>
      </c>
      <c r="G2554">
        <v>1</v>
      </c>
      <c r="H2554">
        <f>SUMIFS($F$2:F2554,$C$2:C2554,C2554)</f>
        <v>38551</v>
      </c>
      <c r="I2554" s="8">
        <f>STAMP_Escapement_Data[[#This Row],[DATE]]-DATE(STAMP_Escapement_Data[[#This Row],[YEAR]],8,1)</f>
        <v>91</v>
      </c>
    </row>
    <row r="2555" spans="1:9" x14ac:dyDescent="0.25">
      <c r="A2555" s="1">
        <v>44136</v>
      </c>
      <c r="B2555">
        <v>1101</v>
      </c>
      <c r="C2555">
        <v>2020</v>
      </c>
      <c r="D2555">
        <v>12</v>
      </c>
      <c r="E2555">
        <v>0</v>
      </c>
      <c r="F2555">
        <v>16</v>
      </c>
      <c r="G2555">
        <v>0</v>
      </c>
      <c r="H2555">
        <f>SUMIFS($F$2:F2555,$C$2:C2555,C2555)</f>
        <v>38567</v>
      </c>
      <c r="I2555" s="8">
        <f>STAMP_Escapement_Data[[#This Row],[DATE]]-DATE(STAMP_Escapement_Data[[#This Row],[YEAR]],8,1)</f>
        <v>92</v>
      </c>
    </row>
    <row r="2556" spans="1:9" x14ac:dyDescent="0.25">
      <c r="A2556" s="1">
        <v>44137</v>
      </c>
      <c r="B2556">
        <v>1102</v>
      </c>
      <c r="C2556">
        <v>2020</v>
      </c>
      <c r="D2556">
        <v>16</v>
      </c>
      <c r="E2556">
        <v>0</v>
      </c>
      <c r="F2556">
        <v>12</v>
      </c>
      <c r="G2556">
        <v>1</v>
      </c>
      <c r="H2556">
        <f>SUMIFS($F$2:F2556,$C$2:C2556,C2556)</f>
        <v>38579</v>
      </c>
      <c r="I2556" s="8">
        <f>STAMP_Escapement_Data[[#This Row],[DATE]]-DATE(STAMP_Escapement_Data[[#This Row],[YEAR]],8,1)</f>
        <v>93</v>
      </c>
    </row>
    <row r="2557" spans="1:9" x14ac:dyDescent="0.25">
      <c r="A2557" s="1">
        <v>44138</v>
      </c>
      <c r="B2557">
        <v>1103</v>
      </c>
      <c r="C2557">
        <v>2020</v>
      </c>
      <c r="D2557">
        <v>19</v>
      </c>
      <c r="E2557">
        <v>0</v>
      </c>
      <c r="F2557">
        <v>7</v>
      </c>
      <c r="G2557">
        <v>2</v>
      </c>
      <c r="H2557">
        <f>SUMIFS($F$2:F2557,$C$2:C2557,C2557)</f>
        <v>38586</v>
      </c>
      <c r="I2557" s="8">
        <f>STAMP_Escapement_Data[[#This Row],[DATE]]-DATE(STAMP_Escapement_Data[[#This Row],[YEAR]],8,1)</f>
        <v>94</v>
      </c>
    </row>
    <row r="2558" spans="1:9" x14ac:dyDescent="0.25">
      <c r="A2558" s="1">
        <v>44139</v>
      </c>
      <c r="B2558">
        <v>1104</v>
      </c>
      <c r="C2558">
        <v>2020</v>
      </c>
      <c r="D2558">
        <v>19</v>
      </c>
      <c r="E2558">
        <v>0</v>
      </c>
      <c r="F2558">
        <v>5</v>
      </c>
      <c r="G2558">
        <v>0</v>
      </c>
      <c r="H2558">
        <f>SUMIFS($F$2:F2558,$C$2:C2558,C2558)</f>
        <v>38591</v>
      </c>
      <c r="I2558" s="8">
        <f>STAMP_Escapement_Data[[#This Row],[DATE]]-DATE(STAMP_Escapement_Data[[#This Row],[YEAR]],8,1)</f>
        <v>95</v>
      </c>
    </row>
    <row r="2559" spans="1:9" x14ac:dyDescent="0.25">
      <c r="A2559" s="1">
        <v>44140</v>
      </c>
      <c r="B2559">
        <v>1105</v>
      </c>
      <c r="C2559">
        <v>2020</v>
      </c>
      <c r="D2559">
        <v>9</v>
      </c>
      <c r="E2559">
        <v>0</v>
      </c>
      <c r="F2559">
        <v>0</v>
      </c>
      <c r="G2559">
        <v>0</v>
      </c>
      <c r="H2559">
        <f>SUMIFS($F$2:F2559,$C$2:C2559,C2559)</f>
        <v>38591</v>
      </c>
      <c r="I2559" s="8">
        <f>STAMP_Escapement_Data[[#This Row],[DATE]]-DATE(STAMP_Escapement_Data[[#This Row],[YEAR]],8,1)</f>
        <v>96</v>
      </c>
    </row>
    <row r="2560" spans="1:9" x14ac:dyDescent="0.25">
      <c r="A2560" s="1">
        <v>44141</v>
      </c>
      <c r="B2560">
        <v>1106</v>
      </c>
      <c r="C2560">
        <v>2020</v>
      </c>
      <c r="D2560">
        <v>4</v>
      </c>
      <c r="E2560">
        <v>0</v>
      </c>
      <c r="F2560">
        <v>0</v>
      </c>
      <c r="G2560">
        <v>0</v>
      </c>
      <c r="H2560">
        <f>SUMIFS($F$2:F2560,$C$2:C2560,C2560)</f>
        <v>38591</v>
      </c>
      <c r="I2560" s="8">
        <f>STAMP_Escapement_Data[[#This Row],[DATE]]-DATE(STAMP_Escapement_Data[[#This Row],[YEAR]],8,1)</f>
        <v>97</v>
      </c>
    </row>
    <row r="2561" spans="1:9" x14ac:dyDescent="0.25">
      <c r="A2561" s="1">
        <v>44142</v>
      </c>
      <c r="B2561">
        <v>1107</v>
      </c>
      <c r="C2561">
        <v>2020</v>
      </c>
      <c r="D2561">
        <v>0</v>
      </c>
      <c r="E2561">
        <v>0</v>
      </c>
      <c r="F2561">
        <v>0</v>
      </c>
      <c r="G2561">
        <v>0</v>
      </c>
      <c r="H2561">
        <f>SUMIFS($F$2:F2561,$C$2:C2561,C2561)</f>
        <v>38591</v>
      </c>
      <c r="I2561" s="8">
        <f>STAMP_Escapement_Data[[#This Row],[DATE]]-DATE(STAMP_Escapement_Data[[#This Row],[YEAR]],8,1)</f>
        <v>98</v>
      </c>
    </row>
    <row r="2562" spans="1:9" x14ac:dyDescent="0.25">
      <c r="A2562" s="1">
        <v>44143</v>
      </c>
      <c r="B2562">
        <v>1108</v>
      </c>
      <c r="C2562">
        <v>2020</v>
      </c>
      <c r="D2562">
        <v>1</v>
      </c>
      <c r="E2562">
        <v>0</v>
      </c>
      <c r="F2562">
        <v>0</v>
      </c>
      <c r="G2562">
        <v>0</v>
      </c>
      <c r="H2562">
        <f>SUMIFS($F$2:F2562,$C$2:C2562,C2562)</f>
        <v>38591</v>
      </c>
      <c r="I2562" s="8">
        <f>STAMP_Escapement_Data[[#This Row],[DATE]]-DATE(STAMP_Escapement_Data[[#This Row],[YEAR]],8,1)</f>
        <v>99</v>
      </c>
    </row>
    <row r="2563" spans="1:9" x14ac:dyDescent="0.25">
      <c r="A2563" s="1">
        <v>44144</v>
      </c>
      <c r="B2563">
        <v>1109</v>
      </c>
      <c r="C2563">
        <v>2020</v>
      </c>
      <c r="D2563">
        <v>1</v>
      </c>
      <c r="E2563">
        <v>0</v>
      </c>
      <c r="F2563">
        <v>0</v>
      </c>
      <c r="G2563">
        <v>0</v>
      </c>
      <c r="H2563">
        <f>SUMIFS($F$2:F2563,$C$2:C2563,C2563)</f>
        <v>38591</v>
      </c>
      <c r="I2563" s="8">
        <f>STAMP_Escapement_Data[[#This Row],[DATE]]-DATE(STAMP_Escapement_Data[[#This Row],[YEAR]],8,1)</f>
        <v>100</v>
      </c>
    </row>
    <row r="2564" spans="1:9" x14ac:dyDescent="0.25">
      <c r="A2564" s="1">
        <v>44145</v>
      </c>
      <c r="B2564">
        <v>1110</v>
      </c>
      <c r="C2564">
        <v>2020</v>
      </c>
      <c r="D2564">
        <v>0</v>
      </c>
      <c r="E2564">
        <v>0</v>
      </c>
      <c r="F2564">
        <v>1</v>
      </c>
      <c r="G2564">
        <v>0</v>
      </c>
      <c r="H2564">
        <f>SUMIFS($F$2:F2564,$C$2:C2564,C2564)</f>
        <v>38592</v>
      </c>
      <c r="I2564" s="8">
        <f>STAMP_Escapement_Data[[#This Row],[DATE]]-DATE(STAMP_Escapement_Data[[#This Row],[YEAR]],8,1)</f>
        <v>101</v>
      </c>
    </row>
    <row r="2565" spans="1:9" x14ac:dyDescent="0.25">
      <c r="A2565" s="1">
        <v>44146</v>
      </c>
      <c r="B2565">
        <v>1111</v>
      </c>
      <c r="C2565">
        <v>2020</v>
      </c>
      <c r="D2565">
        <v>0</v>
      </c>
      <c r="E2565">
        <v>0</v>
      </c>
      <c r="F2565">
        <v>1</v>
      </c>
      <c r="G2565">
        <v>0</v>
      </c>
      <c r="H2565">
        <f>SUMIFS($F$2:F2565,$C$2:C2565,C2565)</f>
        <v>38593</v>
      </c>
      <c r="I2565" s="8">
        <f>STAMP_Escapement_Data[[#This Row],[DATE]]-DATE(STAMP_Escapement_Data[[#This Row],[YEAR]],8,1)</f>
        <v>102</v>
      </c>
    </row>
    <row r="2566" spans="1:9" x14ac:dyDescent="0.25">
      <c r="A2566" s="1">
        <v>44147</v>
      </c>
      <c r="B2566">
        <v>1112</v>
      </c>
      <c r="C2566">
        <v>2020</v>
      </c>
      <c r="D2566">
        <v>0</v>
      </c>
      <c r="E2566">
        <v>0</v>
      </c>
      <c r="F2566">
        <v>1</v>
      </c>
      <c r="G2566">
        <v>0</v>
      </c>
      <c r="H2566">
        <f>SUMIFS($F$2:F2566,$C$2:C2566,C2566)</f>
        <v>38594</v>
      </c>
      <c r="I2566" s="8">
        <f>STAMP_Escapement_Data[[#This Row],[DATE]]-DATE(STAMP_Escapement_Data[[#This Row],[YEAR]],8,1)</f>
        <v>103</v>
      </c>
    </row>
    <row r="2567" spans="1:9" x14ac:dyDescent="0.25">
      <c r="A2567" s="1">
        <v>44408</v>
      </c>
      <c r="B2567">
        <v>731</v>
      </c>
      <c r="C2567">
        <v>2021</v>
      </c>
      <c r="D2567">
        <v>15</v>
      </c>
      <c r="E2567">
        <v>0</v>
      </c>
      <c r="F2567">
        <v>55</v>
      </c>
      <c r="G2567">
        <v>0</v>
      </c>
      <c r="H2567">
        <f>SUMIFS($F$2:F2567,$C$2:C2567,C2567)</f>
        <v>55</v>
      </c>
      <c r="I2567" s="8">
        <f>STAMP_Escapement_Data[[#This Row],[DATE]]-DATE(STAMP_Escapement_Data[[#This Row],[YEAR]],8,1)</f>
        <v>-1</v>
      </c>
    </row>
    <row r="2568" spans="1:9" x14ac:dyDescent="0.25">
      <c r="A2568" s="1">
        <v>44409</v>
      </c>
      <c r="B2568">
        <v>801</v>
      </c>
      <c r="C2568">
        <v>2021</v>
      </c>
      <c r="D2568">
        <v>0</v>
      </c>
      <c r="E2568">
        <v>0</v>
      </c>
      <c r="F2568">
        <v>2</v>
      </c>
      <c r="G2568">
        <v>0</v>
      </c>
      <c r="H2568">
        <f>SUMIFS($F$2:F2568,$C$2:C2568,C2568)</f>
        <v>57</v>
      </c>
      <c r="I2568" s="8">
        <f>STAMP_Escapement_Data[[#This Row],[DATE]]-DATE(STAMP_Escapement_Data[[#This Row],[YEAR]],8,1)</f>
        <v>0</v>
      </c>
    </row>
    <row r="2569" spans="1:9" x14ac:dyDescent="0.25">
      <c r="A2569" s="1">
        <v>44410</v>
      </c>
      <c r="B2569">
        <v>802</v>
      </c>
      <c r="C2569">
        <v>2021</v>
      </c>
      <c r="D2569">
        <v>0</v>
      </c>
      <c r="E2569">
        <v>0</v>
      </c>
      <c r="F2569">
        <v>2</v>
      </c>
      <c r="G2569">
        <v>0</v>
      </c>
      <c r="H2569">
        <f>SUMIFS($F$2:F2569,$C$2:C2569,C2569)</f>
        <v>59</v>
      </c>
      <c r="I2569" s="8">
        <f>STAMP_Escapement_Data[[#This Row],[DATE]]-DATE(STAMP_Escapement_Data[[#This Row],[YEAR]],8,1)</f>
        <v>1</v>
      </c>
    </row>
    <row r="2570" spans="1:9" x14ac:dyDescent="0.25">
      <c r="A2570" s="1">
        <v>44411</v>
      </c>
      <c r="B2570">
        <v>803</v>
      </c>
      <c r="C2570">
        <v>2021</v>
      </c>
      <c r="D2570">
        <v>0</v>
      </c>
      <c r="E2570">
        <v>0</v>
      </c>
      <c r="F2570">
        <v>4</v>
      </c>
      <c r="G2570">
        <v>2</v>
      </c>
      <c r="H2570">
        <f>SUMIFS($F$2:F2570,$C$2:C2570,C2570)</f>
        <v>63</v>
      </c>
      <c r="I2570" s="8">
        <f>STAMP_Escapement_Data[[#This Row],[DATE]]-DATE(STAMP_Escapement_Data[[#This Row],[YEAR]],8,1)</f>
        <v>2</v>
      </c>
    </row>
    <row r="2571" spans="1:9" x14ac:dyDescent="0.25">
      <c r="A2571" s="1">
        <v>44412</v>
      </c>
      <c r="B2571">
        <v>804</v>
      </c>
      <c r="C2571">
        <v>2021</v>
      </c>
      <c r="D2571">
        <v>2</v>
      </c>
      <c r="E2571">
        <v>0</v>
      </c>
      <c r="F2571">
        <v>0</v>
      </c>
      <c r="G2571">
        <v>0</v>
      </c>
      <c r="H2571">
        <f>SUMIFS($F$2:F2571,$C$2:C2571,C2571)</f>
        <v>63</v>
      </c>
      <c r="I2571" s="8">
        <f>STAMP_Escapement_Data[[#This Row],[DATE]]-DATE(STAMP_Escapement_Data[[#This Row],[YEAR]],8,1)</f>
        <v>3</v>
      </c>
    </row>
    <row r="2572" spans="1:9" x14ac:dyDescent="0.25">
      <c r="A2572" s="1">
        <v>44413</v>
      </c>
      <c r="B2572">
        <v>805</v>
      </c>
      <c r="C2572">
        <v>2021</v>
      </c>
      <c r="D2572">
        <v>0</v>
      </c>
      <c r="E2572">
        <v>0</v>
      </c>
      <c r="F2572">
        <v>1</v>
      </c>
      <c r="G2572">
        <v>0</v>
      </c>
      <c r="H2572">
        <f>SUMIFS($F$2:F2572,$C$2:C2572,C2572)</f>
        <v>64</v>
      </c>
      <c r="I2572" s="8">
        <f>STAMP_Escapement_Data[[#This Row],[DATE]]-DATE(STAMP_Escapement_Data[[#This Row],[YEAR]],8,1)</f>
        <v>4</v>
      </c>
    </row>
    <row r="2573" spans="1:9" x14ac:dyDescent="0.25">
      <c r="A2573" s="1">
        <v>44414</v>
      </c>
      <c r="B2573">
        <v>806</v>
      </c>
      <c r="C2573">
        <v>2021</v>
      </c>
      <c r="D2573">
        <v>7</v>
      </c>
      <c r="E2573">
        <v>0</v>
      </c>
      <c r="F2573">
        <v>2</v>
      </c>
      <c r="G2573">
        <v>0</v>
      </c>
      <c r="H2573">
        <f>SUMIFS($F$2:F2573,$C$2:C2573,C2573)</f>
        <v>66</v>
      </c>
      <c r="I2573" s="8">
        <f>STAMP_Escapement_Data[[#This Row],[DATE]]-DATE(STAMP_Escapement_Data[[#This Row],[YEAR]],8,1)</f>
        <v>5</v>
      </c>
    </row>
    <row r="2574" spans="1:9" x14ac:dyDescent="0.25">
      <c r="A2574" s="1">
        <v>44415</v>
      </c>
      <c r="B2574">
        <v>807</v>
      </c>
      <c r="C2574">
        <v>2021</v>
      </c>
      <c r="D2574">
        <v>12</v>
      </c>
      <c r="E2574">
        <v>2</v>
      </c>
      <c r="F2574">
        <v>27</v>
      </c>
      <c r="G2574">
        <v>3</v>
      </c>
      <c r="H2574">
        <f>SUMIFS($F$2:F2574,$C$2:C2574,C2574)</f>
        <v>93</v>
      </c>
      <c r="I2574" s="8">
        <f>STAMP_Escapement_Data[[#This Row],[DATE]]-DATE(STAMP_Escapement_Data[[#This Row],[YEAR]],8,1)</f>
        <v>6</v>
      </c>
    </row>
    <row r="2575" spans="1:9" x14ac:dyDescent="0.25">
      <c r="A2575" s="1">
        <v>44416</v>
      </c>
      <c r="B2575">
        <v>808</v>
      </c>
      <c r="C2575">
        <v>2021</v>
      </c>
      <c r="D2575">
        <v>10</v>
      </c>
      <c r="E2575">
        <v>2</v>
      </c>
      <c r="F2575">
        <v>26</v>
      </c>
      <c r="G2575">
        <v>3</v>
      </c>
      <c r="H2575">
        <f>SUMIFS($F$2:F2575,$C$2:C2575,C2575)</f>
        <v>119</v>
      </c>
      <c r="I2575" s="8">
        <f>STAMP_Escapement_Data[[#This Row],[DATE]]-DATE(STAMP_Escapement_Data[[#This Row],[YEAR]],8,1)</f>
        <v>7</v>
      </c>
    </row>
    <row r="2576" spans="1:9" x14ac:dyDescent="0.25">
      <c r="A2576" s="1">
        <v>44417</v>
      </c>
      <c r="B2576">
        <v>809</v>
      </c>
      <c r="C2576">
        <v>2021</v>
      </c>
      <c r="D2576">
        <v>19</v>
      </c>
      <c r="E2576">
        <v>0</v>
      </c>
      <c r="F2576">
        <v>51</v>
      </c>
      <c r="G2576">
        <v>3</v>
      </c>
      <c r="H2576">
        <f>SUMIFS($F$2:F2576,$C$2:C2576,C2576)</f>
        <v>170</v>
      </c>
      <c r="I2576" s="8">
        <f>STAMP_Escapement_Data[[#This Row],[DATE]]-DATE(STAMP_Escapement_Data[[#This Row],[YEAR]],8,1)</f>
        <v>8</v>
      </c>
    </row>
    <row r="2577" spans="1:9" x14ac:dyDescent="0.25">
      <c r="A2577" s="1">
        <v>44418</v>
      </c>
      <c r="B2577">
        <v>810</v>
      </c>
      <c r="C2577">
        <v>2021</v>
      </c>
      <c r="D2577">
        <v>23</v>
      </c>
      <c r="E2577">
        <v>2</v>
      </c>
      <c r="F2577">
        <v>23</v>
      </c>
      <c r="G2577">
        <v>0</v>
      </c>
      <c r="H2577">
        <f>SUMIFS($F$2:F2577,$C$2:C2577,C2577)</f>
        <v>193</v>
      </c>
      <c r="I2577" s="8">
        <f>STAMP_Escapement_Data[[#This Row],[DATE]]-DATE(STAMP_Escapement_Data[[#This Row],[YEAR]],8,1)</f>
        <v>9</v>
      </c>
    </row>
    <row r="2578" spans="1:9" x14ac:dyDescent="0.25">
      <c r="A2578" s="1">
        <v>44419</v>
      </c>
      <c r="B2578">
        <v>811</v>
      </c>
      <c r="C2578">
        <v>2021</v>
      </c>
      <c r="D2578">
        <v>14</v>
      </c>
      <c r="E2578">
        <v>0</v>
      </c>
      <c r="F2578">
        <v>16</v>
      </c>
      <c r="G2578">
        <v>0</v>
      </c>
      <c r="H2578">
        <f>SUMIFS($F$2:F2578,$C$2:C2578,C2578)</f>
        <v>209</v>
      </c>
      <c r="I2578" s="8">
        <f>STAMP_Escapement_Data[[#This Row],[DATE]]-DATE(STAMP_Escapement_Data[[#This Row],[YEAR]],8,1)</f>
        <v>10</v>
      </c>
    </row>
    <row r="2579" spans="1:9" x14ac:dyDescent="0.25">
      <c r="A2579" s="1">
        <v>44420</v>
      </c>
      <c r="B2579">
        <v>812</v>
      </c>
      <c r="C2579">
        <v>2021</v>
      </c>
      <c r="D2579">
        <v>2</v>
      </c>
      <c r="E2579">
        <v>0</v>
      </c>
      <c r="F2579">
        <v>9</v>
      </c>
      <c r="G2579">
        <v>0</v>
      </c>
      <c r="H2579">
        <f>SUMIFS($F$2:F2579,$C$2:C2579,C2579)</f>
        <v>218</v>
      </c>
      <c r="I2579" s="8">
        <f>STAMP_Escapement_Data[[#This Row],[DATE]]-DATE(STAMP_Escapement_Data[[#This Row],[YEAR]],8,1)</f>
        <v>11</v>
      </c>
    </row>
    <row r="2580" spans="1:9" x14ac:dyDescent="0.25">
      <c r="A2580" s="1">
        <v>44421</v>
      </c>
      <c r="B2580">
        <v>813</v>
      </c>
      <c r="C2580">
        <v>2021</v>
      </c>
      <c r="D2580">
        <v>0</v>
      </c>
      <c r="E2580">
        <v>0</v>
      </c>
      <c r="F2580">
        <v>5</v>
      </c>
      <c r="G2580">
        <v>1</v>
      </c>
      <c r="H2580">
        <f>SUMIFS($F$2:F2580,$C$2:C2580,C2580)</f>
        <v>223</v>
      </c>
      <c r="I2580" s="8">
        <f>STAMP_Escapement_Data[[#This Row],[DATE]]-DATE(STAMP_Escapement_Data[[#This Row],[YEAR]],8,1)</f>
        <v>12</v>
      </c>
    </row>
    <row r="2581" spans="1:9" x14ac:dyDescent="0.25">
      <c r="A2581" s="1">
        <v>44422</v>
      </c>
      <c r="B2581">
        <v>814</v>
      </c>
      <c r="C2581">
        <v>2021</v>
      </c>
      <c r="D2581">
        <v>3</v>
      </c>
      <c r="E2581">
        <v>1</v>
      </c>
      <c r="F2581">
        <v>5</v>
      </c>
      <c r="G2581">
        <v>1</v>
      </c>
      <c r="H2581">
        <f>SUMIFS($F$2:F2581,$C$2:C2581,C2581)</f>
        <v>228</v>
      </c>
      <c r="I2581" s="8">
        <f>STAMP_Escapement_Data[[#This Row],[DATE]]-DATE(STAMP_Escapement_Data[[#This Row],[YEAR]],8,1)</f>
        <v>13</v>
      </c>
    </row>
    <row r="2582" spans="1:9" x14ac:dyDescent="0.25">
      <c r="A2582" s="1">
        <v>44423</v>
      </c>
      <c r="B2582">
        <v>815</v>
      </c>
      <c r="C2582">
        <v>2021</v>
      </c>
      <c r="D2582">
        <v>14</v>
      </c>
      <c r="E2582">
        <v>5</v>
      </c>
      <c r="F2582">
        <v>14</v>
      </c>
      <c r="G2582">
        <v>2</v>
      </c>
      <c r="H2582">
        <f>SUMIFS($F$2:F2582,$C$2:C2582,C2582)</f>
        <v>242</v>
      </c>
      <c r="I2582" s="8">
        <f>STAMP_Escapement_Data[[#This Row],[DATE]]-DATE(STAMP_Escapement_Data[[#This Row],[YEAR]],8,1)</f>
        <v>14</v>
      </c>
    </row>
    <row r="2583" spans="1:9" x14ac:dyDescent="0.25">
      <c r="A2583" s="1">
        <v>44424</v>
      </c>
      <c r="B2583">
        <v>816</v>
      </c>
      <c r="C2583">
        <v>2021</v>
      </c>
      <c r="D2583">
        <v>21</v>
      </c>
      <c r="E2583">
        <v>0</v>
      </c>
      <c r="F2583">
        <v>21</v>
      </c>
      <c r="G2583">
        <v>1</v>
      </c>
      <c r="H2583">
        <f>SUMIFS($F$2:F2583,$C$2:C2583,C2583)</f>
        <v>263</v>
      </c>
      <c r="I2583" s="8">
        <f>STAMP_Escapement_Data[[#This Row],[DATE]]-DATE(STAMP_Escapement_Data[[#This Row],[YEAR]],8,1)</f>
        <v>15</v>
      </c>
    </row>
    <row r="2584" spans="1:9" x14ac:dyDescent="0.25">
      <c r="A2584" s="1">
        <v>44425</v>
      </c>
      <c r="B2584">
        <v>817</v>
      </c>
      <c r="C2584">
        <v>2021</v>
      </c>
      <c r="D2584">
        <v>28</v>
      </c>
      <c r="E2584">
        <v>0</v>
      </c>
      <c r="F2584">
        <v>9</v>
      </c>
      <c r="G2584">
        <v>6</v>
      </c>
      <c r="H2584">
        <f>SUMIFS($F$2:F2584,$C$2:C2584,C2584)</f>
        <v>272</v>
      </c>
      <c r="I2584" s="8">
        <f>STAMP_Escapement_Data[[#This Row],[DATE]]-DATE(STAMP_Escapement_Data[[#This Row],[YEAR]],8,1)</f>
        <v>16</v>
      </c>
    </row>
    <row r="2585" spans="1:9" x14ac:dyDescent="0.25">
      <c r="A2585" s="1">
        <v>44426</v>
      </c>
      <c r="B2585">
        <v>818</v>
      </c>
      <c r="C2585">
        <v>2021</v>
      </c>
      <c r="D2585">
        <v>43</v>
      </c>
      <c r="E2585">
        <v>4</v>
      </c>
      <c r="F2585">
        <v>63</v>
      </c>
      <c r="G2585">
        <v>17</v>
      </c>
      <c r="H2585">
        <f>SUMIFS($F$2:F2585,$C$2:C2585,C2585)</f>
        <v>335</v>
      </c>
      <c r="I2585" s="8">
        <f>STAMP_Escapement_Data[[#This Row],[DATE]]-DATE(STAMP_Escapement_Data[[#This Row],[YEAR]],8,1)</f>
        <v>17</v>
      </c>
    </row>
    <row r="2586" spans="1:9" x14ac:dyDescent="0.25">
      <c r="A2586" s="1">
        <v>44427</v>
      </c>
      <c r="B2586">
        <v>819</v>
      </c>
      <c r="C2586">
        <v>2021</v>
      </c>
      <c r="D2586">
        <v>30</v>
      </c>
      <c r="E2586">
        <v>18</v>
      </c>
      <c r="F2586">
        <v>93</v>
      </c>
      <c r="G2586">
        <v>9</v>
      </c>
      <c r="H2586">
        <f>SUMIFS($F$2:F2586,$C$2:C2586,C2586)</f>
        <v>428</v>
      </c>
      <c r="I2586" s="8">
        <f>STAMP_Escapement_Data[[#This Row],[DATE]]-DATE(STAMP_Escapement_Data[[#This Row],[YEAR]],8,1)</f>
        <v>18</v>
      </c>
    </row>
    <row r="2587" spans="1:9" x14ac:dyDescent="0.25">
      <c r="A2587" s="1">
        <v>44428</v>
      </c>
      <c r="B2587">
        <v>820</v>
      </c>
      <c r="C2587">
        <v>2021</v>
      </c>
      <c r="D2587">
        <v>45</v>
      </c>
      <c r="E2587">
        <v>48</v>
      </c>
      <c r="F2587">
        <v>75</v>
      </c>
      <c r="G2587">
        <v>27</v>
      </c>
      <c r="H2587">
        <f>SUMIFS($F$2:F2587,$C$2:C2587,C2587)</f>
        <v>503</v>
      </c>
      <c r="I2587" s="8">
        <f>STAMP_Escapement_Data[[#This Row],[DATE]]-DATE(STAMP_Escapement_Data[[#This Row],[YEAR]],8,1)</f>
        <v>19</v>
      </c>
    </row>
    <row r="2588" spans="1:9" x14ac:dyDescent="0.25">
      <c r="A2588" s="1">
        <v>44429</v>
      </c>
      <c r="B2588">
        <v>821</v>
      </c>
      <c r="C2588">
        <v>2021</v>
      </c>
      <c r="D2588">
        <v>26</v>
      </c>
      <c r="E2588">
        <v>5</v>
      </c>
      <c r="F2588">
        <v>53</v>
      </c>
      <c r="G2588">
        <v>12</v>
      </c>
      <c r="H2588">
        <f>SUMIFS($F$2:F2588,$C$2:C2588,C2588)</f>
        <v>556</v>
      </c>
      <c r="I2588" s="8">
        <f>STAMP_Escapement_Data[[#This Row],[DATE]]-DATE(STAMP_Escapement_Data[[#This Row],[YEAR]],8,1)</f>
        <v>20</v>
      </c>
    </row>
    <row r="2589" spans="1:9" x14ac:dyDescent="0.25">
      <c r="A2589" s="1">
        <v>44430</v>
      </c>
      <c r="B2589">
        <v>822</v>
      </c>
      <c r="C2589">
        <v>2021</v>
      </c>
      <c r="D2589">
        <v>63</v>
      </c>
      <c r="E2589">
        <v>36</v>
      </c>
      <c r="F2589">
        <v>65</v>
      </c>
      <c r="G2589">
        <v>40</v>
      </c>
      <c r="H2589">
        <f>SUMIFS($F$2:F2589,$C$2:C2589,C2589)</f>
        <v>621</v>
      </c>
      <c r="I2589" s="8">
        <f>STAMP_Escapement_Data[[#This Row],[DATE]]-DATE(STAMP_Escapement_Data[[#This Row],[YEAR]],8,1)</f>
        <v>21</v>
      </c>
    </row>
    <row r="2590" spans="1:9" x14ac:dyDescent="0.25">
      <c r="A2590" s="1">
        <v>44431</v>
      </c>
      <c r="B2590">
        <v>823</v>
      </c>
      <c r="C2590">
        <v>2021</v>
      </c>
      <c r="D2590">
        <v>80</v>
      </c>
      <c r="E2590">
        <v>5</v>
      </c>
      <c r="F2590">
        <v>86</v>
      </c>
      <c r="G2590">
        <v>14</v>
      </c>
      <c r="H2590">
        <f>SUMIFS($F$2:F2590,$C$2:C2590,C2590)</f>
        <v>707</v>
      </c>
      <c r="I2590" s="8">
        <f>STAMP_Escapement_Data[[#This Row],[DATE]]-DATE(STAMP_Escapement_Data[[#This Row],[YEAR]],8,1)</f>
        <v>22</v>
      </c>
    </row>
    <row r="2591" spans="1:9" x14ac:dyDescent="0.25">
      <c r="A2591" s="1">
        <v>44432</v>
      </c>
      <c r="B2591">
        <v>824</v>
      </c>
      <c r="C2591">
        <v>2021</v>
      </c>
      <c r="D2591">
        <v>255</v>
      </c>
      <c r="E2591">
        <v>51</v>
      </c>
      <c r="F2591">
        <v>107</v>
      </c>
      <c r="G2591">
        <v>0</v>
      </c>
      <c r="H2591">
        <f>SUMIFS($F$2:F2591,$C$2:C2591,C2591)</f>
        <v>814</v>
      </c>
      <c r="I2591" s="8">
        <f>STAMP_Escapement_Data[[#This Row],[DATE]]-DATE(STAMP_Escapement_Data[[#This Row],[YEAR]],8,1)</f>
        <v>23</v>
      </c>
    </row>
    <row r="2592" spans="1:9" x14ac:dyDescent="0.25">
      <c r="A2592" s="1">
        <v>44433</v>
      </c>
      <c r="B2592">
        <v>825</v>
      </c>
      <c r="C2592">
        <v>2021</v>
      </c>
      <c r="D2592">
        <v>190</v>
      </c>
      <c r="E2592">
        <v>68</v>
      </c>
      <c r="F2592">
        <v>184</v>
      </c>
      <c r="G2592">
        <v>16</v>
      </c>
      <c r="H2592">
        <f>SUMIFS($F$2:F2592,$C$2:C2592,C2592)</f>
        <v>998</v>
      </c>
      <c r="I2592" s="8">
        <f>STAMP_Escapement_Data[[#This Row],[DATE]]-DATE(STAMP_Escapement_Data[[#This Row],[YEAR]],8,1)</f>
        <v>24</v>
      </c>
    </row>
    <row r="2593" spans="1:9" x14ac:dyDescent="0.25">
      <c r="A2593" s="1">
        <v>44434</v>
      </c>
      <c r="B2593">
        <v>826</v>
      </c>
      <c r="C2593">
        <v>2021</v>
      </c>
      <c r="D2593">
        <v>162</v>
      </c>
      <c r="E2593">
        <v>76</v>
      </c>
      <c r="F2593">
        <v>216</v>
      </c>
      <c r="G2593">
        <v>74</v>
      </c>
      <c r="H2593">
        <f>SUMIFS($F$2:F2593,$C$2:C2593,C2593)</f>
        <v>1214</v>
      </c>
      <c r="I2593" s="8">
        <f>STAMP_Escapement_Data[[#This Row],[DATE]]-DATE(STAMP_Escapement_Data[[#This Row],[YEAR]],8,1)</f>
        <v>25</v>
      </c>
    </row>
    <row r="2594" spans="1:9" x14ac:dyDescent="0.25">
      <c r="A2594" s="1">
        <v>44435</v>
      </c>
      <c r="B2594">
        <v>827</v>
      </c>
      <c r="C2594">
        <v>2021</v>
      </c>
      <c r="D2594">
        <v>176</v>
      </c>
      <c r="E2594">
        <v>60</v>
      </c>
      <c r="F2594">
        <v>152</v>
      </c>
      <c r="G2594">
        <v>28</v>
      </c>
      <c r="H2594">
        <f>SUMIFS($F$2:F2594,$C$2:C2594,C2594)</f>
        <v>1366</v>
      </c>
      <c r="I2594" s="8">
        <f>STAMP_Escapement_Data[[#This Row],[DATE]]-DATE(STAMP_Escapement_Data[[#This Row],[YEAR]],8,1)</f>
        <v>26</v>
      </c>
    </row>
    <row r="2595" spans="1:9" x14ac:dyDescent="0.25">
      <c r="A2595" s="1">
        <v>44436</v>
      </c>
      <c r="B2595">
        <v>828</v>
      </c>
      <c r="C2595">
        <v>2021</v>
      </c>
      <c r="D2595">
        <v>115</v>
      </c>
      <c r="E2595">
        <v>40</v>
      </c>
      <c r="F2595">
        <v>95</v>
      </c>
      <c r="G2595">
        <v>14</v>
      </c>
      <c r="H2595">
        <f>SUMIFS($F$2:F2595,$C$2:C2595,C2595)</f>
        <v>1461</v>
      </c>
      <c r="I2595" s="8">
        <f>STAMP_Escapement_Data[[#This Row],[DATE]]-DATE(STAMP_Escapement_Data[[#This Row],[YEAR]],8,1)</f>
        <v>27</v>
      </c>
    </row>
    <row r="2596" spans="1:9" x14ac:dyDescent="0.25">
      <c r="A2596" s="1">
        <v>44437</v>
      </c>
      <c r="B2596">
        <v>829</v>
      </c>
      <c r="C2596">
        <v>2021</v>
      </c>
      <c r="D2596">
        <v>488</v>
      </c>
      <c r="E2596">
        <v>128</v>
      </c>
      <c r="F2596">
        <v>288</v>
      </c>
      <c r="G2596">
        <v>108</v>
      </c>
      <c r="H2596">
        <f>SUMIFS($F$2:F2596,$C$2:C2596,C2596)</f>
        <v>1749</v>
      </c>
      <c r="I2596" s="8">
        <f>STAMP_Escapement_Data[[#This Row],[DATE]]-DATE(STAMP_Escapement_Data[[#This Row],[YEAR]],8,1)</f>
        <v>28</v>
      </c>
    </row>
    <row r="2597" spans="1:9" x14ac:dyDescent="0.25">
      <c r="A2597" s="1">
        <v>44438</v>
      </c>
      <c r="B2597">
        <v>830</v>
      </c>
      <c r="C2597">
        <v>2021</v>
      </c>
      <c r="D2597">
        <v>180</v>
      </c>
      <c r="E2597">
        <v>24</v>
      </c>
      <c r="F2597">
        <v>619</v>
      </c>
      <c r="G2597">
        <v>30</v>
      </c>
      <c r="H2597">
        <f>SUMIFS($F$2:F2597,$C$2:C2597,C2597)</f>
        <v>2368</v>
      </c>
      <c r="I2597" s="8">
        <f>STAMP_Escapement_Data[[#This Row],[DATE]]-DATE(STAMP_Escapement_Data[[#This Row],[YEAR]],8,1)</f>
        <v>29</v>
      </c>
    </row>
    <row r="2598" spans="1:9" x14ac:dyDescent="0.25">
      <c r="A2598" s="1">
        <v>44439</v>
      </c>
      <c r="B2598">
        <v>831</v>
      </c>
      <c r="C2598">
        <v>2021</v>
      </c>
      <c r="D2598">
        <v>363</v>
      </c>
      <c r="E2598">
        <v>30</v>
      </c>
      <c r="F2598">
        <v>396</v>
      </c>
      <c r="G2598">
        <v>60</v>
      </c>
      <c r="H2598">
        <f>SUMIFS($F$2:F2598,$C$2:C2598,C2598)</f>
        <v>2764</v>
      </c>
      <c r="I2598" s="8">
        <f>STAMP_Escapement_Data[[#This Row],[DATE]]-DATE(STAMP_Escapement_Data[[#This Row],[YEAR]],8,1)</f>
        <v>30</v>
      </c>
    </row>
    <row r="2599" spans="1:9" x14ac:dyDescent="0.25">
      <c r="A2599" s="1">
        <v>44440</v>
      </c>
      <c r="B2599">
        <v>901</v>
      </c>
      <c r="C2599">
        <v>2021</v>
      </c>
      <c r="D2599">
        <v>392</v>
      </c>
      <c r="E2599">
        <v>40</v>
      </c>
      <c r="F2599">
        <v>388</v>
      </c>
      <c r="G2599">
        <v>64</v>
      </c>
      <c r="H2599">
        <f>SUMIFS($F$2:F2599,$C$2:C2599,C2599)</f>
        <v>3152</v>
      </c>
      <c r="I2599" s="8">
        <f>STAMP_Escapement_Data[[#This Row],[DATE]]-DATE(STAMP_Escapement_Data[[#This Row],[YEAR]],8,1)</f>
        <v>31</v>
      </c>
    </row>
    <row r="2600" spans="1:9" x14ac:dyDescent="0.25">
      <c r="A2600" s="1">
        <v>44441</v>
      </c>
      <c r="B2600">
        <v>902</v>
      </c>
      <c r="C2600">
        <v>2021</v>
      </c>
      <c r="D2600">
        <v>456</v>
      </c>
      <c r="E2600">
        <v>72</v>
      </c>
      <c r="F2600">
        <v>268</v>
      </c>
      <c r="G2600">
        <v>60</v>
      </c>
      <c r="H2600">
        <f>SUMIFS($F$2:F2600,$C$2:C2600,C2600)</f>
        <v>3420</v>
      </c>
      <c r="I2600" s="8">
        <f>STAMP_Escapement_Data[[#This Row],[DATE]]-DATE(STAMP_Escapement_Data[[#This Row],[YEAR]],8,1)</f>
        <v>32</v>
      </c>
    </row>
    <row r="2601" spans="1:9" x14ac:dyDescent="0.25">
      <c r="A2601" s="1">
        <v>44442</v>
      </c>
      <c r="B2601">
        <v>903</v>
      </c>
      <c r="C2601">
        <v>2021</v>
      </c>
      <c r="D2601">
        <v>472</v>
      </c>
      <c r="E2601">
        <v>52</v>
      </c>
      <c r="F2601">
        <v>416</v>
      </c>
      <c r="G2601">
        <v>72</v>
      </c>
      <c r="H2601">
        <f>SUMIFS($F$2:F2601,$C$2:C2601,C2601)</f>
        <v>3836</v>
      </c>
      <c r="I2601" s="8">
        <f>STAMP_Escapement_Data[[#This Row],[DATE]]-DATE(STAMP_Escapement_Data[[#This Row],[YEAR]],8,1)</f>
        <v>33</v>
      </c>
    </row>
    <row r="2602" spans="1:9" x14ac:dyDescent="0.25">
      <c r="A2602" s="1">
        <v>44443</v>
      </c>
      <c r="B2602">
        <v>904</v>
      </c>
      <c r="C2602">
        <v>2021</v>
      </c>
      <c r="D2602">
        <v>312</v>
      </c>
      <c r="E2602">
        <v>52</v>
      </c>
      <c r="F2602">
        <v>300</v>
      </c>
      <c r="G2602">
        <v>20</v>
      </c>
      <c r="H2602">
        <f>SUMIFS($F$2:F2602,$C$2:C2602,C2602)</f>
        <v>4136</v>
      </c>
      <c r="I2602" s="8">
        <f>STAMP_Escapement_Data[[#This Row],[DATE]]-DATE(STAMP_Escapement_Data[[#This Row],[YEAR]],8,1)</f>
        <v>34</v>
      </c>
    </row>
    <row r="2603" spans="1:9" x14ac:dyDescent="0.25">
      <c r="A2603" s="1">
        <v>44444</v>
      </c>
      <c r="B2603">
        <v>905</v>
      </c>
      <c r="C2603">
        <v>2021</v>
      </c>
      <c r="D2603">
        <v>968</v>
      </c>
      <c r="E2603">
        <v>180</v>
      </c>
      <c r="F2603">
        <v>576</v>
      </c>
      <c r="G2603">
        <v>60</v>
      </c>
      <c r="H2603">
        <f>SUMIFS($F$2:F2603,$C$2:C2603,C2603)</f>
        <v>4712</v>
      </c>
      <c r="I2603" s="8">
        <f>STAMP_Escapement_Data[[#This Row],[DATE]]-DATE(STAMP_Escapement_Data[[#This Row],[YEAR]],8,1)</f>
        <v>35</v>
      </c>
    </row>
    <row r="2604" spans="1:9" x14ac:dyDescent="0.25">
      <c r="A2604" s="1">
        <v>44445</v>
      </c>
      <c r="B2604">
        <v>906</v>
      </c>
      <c r="C2604">
        <v>2021</v>
      </c>
      <c r="D2604">
        <v>720</v>
      </c>
      <c r="E2604">
        <v>138</v>
      </c>
      <c r="F2604">
        <v>503</v>
      </c>
      <c r="G2604">
        <v>69</v>
      </c>
      <c r="H2604">
        <f>SUMIFS($F$2:F2604,$C$2:C2604,C2604)</f>
        <v>5215</v>
      </c>
      <c r="I2604" s="8">
        <f>STAMP_Escapement_Data[[#This Row],[DATE]]-DATE(STAMP_Escapement_Data[[#This Row],[YEAR]],8,1)</f>
        <v>36</v>
      </c>
    </row>
    <row r="2605" spans="1:9" x14ac:dyDescent="0.25">
      <c r="A2605" s="1">
        <v>44446</v>
      </c>
      <c r="B2605">
        <v>907</v>
      </c>
      <c r="C2605">
        <v>2021</v>
      </c>
      <c r="D2605">
        <v>444</v>
      </c>
      <c r="E2605">
        <v>111</v>
      </c>
      <c r="F2605">
        <v>381</v>
      </c>
      <c r="G2605">
        <v>75</v>
      </c>
      <c r="H2605">
        <f>SUMIFS($F$2:F2605,$C$2:C2605,C2605)</f>
        <v>5596</v>
      </c>
      <c r="I2605" s="8">
        <f>STAMP_Escapement_Data[[#This Row],[DATE]]-DATE(STAMP_Escapement_Data[[#This Row],[YEAR]],8,1)</f>
        <v>37</v>
      </c>
    </row>
    <row r="2606" spans="1:9" x14ac:dyDescent="0.25">
      <c r="A2606" s="1">
        <v>44447</v>
      </c>
      <c r="B2606">
        <v>908</v>
      </c>
      <c r="C2606">
        <v>2021</v>
      </c>
      <c r="D2606">
        <v>442</v>
      </c>
      <c r="E2606">
        <v>132</v>
      </c>
      <c r="F2606">
        <v>416</v>
      </c>
      <c r="G2606">
        <v>120</v>
      </c>
      <c r="H2606">
        <f>SUMIFS($F$2:F2606,$C$2:C2606,C2606)</f>
        <v>6012</v>
      </c>
      <c r="I2606" s="8">
        <f>STAMP_Escapement_Data[[#This Row],[DATE]]-DATE(STAMP_Escapement_Data[[#This Row],[YEAR]],8,1)</f>
        <v>38</v>
      </c>
    </row>
    <row r="2607" spans="1:9" x14ac:dyDescent="0.25">
      <c r="A2607" s="1">
        <v>44448</v>
      </c>
      <c r="B2607">
        <v>909</v>
      </c>
      <c r="C2607">
        <v>2021</v>
      </c>
      <c r="D2607">
        <v>282</v>
      </c>
      <c r="E2607">
        <v>48</v>
      </c>
      <c r="F2607">
        <v>306</v>
      </c>
      <c r="G2607">
        <v>90</v>
      </c>
      <c r="H2607">
        <f>SUMIFS($F$2:F2607,$C$2:C2607,C2607)</f>
        <v>6318</v>
      </c>
      <c r="I2607" s="8">
        <f>STAMP_Escapement_Data[[#This Row],[DATE]]-DATE(STAMP_Escapement_Data[[#This Row],[YEAR]],8,1)</f>
        <v>39</v>
      </c>
    </row>
    <row r="2608" spans="1:9" x14ac:dyDescent="0.25">
      <c r="A2608" s="1">
        <v>44449</v>
      </c>
      <c r="B2608">
        <v>910</v>
      </c>
      <c r="C2608">
        <v>2021</v>
      </c>
      <c r="D2608">
        <v>261</v>
      </c>
      <c r="E2608">
        <v>76</v>
      </c>
      <c r="F2608">
        <v>378</v>
      </c>
      <c r="G2608">
        <v>186</v>
      </c>
      <c r="H2608">
        <f>SUMIFS($F$2:F2608,$C$2:C2608,C2608)</f>
        <v>6696</v>
      </c>
      <c r="I2608" s="8">
        <f>STAMP_Escapement_Data[[#This Row],[DATE]]-DATE(STAMP_Escapement_Data[[#This Row],[YEAR]],8,1)</f>
        <v>40</v>
      </c>
    </row>
    <row r="2609" spans="1:9" x14ac:dyDescent="0.25">
      <c r="A2609" s="1">
        <v>44450</v>
      </c>
      <c r="B2609">
        <v>911</v>
      </c>
      <c r="C2609">
        <v>2021</v>
      </c>
      <c r="D2609">
        <v>282</v>
      </c>
      <c r="E2609">
        <v>78</v>
      </c>
      <c r="F2609">
        <v>294</v>
      </c>
      <c r="G2609">
        <v>120</v>
      </c>
      <c r="H2609">
        <f>SUMIFS($F$2:F2609,$C$2:C2609,C2609)</f>
        <v>6990</v>
      </c>
      <c r="I2609" s="8">
        <f>STAMP_Escapement_Data[[#This Row],[DATE]]-DATE(STAMP_Escapement_Data[[#This Row],[YEAR]],8,1)</f>
        <v>41</v>
      </c>
    </row>
    <row r="2610" spans="1:9" x14ac:dyDescent="0.25">
      <c r="A2610" s="1">
        <v>44451</v>
      </c>
      <c r="B2610">
        <v>912</v>
      </c>
      <c r="C2610">
        <v>2021</v>
      </c>
      <c r="D2610">
        <v>582</v>
      </c>
      <c r="E2610">
        <v>66</v>
      </c>
      <c r="F2610">
        <v>282</v>
      </c>
      <c r="G2610">
        <v>180</v>
      </c>
      <c r="H2610">
        <f>SUMIFS($F$2:F2610,$C$2:C2610,C2610)</f>
        <v>7272</v>
      </c>
      <c r="I2610" s="8">
        <f>STAMP_Escapement_Data[[#This Row],[DATE]]-DATE(STAMP_Escapement_Data[[#This Row],[YEAR]],8,1)</f>
        <v>42</v>
      </c>
    </row>
    <row r="2611" spans="1:9" x14ac:dyDescent="0.25">
      <c r="A2611" s="1">
        <v>44452</v>
      </c>
      <c r="B2611">
        <v>913</v>
      </c>
      <c r="C2611">
        <v>2021</v>
      </c>
      <c r="D2611">
        <v>264</v>
      </c>
      <c r="E2611">
        <v>144</v>
      </c>
      <c r="F2611">
        <v>180</v>
      </c>
      <c r="G2611">
        <v>150</v>
      </c>
      <c r="H2611">
        <f>SUMIFS($F$2:F2611,$C$2:C2611,C2611)</f>
        <v>7452</v>
      </c>
      <c r="I2611" s="8">
        <f>STAMP_Escapement_Data[[#This Row],[DATE]]-DATE(STAMP_Escapement_Data[[#This Row],[YEAR]],8,1)</f>
        <v>43</v>
      </c>
    </row>
    <row r="2612" spans="1:9" x14ac:dyDescent="0.25">
      <c r="A2612" s="1">
        <v>44453</v>
      </c>
      <c r="B2612">
        <v>914</v>
      </c>
      <c r="C2612">
        <v>2021</v>
      </c>
      <c r="D2612">
        <v>204</v>
      </c>
      <c r="E2612">
        <v>66</v>
      </c>
      <c r="F2612">
        <v>306</v>
      </c>
      <c r="G2612">
        <v>54</v>
      </c>
      <c r="H2612">
        <f>SUMIFS($F$2:F2612,$C$2:C2612,C2612)</f>
        <v>7758</v>
      </c>
      <c r="I2612" s="8">
        <f>STAMP_Escapement_Data[[#This Row],[DATE]]-DATE(STAMP_Escapement_Data[[#This Row],[YEAR]],8,1)</f>
        <v>44</v>
      </c>
    </row>
    <row r="2613" spans="1:9" x14ac:dyDescent="0.25">
      <c r="A2613" s="1">
        <v>44454</v>
      </c>
      <c r="B2613">
        <v>915</v>
      </c>
      <c r="C2613">
        <v>2021</v>
      </c>
      <c r="D2613">
        <v>612</v>
      </c>
      <c r="E2613">
        <v>150</v>
      </c>
      <c r="F2613">
        <v>345</v>
      </c>
      <c r="G2613">
        <v>156</v>
      </c>
      <c r="H2613">
        <f>SUMIFS($F$2:F2613,$C$2:C2613,C2613)</f>
        <v>8103</v>
      </c>
      <c r="I2613" s="8">
        <f>STAMP_Escapement_Data[[#This Row],[DATE]]-DATE(STAMP_Escapement_Data[[#This Row],[YEAR]],8,1)</f>
        <v>45</v>
      </c>
    </row>
    <row r="2614" spans="1:9" x14ac:dyDescent="0.25">
      <c r="A2614" s="1">
        <v>44455</v>
      </c>
      <c r="B2614">
        <v>916</v>
      </c>
      <c r="C2614">
        <v>2021</v>
      </c>
      <c r="D2614">
        <v>990</v>
      </c>
      <c r="E2614">
        <v>258</v>
      </c>
      <c r="F2614">
        <v>426</v>
      </c>
      <c r="G2614">
        <v>198</v>
      </c>
      <c r="H2614">
        <f>SUMIFS($F$2:F2614,$C$2:C2614,C2614)</f>
        <v>8529</v>
      </c>
      <c r="I2614" s="8">
        <f>STAMP_Escapement_Data[[#This Row],[DATE]]-DATE(STAMP_Escapement_Data[[#This Row],[YEAR]],8,1)</f>
        <v>46</v>
      </c>
    </row>
    <row r="2615" spans="1:9" x14ac:dyDescent="0.25">
      <c r="A2615" s="1">
        <v>44456</v>
      </c>
      <c r="B2615">
        <v>917</v>
      </c>
      <c r="C2615">
        <v>2021</v>
      </c>
      <c r="D2615">
        <v>894</v>
      </c>
      <c r="E2615">
        <v>186</v>
      </c>
      <c r="F2615">
        <v>612</v>
      </c>
      <c r="G2615">
        <v>140</v>
      </c>
      <c r="H2615">
        <f>SUMIFS($F$2:F2615,$C$2:C2615,C2615)</f>
        <v>9141</v>
      </c>
      <c r="I2615" s="8">
        <f>STAMP_Escapement_Data[[#This Row],[DATE]]-DATE(STAMP_Escapement_Data[[#This Row],[YEAR]],8,1)</f>
        <v>47</v>
      </c>
    </row>
    <row r="2616" spans="1:9" x14ac:dyDescent="0.25">
      <c r="A2616" s="1">
        <v>44457</v>
      </c>
      <c r="B2616">
        <v>918</v>
      </c>
      <c r="C2616">
        <v>2021</v>
      </c>
      <c r="D2616">
        <v>2352</v>
      </c>
      <c r="E2616">
        <v>414</v>
      </c>
      <c r="F2616">
        <v>6528</v>
      </c>
      <c r="G2616">
        <v>732</v>
      </c>
      <c r="H2616">
        <f>SUMIFS($F$2:F2616,$C$2:C2616,C2616)</f>
        <v>15669</v>
      </c>
      <c r="I2616" s="8">
        <f>STAMP_Escapement_Data[[#This Row],[DATE]]-DATE(STAMP_Escapement_Data[[#This Row],[YEAR]],8,1)</f>
        <v>48</v>
      </c>
    </row>
    <row r="2617" spans="1:9" x14ac:dyDescent="0.25">
      <c r="A2617" s="1">
        <v>44458</v>
      </c>
      <c r="B2617">
        <v>919</v>
      </c>
      <c r="C2617">
        <v>2021</v>
      </c>
      <c r="D2617">
        <v>864</v>
      </c>
      <c r="E2617">
        <v>354</v>
      </c>
      <c r="F2617">
        <v>4575</v>
      </c>
      <c r="G2617">
        <v>672</v>
      </c>
      <c r="H2617">
        <f>SUMIFS($F$2:F2617,$C$2:C2617,C2617)</f>
        <v>20244</v>
      </c>
      <c r="I2617" s="8">
        <f>STAMP_Escapement_Data[[#This Row],[DATE]]-DATE(STAMP_Escapement_Data[[#This Row],[YEAR]],8,1)</f>
        <v>49</v>
      </c>
    </row>
    <row r="2618" spans="1:9" x14ac:dyDescent="0.25">
      <c r="A2618" s="1">
        <v>44459</v>
      </c>
      <c r="B2618">
        <v>920</v>
      </c>
      <c r="C2618">
        <v>2021</v>
      </c>
      <c r="D2618">
        <v>774</v>
      </c>
      <c r="E2618">
        <v>198</v>
      </c>
      <c r="F2618">
        <v>2772</v>
      </c>
      <c r="G2618">
        <v>408</v>
      </c>
      <c r="H2618">
        <f>SUMIFS($F$2:F2618,$C$2:C2618,C2618)</f>
        <v>23016</v>
      </c>
      <c r="I2618" s="8">
        <f>STAMP_Escapement_Data[[#This Row],[DATE]]-DATE(STAMP_Escapement_Data[[#This Row],[YEAR]],8,1)</f>
        <v>50</v>
      </c>
    </row>
    <row r="2619" spans="1:9" x14ac:dyDescent="0.25">
      <c r="A2619" s="1">
        <v>44460</v>
      </c>
      <c r="B2619">
        <v>921</v>
      </c>
      <c r="C2619">
        <v>2021</v>
      </c>
      <c r="D2619">
        <v>762</v>
      </c>
      <c r="E2619">
        <v>174</v>
      </c>
      <c r="F2619">
        <v>1686</v>
      </c>
      <c r="G2619">
        <v>426</v>
      </c>
      <c r="H2619">
        <f>SUMIFS($F$2:F2619,$C$2:C2619,C2619)</f>
        <v>24702</v>
      </c>
      <c r="I2619" s="8">
        <f>STAMP_Escapement_Data[[#This Row],[DATE]]-DATE(STAMP_Escapement_Data[[#This Row],[YEAR]],8,1)</f>
        <v>51</v>
      </c>
    </row>
    <row r="2620" spans="1:9" x14ac:dyDescent="0.25">
      <c r="A2620" s="1">
        <v>44461</v>
      </c>
      <c r="B2620">
        <v>922</v>
      </c>
      <c r="C2620">
        <v>2021</v>
      </c>
      <c r="D2620">
        <v>636</v>
      </c>
      <c r="E2620">
        <v>108</v>
      </c>
      <c r="F2620">
        <v>1392</v>
      </c>
      <c r="G2620">
        <v>252</v>
      </c>
      <c r="H2620">
        <f>SUMIFS($F$2:F2620,$C$2:C2620,C2620)</f>
        <v>26094</v>
      </c>
      <c r="I2620" s="8">
        <f>STAMP_Escapement_Data[[#This Row],[DATE]]-DATE(STAMP_Escapement_Data[[#This Row],[YEAR]],8,1)</f>
        <v>52</v>
      </c>
    </row>
    <row r="2621" spans="1:9" x14ac:dyDescent="0.25">
      <c r="A2621" s="1">
        <v>44462</v>
      </c>
      <c r="B2621">
        <v>923</v>
      </c>
      <c r="C2621">
        <v>2021</v>
      </c>
      <c r="D2621">
        <v>972</v>
      </c>
      <c r="E2621">
        <v>120</v>
      </c>
      <c r="F2621">
        <v>1596</v>
      </c>
      <c r="G2621">
        <v>336</v>
      </c>
      <c r="H2621">
        <f>SUMIFS($F$2:F2621,$C$2:C2621,C2621)</f>
        <v>27690</v>
      </c>
      <c r="I2621" s="8">
        <f>STAMP_Escapement_Data[[#This Row],[DATE]]-DATE(STAMP_Escapement_Data[[#This Row],[YEAR]],8,1)</f>
        <v>53</v>
      </c>
    </row>
    <row r="2622" spans="1:9" x14ac:dyDescent="0.25">
      <c r="A2622" s="1">
        <v>44463</v>
      </c>
      <c r="B2622">
        <v>924</v>
      </c>
      <c r="C2622">
        <v>2021</v>
      </c>
      <c r="D2622">
        <v>510</v>
      </c>
      <c r="E2622">
        <v>60</v>
      </c>
      <c r="F2622">
        <v>636</v>
      </c>
      <c r="G2622">
        <v>126</v>
      </c>
      <c r="H2622">
        <f>SUMIFS($F$2:F2622,$C$2:C2622,C2622)</f>
        <v>28326</v>
      </c>
      <c r="I2622" s="8">
        <f>STAMP_Escapement_Data[[#This Row],[DATE]]-DATE(STAMP_Escapement_Data[[#This Row],[YEAR]],8,1)</f>
        <v>54</v>
      </c>
    </row>
    <row r="2623" spans="1:9" x14ac:dyDescent="0.25">
      <c r="A2623" s="1">
        <v>44464</v>
      </c>
      <c r="B2623">
        <v>925</v>
      </c>
      <c r="C2623">
        <v>2021</v>
      </c>
      <c r="D2623">
        <v>312</v>
      </c>
      <c r="E2623">
        <v>72</v>
      </c>
      <c r="F2623">
        <v>474</v>
      </c>
      <c r="G2623">
        <v>108</v>
      </c>
      <c r="H2623">
        <f>SUMIFS($F$2:F2623,$C$2:C2623,C2623)</f>
        <v>28800</v>
      </c>
      <c r="I2623" s="8">
        <f>STAMP_Escapement_Data[[#This Row],[DATE]]-DATE(STAMP_Escapement_Data[[#This Row],[YEAR]],8,1)</f>
        <v>55</v>
      </c>
    </row>
    <row r="2624" spans="1:9" x14ac:dyDescent="0.25">
      <c r="A2624" s="1">
        <v>44465</v>
      </c>
      <c r="B2624">
        <v>926</v>
      </c>
      <c r="C2624">
        <v>2021</v>
      </c>
      <c r="D2624">
        <v>324</v>
      </c>
      <c r="E2624">
        <v>60</v>
      </c>
      <c r="F2624">
        <v>828</v>
      </c>
      <c r="G2624">
        <v>180</v>
      </c>
      <c r="H2624">
        <f>SUMIFS($F$2:F2624,$C$2:C2624,C2624)</f>
        <v>29628</v>
      </c>
      <c r="I2624" s="8">
        <f>STAMP_Escapement_Data[[#This Row],[DATE]]-DATE(STAMP_Escapement_Data[[#This Row],[YEAR]],8,1)</f>
        <v>56</v>
      </c>
    </row>
    <row r="2625" spans="1:9" x14ac:dyDescent="0.25">
      <c r="A2625" s="1">
        <v>44466</v>
      </c>
      <c r="B2625">
        <v>927</v>
      </c>
      <c r="C2625">
        <v>2021</v>
      </c>
      <c r="D2625">
        <v>384</v>
      </c>
      <c r="E2625">
        <v>66</v>
      </c>
      <c r="F2625">
        <v>2252</v>
      </c>
      <c r="G2625">
        <v>498</v>
      </c>
      <c r="H2625">
        <f>SUMIFS($F$2:F2625,$C$2:C2625,C2625)</f>
        <v>31880</v>
      </c>
      <c r="I2625" s="8">
        <f>STAMP_Escapement_Data[[#This Row],[DATE]]-DATE(STAMP_Escapement_Data[[#This Row],[YEAR]],8,1)</f>
        <v>57</v>
      </c>
    </row>
    <row r="2626" spans="1:9" x14ac:dyDescent="0.25">
      <c r="A2626" s="1">
        <v>44467</v>
      </c>
      <c r="B2626">
        <v>928</v>
      </c>
      <c r="C2626">
        <v>2021</v>
      </c>
      <c r="D2626">
        <v>702</v>
      </c>
      <c r="E2626">
        <v>24</v>
      </c>
      <c r="F2626">
        <v>4884</v>
      </c>
      <c r="G2626">
        <v>774</v>
      </c>
      <c r="H2626">
        <f>SUMIFS($F$2:F2626,$C$2:C2626,C2626)</f>
        <v>36764</v>
      </c>
      <c r="I2626" s="8">
        <f>STAMP_Escapement_Data[[#This Row],[DATE]]-DATE(STAMP_Escapement_Data[[#This Row],[YEAR]],8,1)</f>
        <v>58</v>
      </c>
    </row>
    <row r="2627" spans="1:9" x14ac:dyDescent="0.25">
      <c r="A2627" s="1">
        <v>44468</v>
      </c>
      <c r="B2627">
        <v>929</v>
      </c>
      <c r="C2627">
        <v>2021</v>
      </c>
      <c r="D2627">
        <v>168</v>
      </c>
      <c r="E2627">
        <v>36</v>
      </c>
      <c r="F2627">
        <v>1081</v>
      </c>
      <c r="G2627">
        <v>288</v>
      </c>
      <c r="H2627">
        <f>SUMIFS($F$2:F2627,$C$2:C2627,C2627)</f>
        <v>37845</v>
      </c>
      <c r="I2627" s="8">
        <f>STAMP_Escapement_Data[[#This Row],[DATE]]-DATE(STAMP_Escapement_Data[[#This Row],[YEAR]],8,1)</f>
        <v>59</v>
      </c>
    </row>
    <row r="2628" spans="1:9" x14ac:dyDescent="0.25">
      <c r="A2628" s="1">
        <v>44469</v>
      </c>
      <c r="B2628">
        <v>930</v>
      </c>
      <c r="C2628">
        <v>2021</v>
      </c>
      <c r="D2628">
        <v>258</v>
      </c>
      <c r="E2628">
        <v>6</v>
      </c>
      <c r="F2628">
        <v>1296</v>
      </c>
      <c r="G2628">
        <v>132</v>
      </c>
      <c r="H2628">
        <f>SUMIFS($F$2:F2628,$C$2:C2628,C2628)</f>
        <v>39141</v>
      </c>
      <c r="I2628" s="8">
        <f>STAMP_Escapement_Data[[#This Row],[DATE]]-DATE(STAMP_Escapement_Data[[#This Row],[YEAR]],8,1)</f>
        <v>60</v>
      </c>
    </row>
    <row r="2629" spans="1:9" x14ac:dyDescent="0.25">
      <c r="A2629" s="1">
        <v>44470</v>
      </c>
      <c r="B2629">
        <v>1001</v>
      </c>
      <c r="C2629">
        <v>2021</v>
      </c>
      <c r="D2629">
        <v>324</v>
      </c>
      <c r="E2629">
        <v>36</v>
      </c>
      <c r="F2629">
        <v>522</v>
      </c>
      <c r="G2629">
        <v>132</v>
      </c>
      <c r="H2629">
        <f>SUMIFS($F$2:F2629,$C$2:C2629,C2629)</f>
        <v>39663</v>
      </c>
      <c r="I2629" s="8">
        <f>STAMP_Escapement_Data[[#This Row],[DATE]]-DATE(STAMP_Escapement_Data[[#This Row],[YEAR]],8,1)</f>
        <v>61</v>
      </c>
    </row>
    <row r="2630" spans="1:9" x14ac:dyDescent="0.25">
      <c r="A2630" s="1">
        <v>44471</v>
      </c>
      <c r="B2630">
        <v>1002</v>
      </c>
      <c r="C2630">
        <v>2021</v>
      </c>
      <c r="D2630">
        <v>150</v>
      </c>
      <c r="E2630">
        <v>6</v>
      </c>
      <c r="F2630">
        <v>498</v>
      </c>
      <c r="G2630">
        <v>126</v>
      </c>
      <c r="H2630">
        <f>SUMIFS($F$2:F2630,$C$2:C2630,C2630)</f>
        <v>40161</v>
      </c>
      <c r="I2630" s="8">
        <f>STAMP_Escapement_Data[[#This Row],[DATE]]-DATE(STAMP_Escapement_Data[[#This Row],[YEAR]],8,1)</f>
        <v>62</v>
      </c>
    </row>
    <row r="2631" spans="1:9" x14ac:dyDescent="0.25">
      <c r="A2631" s="1">
        <v>44472</v>
      </c>
      <c r="B2631">
        <v>1003</v>
      </c>
      <c r="C2631">
        <v>2021</v>
      </c>
      <c r="D2631">
        <v>186</v>
      </c>
      <c r="E2631">
        <v>30</v>
      </c>
      <c r="F2631">
        <v>768</v>
      </c>
      <c r="G2631">
        <v>156</v>
      </c>
      <c r="H2631">
        <f>SUMIFS($F$2:F2631,$C$2:C2631,C2631)</f>
        <v>40929</v>
      </c>
      <c r="I2631" s="8">
        <f>STAMP_Escapement_Data[[#This Row],[DATE]]-DATE(STAMP_Escapement_Data[[#This Row],[YEAR]],8,1)</f>
        <v>63</v>
      </c>
    </row>
    <row r="2632" spans="1:9" x14ac:dyDescent="0.25">
      <c r="A2632" s="1">
        <v>44473</v>
      </c>
      <c r="B2632">
        <v>1004</v>
      </c>
      <c r="C2632">
        <v>2021</v>
      </c>
      <c r="D2632">
        <v>343</v>
      </c>
      <c r="E2632">
        <v>45</v>
      </c>
      <c r="F2632">
        <v>1005</v>
      </c>
      <c r="G2632">
        <v>194</v>
      </c>
      <c r="H2632">
        <f>SUMIFS($F$2:F2632,$C$2:C2632,C2632)</f>
        <v>41934</v>
      </c>
      <c r="I2632" s="8">
        <f>STAMP_Escapement_Data[[#This Row],[DATE]]-DATE(STAMP_Escapement_Data[[#This Row],[YEAR]],8,1)</f>
        <v>64</v>
      </c>
    </row>
    <row r="2633" spans="1:9" x14ac:dyDescent="0.25">
      <c r="A2633" s="1">
        <v>44474</v>
      </c>
      <c r="B2633">
        <v>1005</v>
      </c>
      <c r="C2633">
        <v>2021</v>
      </c>
      <c r="D2633">
        <v>276</v>
      </c>
      <c r="E2633">
        <v>30</v>
      </c>
      <c r="F2633">
        <v>1335</v>
      </c>
      <c r="G2633">
        <v>171</v>
      </c>
      <c r="H2633">
        <f>SUMIFS($F$2:F2633,$C$2:C2633,C2633)</f>
        <v>43269</v>
      </c>
      <c r="I2633" s="8">
        <f>STAMP_Escapement_Data[[#This Row],[DATE]]-DATE(STAMP_Escapement_Data[[#This Row],[YEAR]],8,1)</f>
        <v>65</v>
      </c>
    </row>
    <row r="2634" spans="1:9" x14ac:dyDescent="0.25">
      <c r="A2634" s="1">
        <v>44475</v>
      </c>
      <c r="B2634">
        <v>1006</v>
      </c>
      <c r="C2634">
        <v>2021</v>
      </c>
      <c r="D2634">
        <v>504</v>
      </c>
      <c r="E2634">
        <v>42</v>
      </c>
      <c r="F2634">
        <v>1776</v>
      </c>
      <c r="G2634">
        <v>126</v>
      </c>
      <c r="H2634">
        <f>SUMIFS($F$2:F2634,$C$2:C2634,C2634)</f>
        <v>45045</v>
      </c>
      <c r="I2634" s="8">
        <f>STAMP_Escapement_Data[[#This Row],[DATE]]-DATE(STAMP_Escapement_Data[[#This Row],[YEAR]],8,1)</f>
        <v>66</v>
      </c>
    </row>
    <row r="2635" spans="1:9" x14ac:dyDescent="0.25">
      <c r="A2635" s="1">
        <v>44476</v>
      </c>
      <c r="B2635">
        <v>1007</v>
      </c>
      <c r="C2635">
        <v>2021</v>
      </c>
      <c r="D2635">
        <v>286</v>
      </c>
      <c r="E2635">
        <v>29</v>
      </c>
      <c r="F2635">
        <v>848</v>
      </c>
      <c r="G2635">
        <v>114</v>
      </c>
      <c r="H2635">
        <f>SUMIFS($F$2:F2635,$C$2:C2635,C2635)</f>
        <v>45893</v>
      </c>
      <c r="I2635" s="8">
        <f>STAMP_Escapement_Data[[#This Row],[DATE]]-DATE(STAMP_Escapement_Data[[#This Row],[YEAR]],8,1)</f>
        <v>67</v>
      </c>
    </row>
    <row r="2636" spans="1:9" x14ac:dyDescent="0.25">
      <c r="A2636" s="1">
        <v>44477</v>
      </c>
      <c r="B2636">
        <v>1008</v>
      </c>
      <c r="C2636">
        <v>2021</v>
      </c>
      <c r="D2636">
        <v>259</v>
      </c>
      <c r="E2636">
        <v>24</v>
      </c>
      <c r="F2636">
        <v>785</v>
      </c>
      <c r="G2636">
        <v>136</v>
      </c>
      <c r="H2636">
        <f>SUMIFS($F$2:F2636,$C$2:C2636,C2636)</f>
        <v>46678</v>
      </c>
      <c r="I2636" s="8">
        <f>STAMP_Escapement_Data[[#This Row],[DATE]]-DATE(STAMP_Escapement_Data[[#This Row],[YEAR]],8,1)</f>
        <v>68</v>
      </c>
    </row>
    <row r="2637" spans="1:9" x14ac:dyDescent="0.25">
      <c r="A2637" s="1">
        <v>44478</v>
      </c>
      <c r="B2637">
        <v>1009</v>
      </c>
      <c r="C2637">
        <v>2021</v>
      </c>
      <c r="D2637">
        <v>201</v>
      </c>
      <c r="E2637">
        <v>18</v>
      </c>
      <c r="F2637">
        <v>1048</v>
      </c>
      <c r="G2637">
        <v>156</v>
      </c>
      <c r="H2637">
        <f>SUMIFS($F$2:F2637,$C$2:C2637,C2637)</f>
        <v>47726</v>
      </c>
      <c r="I2637" s="8">
        <f>STAMP_Escapement_Data[[#This Row],[DATE]]-DATE(STAMP_Escapement_Data[[#This Row],[YEAR]],8,1)</f>
        <v>69</v>
      </c>
    </row>
    <row r="2638" spans="1:9" x14ac:dyDescent="0.25">
      <c r="A2638" s="1">
        <v>44479</v>
      </c>
      <c r="B2638">
        <v>1010</v>
      </c>
      <c r="C2638">
        <v>2021</v>
      </c>
      <c r="D2638">
        <v>189</v>
      </c>
      <c r="E2638">
        <v>25</v>
      </c>
      <c r="F2638">
        <v>1159</v>
      </c>
      <c r="G2638">
        <v>172</v>
      </c>
      <c r="H2638">
        <f>SUMIFS($F$2:F2638,$C$2:C2638,C2638)</f>
        <v>48885</v>
      </c>
      <c r="I2638" s="8">
        <f>STAMP_Escapement_Data[[#This Row],[DATE]]-DATE(STAMP_Escapement_Data[[#This Row],[YEAR]],8,1)</f>
        <v>70</v>
      </c>
    </row>
    <row r="2639" spans="1:9" x14ac:dyDescent="0.25">
      <c r="A2639" s="1">
        <v>44480</v>
      </c>
      <c r="B2639">
        <v>1011</v>
      </c>
      <c r="C2639">
        <v>2021</v>
      </c>
      <c r="D2639">
        <v>157</v>
      </c>
      <c r="E2639">
        <v>14</v>
      </c>
      <c r="F2639">
        <v>1032</v>
      </c>
      <c r="G2639">
        <v>87</v>
      </c>
      <c r="H2639">
        <f>SUMIFS($F$2:F2639,$C$2:C2639,C2639)</f>
        <v>49917</v>
      </c>
      <c r="I2639" s="8">
        <f>STAMP_Escapement_Data[[#This Row],[DATE]]-DATE(STAMP_Escapement_Data[[#This Row],[YEAR]],8,1)</f>
        <v>71</v>
      </c>
    </row>
    <row r="2640" spans="1:9" x14ac:dyDescent="0.25">
      <c r="A2640" s="1">
        <v>44481</v>
      </c>
      <c r="B2640">
        <v>1012</v>
      </c>
      <c r="C2640">
        <v>2021</v>
      </c>
      <c r="D2640">
        <v>118</v>
      </c>
      <c r="E2640">
        <v>7</v>
      </c>
      <c r="F2640">
        <v>1074</v>
      </c>
      <c r="G2640">
        <v>140</v>
      </c>
      <c r="H2640">
        <f>SUMIFS($F$2:F2640,$C$2:C2640,C2640)</f>
        <v>50991</v>
      </c>
      <c r="I2640" s="8">
        <f>STAMP_Escapement_Data[[#This Row],[DATE]]-DATE(STAMP_Escapement_Data[[#This Row],[YEAR]],8,1)</f>
        <v>72</v>
      </c>
    </row>
    <row r="2641" spans="1:9" x14ac:dyDescent="0.25">
      <c r="A2641" s="1">
        <v>44482</v>
      </c>
      <c r="B2641">
        <v>1013</v>
      </c>
      <c r="C2641">
        <v>2021</v>
      </c>
      <c r="D2641">
        <v>176</v>
      </c>
      <c r="E2641">
        <v>11</v>
      </c>
      <c r="F2641">
        <v>959</v>
      </c>
      <c r="G2641">
        <v>95</v>
      </c>
      <c r="H2641">
        <f>SUMIFS($F$2:F2641,$C$2:C2641,C2641)</f>
        <v>51950</v>
      </c>
      <c r="I2641" s="8">
        <f>STAMP_Escapement_Data[[#This Row],[DATE]]-DATE(STAMP_Escapement_Data[[#This Row],[YEAR]],8,1)</f>
        <v>73</v>
      </c>
    </row>
    <row r="2642" spans="1:9" x14ac:dyDescent="0.25">
      <c r="A2642" s="1">
        <v>44483</v>
      </c>
      <c r="B2642">
        <v>1014</v>
      </c>
      <c r="C2642">
        <v>2021</v>
      </c>
      <c r="D2642">
        <v>114</v>
      </c>
      <c r="E2642">
        <v>10</v>
      </c>
      <c r="F2642">
        <v>955</v>
      </c>
      <c r="G2642">
        <v>143</v>
      </c>
      <c r="H2642">
        <f>SUMIFS($F$2:F2642,$C$2:C2642,C2642)</f>
        <v>52905</v>
      </c>
      <c r="I2642" s="8">
        <f>STAMP_Escapement_Data[[#This Row],[DATE]]-DATE(STAMP_Escapement_Data[[#This Row],[YEAR]],8,1)</f>
        <v>74</v>
      </c>
    </row>
    <row r="2643" spans="1:9" x14ac:dyDescent="0.25">
      <c r="A2643" s="1">
        <v>44484</v>
      </c>
      <c r="B2643">
        <v>1015</v>
      </c>
      <c r="C2643">
        <v>2021</v>
      </c>
      <c r="D2643">
        <v>93</v>
      </c>
      <c r="E2643">
        <v>10</v>
      </c>
      <c r="F2643">
        <v>1018</v>
      </c>
      <c r="G2643">
        <v>167</v>
      </c>
      <c r="H2643">
        <f>SUMIFS($F$2:F2643,$C$2:C2643,C2643)</f>
        <v>53923</v>
      </c>
      <c r="I2643" s="8">
        <f>STAMP_Escapement_Data[[#This Row],[DATE]]-DATE(STAMP_Escapement_Data[[#This Row],[YEAR]],8,1)</f>
        <v>75</v>
      </c>
    </row>
    <row r="2644" spans="1:9" x14ac:dyDescent="0.25">
      <c r="A2644" s="1">
        <v>44485</v>
      </c>
      <c r="B2644">
        <v>1016</v>
      </c>
      <c r="C2644">
        <v>2021</v>
      </c>
      <c r="D2644">
        <v>120</v>
      </c>
      <c r="E2644">
        <v>1</v>
      </c>
      <c r="F2644">
        <v>536</v>
      </c>
      <c r="G2644">
        <v>133</v>
      </c>
      <c r="H2644">
        <f>SUMIFS($F$2:F2644,$C$2:C2644,C2644)</f>
        <v>54459</v>
      </c>
      <c r="I2644" s="8">
        <f>STAMP_Escapement_Data[[#This Row],[DATE]]-DATE(STAMP_Escapement_Data[[#This Row],[YEAR]],8,1)</f>
        <v>76</v>
      </c>
    </row>
    <row r="2645" spans="1:9" x14ac:dyDescent="0.25">
      <c r="A2645" s="1">
        <v>44486</v>
      </c>
      <c r="B2645">
        <v>1017</v>
      </c>
      <c r="C2645">
        <v>2021</v>
      </c>
      <c r="D2645">
        <v>6</v>
      </c>
      <c r="E2645">
        <v>0</v>
      </c>
      <c r="F2645">
        <v>19</v>
      </c>
      <c r="G2645">
        <v>0</v>
      </c>
      <c r="H2645">
        <f>SUMIFS($F$2:F2645,$C$2:C2645,C2645)</f>
        <v>54478</v>
      </c>
      <c r="I2645" s="8">
        <f>STAMP_Escapement_Data[[#This Row],[DATE]]-DATE(STAMP_Escapement_Data[[#This Row],[YEAR]],8,1)</f>
        <v>77</v>
      </c>
    </row>
    <row r="2646" spans="1:9" x14ac:dyDescent="0.25">
      <c r="A2646" s="1">
        <v>44487</v>
      </c>
      <c r="B2646">
        <v>1018</v>
      </c>
      <c r="C2646">
        <v>2021</v>
      </c>
      <c r="D2646">
        <v>25</v>
      </c>
      <c r="E2646">
        <v>2</v>
      </c>
      <c r="F2646">
        <v>18</v>
      </c>
      <c r="G2646">
        <v>1</v>
      </c>
      <c r="H2646">
        <f>SUMIFS($F$2:F2646,$C$2:C2646,C2646)</f>
        <v>54496</v>
      </c>
      <c r="I2646" s="8">
        <f>STAMP_Escapement_Data[[#This Row],[DATE]]-DATE(STAMP_Escapement_Data[[#This Row],[YEAR]],8,1)</f>
        <v>78</v>
      </c>
    </row>
    <row r="2647" spans="1:9" x14ac:dyDescent="0.25">
      <c r="A2647" s="1">
        <v>44488</v>
      </c>
      <c r="B2647">
        <v>1019</v>
      </c>
      <c r="C2647">
        <v>2021</v>
      </c>
      <c r="D2647">
        <v>120</v>
      </c>
      <c r="E2647">
        <v>4</v>
      </c>
      <c r="F2647">
        <v>183</v>
      </c>
      <c r="G2647">
        <v>27</v>
      </c>
      <c r="H2647">
        <f>SUMIFS($F$2:F2647,$C$2:C2647,C2647)</f>
        <v>54679</v>
      </c>
      <c r="I2647" s="8">
        <f>STAMP_Escapement_Data[[#This Row],[DATE]]-DATE(STAMP_Escapement_Data[[#This Row],[YEAR]],8,1)</f>
        <v>79</v>
      </c>
    </row>
    <row r="2648" spans="1:9" x14ac:dyDescent="0.25">
      <c r="A2648" s="1">
        <v>44773</v>
      </c>
      <c r="B2648">
        <v>731</v>
      </c>
      <c r="C2648">
        <v>2022</v>
      </c>
      <c r="D2648">
        <v>56</v>
      </c>
      <c r="E2648">
        <v>0</v>
      </c>
      <c r="F2648">
        <v>67</v>
      </c>
      <c r="G2648">
        <v>0</v>
      </c>
      <c r="H2648">
        <f>SUMIFS($F$2:F2648,$C$2:C2648,C2648)</f>
        <v>67</v>
      </c>
      <c r="I2648" s="8">
        <f>STAMP_Escapement_Data[[#This Row],[DATE]]-DATE(STAMP_Escapement_Data[[#This Row],[YEAR]],8,1)</f>
        <v>-1</v>
      </c>
    </row>
    <row r="2649" spans="1:9" x14ac:dyDescent="0.25">
      <c r="A2649" s="1">
        <v>44774</v>
      </c>
      <c r="B2649">
        <v>801</v>
      </c>
      <c r="C2649">
        <v>2022</v>
      </c>
      <c r="D2649">
        <v>15</v>
      </c>
      <c r="E2649">
        <v>0</v>
      </c>
      <c r="F2649">
        <v>7</v>
      </c>
      <c r="G2649">
        <v>0</v>
      </c>
      <c r="H2649">
        <f>SUMIFS($F$2:F2649,$C$2:C2649,C2649)</f>
        <v>74</v>
      </c>
      <c r="I2649" s="8">
        <f>STAMP_Escapement_Data[[#This Row],[DATE]]-DATE(STAMP_Escapement_Data[[#This Row],[YEAR]],8,1)</f>
        <v>0</v>
      </c>
    </row>
    <row r="2650" spans="1:9" x14ac:dyDescent="0.25">
      <c r="A2650" s="1">
        <v>44775</v>
      </c>
      <c r="B2650">
        <v>802</v>
      </c>
      <c r="C2650">
        <v>2022</v>
      </c>
      <c r="D2650">
        <v>3</v>
      </c>
      <c r="E2650">
        <v>0</v>
      </c>
      <c r="F2650">
        <v>3</v>
      </c>
      <c r="G2650">
        <v>0</v>
      </c>
      <c r="H2650">
        <f>SUMIFS($F$2:F2650,$C$2:C2650,C2650)</f>
        <v>77</v>
      </c>
      <c r="I2650" s="8">
        <f>STAMP_Escapement_Data[[#This Row],[DATE]]-DATE(STAMP_Escapement_Data[[#This Row],[YEAR]],8,1)</f>
        <v>1</v>
      </c>
    </row>
    <row r="2651" spans="1:9" x14ac:dyDescent="0.25">
      <c r="A2651" s="1">
        <v>44776</v>
      </c>
      <c r="B2651">
        <v>803</v>
      </c>
      <c r="C2651">
        <v>2022</v>
      </c>
      <c r="D2651">
        <v>0</v>
      </c>
      <c r="E2651">
        <v>0</v>
      </c>
      <c r="F2651">
        <v>0</v>
      </c>
      <c r="G2651">
        <v>0</v>
      </c>
      <c r="H2651">
        <f>SUMIFS($F$2:F2651,$C$2:C2651,C2651)</f>
        <v>77</v>
      </c>
      <c r="I2651" s="8">
        <f>STAMP_Escapement_Data[[#This Row],[DATE]]-DATE(STAMP_Escapement_Data[[#This Row],[YEAR]],8,1)</f>
        <v>2</v>
      </c>
    </row>
    <row r="2652" spans="1:9" x14ac:dyDescent="0.25">
      <c r="A2652" s="1">
        <v>44777</v>
      </c>
      <c r="B2652">
        <v>804</v>
      </c>
      <c r="C2652">
        <v>2022</v>
      </c>
      <c r="D2652">
        <v>1</v>
      </c>
      <c r="E2652">
        <v>0</v>
      </c>
      <c r="F2652">
        <v>4</v>
      </c>
      <c r="G2652">
        <v>0</v>
      </c>
      <c r="H2652">
        <f>SUMIFS($F$2:F2652,$C$2:C2652,C2652)</f>
        <v>81</v>
      </c>
      <c r="I2652" s="8">
        <f>STAMP_Escapement_Data[[#This Row],[DATE]]-DATE(STAMP_Escapement_Data[[#This Row],[YEAR]],8,1)</f>
        <v>3</v>
      </c>
    </row>
    <row r="2653" spans="1:9" x14ac:dyDescent="0.25">
      <c r="A2653" s="1">
        <v>44778</v>
      </c>
      <c r="B2653">
        <v>805</v>
      </c>
      <c r="C2653">
        <v>2022</v>
      </c>
      <c r="D2653">
        <v>0</v>
      </c>
      <c r="E2653">
        <v>0</v>
      </c>
      <c r="F2653">
        <v>4</v>
      </c>
      <c r="G2653">
        <v>0</v>
      </c>
      <c r="H2653">
        <f>SUMIFS($F$2:F2653,$C$2:C2653,C2653)</f>
        <v>85</v>
      </c>
      <c r="I2653" s="8">
        <f>STAMP_Escapement_Data[[#This Row],[DATE]]-DATE(STAMP_Escapement_Data[[#This Row],[YEAR]],8,1)</f>
        <v>4</v>
      </c>
    </row>
    <row r="2654" spans="1:9" x14ac:dyDescent="0.25">
      <c r="A2654" s="1">
        <v>44779</v>
      </c>
      <c r="B2654">
        <v>806</v>
      </c>
      <c r="C2654">
        <v>2022</v>
      </c>
      <c r="D2654">
        <v>17</v>
      </c>
      <c r="E2654">
        <v>4</v>
      </c>
      <c r="F2654">
        <v>12</v>
      </c>
      <c r="G2654">
        <v>0</v>
      </c>
      <c r="H2654">
        <f>SUMIFS($F$2:F2654,$C$2:C2654,C2654)</f>
        <v>97</v>
      </c>
      <c r="I2654" s="8">
        <f>STAMP_Escapement_Data[[#This Row],[DATE]]-DATE(STAMP_Escapement_Data[[#This Row],[YEAR]],8,1)</f>
        <v>5</v>
      </c>
    </row>
    <row r="2655" spans="1:9" x14ac:dyDescent="0.25">
      <c r="A2655" s="1">
        <v>44780</v>
      </c>
      <c r="B2655">
        <v>807</v>
      </c>
      <c r="C2655">
        <v>2022</v>
      </c>
      <c r="D2655">
        <v>7</v>
      </c>
      <c r="E2655">
        <v>1</v>
      </c>
      <c r="F2655">
        <v>42</v>
      </c>
      <c r="G2655">
        <v>0</v>
      </c>
      <c r="H2655">
        <f>SUMIFS($F$2:F2655,$C$2:C2655,C2655)</f>
        <v>139</v>
      </c>
      <c r="I2655" s="8">
        <f>STAMP_Escapement_Data[[#This Row],[DATE]]-DATE(STAMP_Escapement_Data[[#This Row],[YEAR]],8,1)</f>
        <v>6</v>
      </c>
    </row>
    <row r="2656" spans="1:9" x14ac:dyDescent="0.25">
      <c r="A2656" s="1">
        <v>44781</v>
      </c>
      <c r="B2656">
        <v>808</v>
      </c>
      <c r="C2656">
        <v>2022</v>
      </c>
      <c r="D2656">
        <v>5</v>
      </c>
      <c r="E2656">
        <v>0</v>
      </c>
      <c r="F2656">
        <v>64</v>
      </c>
      <c r="G2656">
        <v>0</v>
      </c>
      <c r="H2656">
        <f>SUMIFS($F$2:F2656,$C$2:C2656,C2656)</f>
        <v>203</v>
      </c>
      <c r="I2656" s="8">
        <f>STAMP_Escapement_Data[[#This Row],[DATE]]-DATE(STAMP_Escapement_Data[[#This Row],[YEAR]],8,1)</f>
        <v>7</v>
      </c>
    </row>
    <row r="2657" spans="1:9" x14ac:dyDescent="0.25">
      <c r="A2657" s="1">
        <v>44782</v>
      </c>
      <c r="B2657">
        <v>809</v>
      </c>
      <c r="C2657">
        <v>2022</v>
      </c>
      <c r="D2657">
        <v>14</v>
      </c>
      <c r="E2657">
        <v>2</v>
      </c>
      <c r="F2657">
        <v>27</v>
      </c>
      <c r="G2657">
        <v>0</v>
      </c>
      <c r="H2657">
        <f>SUMIFS($F$2:F2657,$C$2:C2657,C2657)</f>
        <v>230</v>
      </c>
      <c r="I2657" s="8">
        <f>STAMP_Escapement_Data[[#This Row],[DATE]]-DATE(STAMP_Escapement_Data[[#This Row],[YEAR]],8,1)</f>
        <v>8</v>
      </c>
    </row>
    <row r="2658" spans="1:9" x14ac:dyDescent="0.25">
      <c r="A2658" s="1">
        <v>44783</v>
      </c>
      <c r="B2658">
        <v>810</v>
      </c>
      <c r="C2658">
        <v>2022</v>
      </c>
      <c r="D2658">
        <v>19</v>
      </c>
      <c r="E2658">
        <v>0</v>
      </c>
      <c r="F2658">
        <v>62</v>
      </c>
      <c r="G2658">
        <v>0</v>
      </c>
      <c r="H2658">
        <f>SUMIFS($F$2:F2658,$C$2:C2658,C2658)</f>
        <v>292</v>
      </c>
      <c r="I2658" s="8">
        <f>STAMP_Escapement_Data[[#This Row],[DATE]]-DATE(STAMP_Escapement_Data[[#This Row],[YEAR]],8,1)</f>
        <v>9</v>
      </c>
    </row>
    <row r="2659" spans="1:9" x14ac:dyDescent="0.25">
      <c r="A2659" s="1">
        <v>44784</v>
      </c>
      <c r="B2659">
        <v>811</v>
      </c>
      <c r="C2659">
        <v>2022</v>
      </c>
      <c r="D2659">
        <v>60</v>
      </c>
      <c r="E2659">
        <v>0</v>
      </c>
      <c r="F2659">
        <v>26</v>
      </c>
      <c r="G2659">
        <v>0</v>
      </c>
      <c r="H2659">
        <f>SUMIFS($F$2:F2659,$C$2:C2659,C2659)</f>
        <v>318</v>
      </c>
      <c r="I2659" s="8">
        <f>STAMP_Escapement_Data[[#This Row],[DATE]]-DATE(STAMP_Escapement_Data[[#This Row],[YEAR]],8,1)</f>
        <v>10</v>
      </c>
    </row>
    <row r="2660" spans="1:9" x14ac:dyDescent="0.25">
      <c r="A2660" s="1">
        <v>44785</v>
      </c>
      <c r="B2660">
        <v>812</v>
      </c>
      <c r="C2660">
        <v>2022</v>
      </c>
      <c r="D2660">
        <v>18</v>
      </c>
      <c r="E2660">
        <v>1</v>
      </c>
      <c r="F2660">
        <v>55</v>
      </c>
      <c r="G2660">
        <v>0</v>
      </c>
      <c r="H2660">
        <f>SUMIFS($F$2:F2660,$C$2:C2660,C2660)</f>
        <v>373</v>
      </c>
      <c r="I2660" s="8">
        <f>STAMP_Escapement_Data[[#This Row],[DATE]]-DATE(STAMP_Escapement_Data[[#This Row],[YEAR]],8,1)</f>
        <v>11</v>
      </c>
    </row>
    <row r="2661" spans="1:9" x14ac:dyDescent="0.25">
      <c r="A2661" s="1">
        <v>44786</v>
      </c>
      <c r="B2661">
        <v>813</v>
      </c>
      <c r="C2661">
        <v>2022</v>
      </c>
      <c r="D2661">
        <v>27</v>
      </c>
      <c r="E2661">
        <v>0</v>
      </c>
      <c r="F2661">
        <v>166</v>
      </c>
      <c r="G2661">
        <v>0</v>
      </c>
      <c r="H2661">
        <f>SUMIFS($F$2:F2661,$C$2:C2661,C2661)</f>
        <v>539</v>
      </c>
      <c r="I2661" s="8">
        <f>STAMP_Escapement_Data[[#This Row],[DATE]]-DATE(STAMP_Escapement_Data[[#This Row],[YEAR]],8,1)</f>
        <v>12</v>
      </c>
    </row>
    <row r="2662" spans="1:9" x14ac:dyDescent="0.25">
      <c r="A2662" s="1">
        <v>44787</v>
      </c>
      <c r="B2662">
        <v>814</v>
      </c>
      <c r="C2662">
        <v>2022</v>
      </c>
      <c r="D2662">
        <v>24</v>
      </c>
      <c r="E2662">
        <v>1</v>
      </c>
      <c r="F2662">
        <v>136</v>
      </c>
      <c r="G2662">
        <v>0</v>
      </c>
      <c r="H2662">
        <f>SUMIFS($F$2:F2662,$C$2:C2662,C2662)</f>
        <v>675</v>
      </c>
      <c r="I2662" s="8">
        <f>STAMP_Escapement_Data[[#This Row],[DATE]]-DATE(STAMP_Escapement_Data[[#This Row],[YEAR]],8,1)</f>
        <v>13</v>
      </c>
    </row>
    <row r="2663" spans="1:9" x14ac:dyDescent="0.25">
      <c r="A2663" s="1">
        <v>44788</v>
      </c>
      <c r="B2663">
        <v>815</v>
      </c>
      <c r="C2663">
        <v>2022</v>
      </c>
      <c r="D2663">
        <v>59</v>
      </c>
      <c r="E2663">
        <v>8</v>
      </c>
      <c r="F2663">
        <v>195</v>
      </c>
      <c r="G2663">
        <v>1</v>
      </c>
      <c r="H2663">
        <f>SUMIFS($F$2:F2663,$C$2:C2663,C2663)</f>
        <v>870</v>
      </c>
      <c r="I2663" s="8">
        <f>STAMP_Escapement_Data[[#This Row],[DATE]]-DATE(STAMP_Escapement_Data[[#This Row],[YEAR]],8,1)</f>
        <v>14</v>
      </c>
    </row>
    <row r="2664" spans="1:9" x14ac:dyDescent="0.25">
      <c r="A2664" s="1">
        <v>44789</v>
      </c>
      <c r="B2664">
        <v>816</v>
      </c>
      <c r="C2664">
        <v>2022</v>
      </c>
      <c r="D2664">
        <v>55</v>
      </c>
      <c r="E2664">
        <v>5</v>
      </c>
      <c r="F2664">
        <v>279</v>
      </c>
      <c r="G2664">
        <v>4</v>
      </c>
      <c r="H2664">
        <f>SUMIFS($F$2:F2664,$C$2:C2664,C2664)</f>
        <v>1149</v>
      </c>
      <c r="I2664" s="8">
        <f>STAMP_Escapement_Data[[#This Row],[DATE]]-DATE(STAMP_Escapement_Data[[#This Row],[YEAR]],8,1)</f>
        <v>15</v>
      </c>
    </row>
    <row r="2665" spans="1:9" x14ac:dyDescent="0.25">
      <c r="A2665" s="1">
        <v>44790</v>
      </c>
      <c r="B2665">
        <v>817</v>
      </c>
      <c r="C2665">
        <v>2022</v>
      </c>
      <c r="D2665">
        <v>44</v>
      </c>
      <c r="E2665">
        <v>5</v>
      </c>
      <c r="F2665">
        <v>178</v>
      </c>
      <c r="G2665">
        <v>2</v>
      </c>
      <c r="H2665">
        <f>SUMIFS($F$2:F2665,$C$2:C2665,C2665)</f>
        <v>1327</v>
      </c>
      <c r="I2665" s="8">
        <f>STAMP_Escapement_Data[[#This Row],[DATE]]-DATE(STAMP_Escapement_Data[[#This Row],[YEAR]],8,1)</f>
        <v>16</v>
      </c>
    </row>
    <row r="2666" spans="1:9" x14ac:dyDescent="0.25">
      <c r="A2666" s="1">
        <v>44791</v>
      </c>
      <c r="B2666">
        <v>818</v>
      </c>
      <c r="C2666">
        <v>2022</v>
      </c>
      <c r="D2666">
        <v>24</v>
      </c>
      <c r="E2666">
        <v>2</v>
      </c>
      <c r="F2666">
        <v>149</v>
      </c>
      <c r="G2666">
        <v>3</v>
      </c>
      <c r="H2666">
        <f>SUMIFS($F$2:F2666,$C$2:C2666,C2666)</f>
        <v>1476</v>
      </c>
      <c r="I2666" s="8">
        <f>STAMP_Escapement_Data[[#This Row],[DATE]]-DATE(STAMP_Escapement_Data[[#This Row],[YEAR]],8,1)</f>
        <v>17</v>
      </c>
    </row>
    <row r="2667" spans="1:9" x14ac:dyDescent="0.25">
      <c r="A2667" s="1">
        <v>44792</v>
      </c>
      <c r="B2667">
        <v>819</v>
      </c>
      <c r="C2667">
        <v>2022</v>
      </c>
      <c r="D2667">
        <v>5</v>
      </c>
      <c r="E2667">
        <v>0</v>
      </c>
      <c r="F2667">
        <v>120</v>
      </c>
      <c r="G2667">
        <v>4</v>
      </c>
      <c r="H2667">
        <f>SUMIFS($F$2:F2667,$C$2:C2667,C2667)</f>
        <v>1596</v>
      </c>
      <c r="I2667" s="8">
        <f>STAMP_Escapement_Data[[#This Row],[DATE]]-DATE(STAMP_Escapement_Data[[#This Row],[YEAR]],8,1)</f>
        <v>18</v>
      </c>
    </row>
    <row r="2668" spans="1:9" x14ac:dyDescent="0.25">
      <c r="A2668" s="1">
        <v>44793</v>
      </c>
      <c r="B2668">
        <v>820</v>
      </c>
      <c r="C2668">
        <v>2022</v>
      </c>
      <c r="D2668">
        <v>6</v>
      </c>
      <c r="E2668">
        <v>1</v>
      </c>
      <c r="F2668">
        <v>50</v>
      </c>
      <c r="G2668">
        <v>4</v>
      </c>
      <c r="H2668">
        <f>SUMIFS($F$2:F2668,$C$2:C2668,C2668)</f>
        <v>1646</v>
      </c>
      <c r="I2668" s="8">
        <f>STAMP_Escapement_Data[[#This Row],[DATE]]-DATE(STAMP_Escapement_Data[[#This Row],[YEAR]],8,1)</f>
        <v>19</v>
      </c>
    </row>
    <row r="2669" spans="1:9" x14ac:dyDescent="0.25">
      <c r="A2669" s="1">
        <v>44794</v>
      </c>
      <c r="B2669">
        <v>821</v>
      </c>
      <c r="C2669">
        <v>2022</v>
      </c>
      <c r="D2669">
        <v>13</v>
      </c>
      <c r="E2669">
        <v>5</v>
      </c>
      <c r="F2669">
        <v>122</v>
      </c>
      <c r="G2669">
        <v>5</v>
      </c>
      <c r="H2669">
        <f>SUMIFS($F$2:F2669,$C$2:C2669,C2669)</f>
        <v>1768</v>
      </c>
      <c r="I2669" s="8">
        <f>STAMP_Escapement_Data[[#This Row],[DATE]]-DATE(STAMP_Escapement_Data[[#This Row],[YEAR]],8,1)</f>
        <v>20</v>
      </c>
    </row>
    <row r="2670" spans="1:9" x14ac:dyDescent="0.25">
      <c r="A2670" s="1">
        <v>44795</v>
      </c>
      <c r="B2670">
        <v>822</v>
      </c>
      <c r="C2670">
        <v>2022</v>
      </c>
      <c r="D2670">
        <v>13</v>
      </c>
      <c r="E2670">
        <v>1</v>
      </c>
      <c r="F2670">
        <v>74</v>
      </c>
      <c r="G2670">
        <v>7</v>
      </c>
      <c r="H2670">
        <f>SUMIFS($F$2:F2670,$C$2:C2670,C2670)</f>
        <v>1842</v>
      </c>
      <c r="I2670" s="8">
        <f>STAMP_Escapement_Data[[#This Row],[DATE]]-DATE(STAMP_Escapement_Data[[#This Row],[YEAR]],8,1)</f>
        <v>21</v>
      </c>
    </row>
    <row r="2671" spans="1:9" x14ac:dyDescent="0.25">
      <c r="A2671" s="1">
        <v>44796</v>
      </c>
      <c r="B2671">
        <v>823</v>
      </c>
      <c r="C2671">
        <v>2022</v>
      </c>
      <c r="D2671">
        <v>35</v>
      </c>
      <c r="E2671">
        <v>11</v>
      </c>
      <c r="F2671">
        <v>133</v>
      </c>
      <c r="G2671">
        <v>17</v>
      </c>
      <c r="H2671">
        <f>SUMIFS($F$2:F2671,$C$2:C2671,C2671)</f>
        <v>1975</v>
      </c>
      <c r="I2671" s="8">
        <f>STAMP_Escapement_Data[[#This Row],[DATE]]-DATE(STAMP_Escapement_Data[[#This Row],[YEAR]],8,1)</f>
        <v>22</v>
      </c>
    </row>
    <row r="2672" spans="1:9" x14ac:dyDescent="0.25">
      <c r="A2672" s="1">
        <v>44797</v>
      </c>
      <c r="B2672">
        <v>824</v>
      </c>
      <c r="C2672">
        <v>2022</v>
      </c>
      <c r="D2672">
        <v>4</v>
      </c>
      <c r="E2672">
        <v>0</v>
      </c>
      <c r="F2672">
        <v>357</v>
      </c>
      <c r="G2672">
        <v>24</v>
      </c>
      <c r="H2672">
        <f>SUMIFS($F$2:F2672,$C$2:C2672,C2672)</f>
        <v>2332</v>
      </c>
      <c r="I2672" s="8">
        <f>STAMP_Escapement_Data[[#This Row],[DATE]]-DATE(STAMP_Escapement_Data[[#This Row],[YEAR]],8,1)</f>
        <v>23</v>
      </c>
    </row>
    <row r="2673" spans="1:9" x14ac:dyDescent="0.25">
      <c r="A2673" s="1">
        <v>44798</v>
      </c>
      <c r="B2673">
        <v>825</v>
      </c>
      <c r="C2673">
        <v>2022</v>
      </c>
      <c r="D2673">
        <v>49</v>
      </c>
      <c r="E2673">
        <v>4</v>
      </c>
      <c r="F2673">
        <v>325</v>
      </c>
      <c r="G2673">
        <v>33</v>
      </c>
      <c r="H2673">
        <f>SUMIFS($F$2:F2673,$C$2:C2673,C2673)</f>
        <v>2657</v>
      </c>
      <c r="I2673" s="8">
        <f>STAMP_Escapement_Data[[#This Row],[DATE]]-DATE(STAMP_Escapement_Data[[#This Row],[YEAR]],8,1)</f>
        <v>24</v>
      </c>
    </row>
    <row r="2674" spans="1:9" x14ac:dyDescent="0.25">
      <c r="A2674" s="1">
        <v>44799</v>
      </c>
      <c r="B2674">
        <v>826</v>
      </c>
      <c r="C2674">
        <v>2022</v>
      </c>
      <c r="D2674">
        <v>21</v>
      </c>
      <c r="E2674">
        <v>2</v>
      </c>
      <c r="F2674">
        <v>257</v>
      </c>
      <c r="G2674">
        <v>9</v>
      </c>
      <c r="H2674">
        <f>SUMIFS($F$2:F2674,$C$2:C2674,C2674)</f>
        <v>2914</v>
      </c>
      <c r="I2674" s="8">
        <f>STAMP_Escapement_Data[[#This Row],[DATE]]-DATE(STAMP_Escapement_Data[[#This Row],[YEAR]],8,1)</f>
        <v>25</v>
      </c>
    </row>
    <row r="2675" spans="1:9" x14ac:dyDescent="0.25">
      <c r="A2675" s="1">
        <v>44800</v>
      </c>
      <c r="B2675">
        <v>827</v>
      </c>
      <c r="C2675">
        <v>2022</v>
      </c>
      <c r="D2675">
        <v>60</v>
      </c>
      <c r="E2675">
        <v>15</v>
      </c>
      <c r="F2675">
        <v>189</v>
      </c>
      <c r="G2675">
        <v>11</v>
      </c>
      <c r="H2675">
        <f>SUMIFS($F$2:F2675,$C$2:C2675,C2675)</f>
        <v>3103</v>
      </c>
      <c r="I2675" s="8">
        <f>STAMP_Escapement_Data[[#This Row],[DATE]]-DATE(STAMP_Escapement_Data[[#This Row],[YEAR]],8,1)</f>
        <v>26</v>
      </c>
    </row>
    <row r="2676" spans="1:9" x14ac:dyDescent="0.25">
      <c r="A2676" s="1">
        <v>44801</v>
      </c>
      <c r="B2676">
        <v>828</v>
      </c>
      <c r="C2676">
        <v>2022</v>
      </c>
      <c r="D2676">
        <v>170</v>
      </c>
      <c r="E2676">
        <v>19</v>
      </c>
      <c r="F2676">
        <v>547</v>
      </c>
      <c r="G2676">
        <v>37</v>
      </c>
      <c r="H2676">
        <f>SUMIFS($F$2:F2676,$C$2:C2676,C2676)</f>
        <v>3650</v>
      </c>
      <c r="I2676" s="8">
        <f>STAMP_Escapement_Data[[#This Row],[DATE]]-DATE(STAMP_Escapement_Data[[#This Row],[YEAR]],8,1)</f>
        <v>27</v>
      </c>
    </row>
    <row r="2677" spans="1:9" x14ac:dyDescent="0.25">
      <c r="A2677" s="1">
        <v>44802</v>
      </c>
      <c r="B2677">
        <v>829</v>
      </c>
      <c r="C2677">
        <v>2022</v>
      </c>
      <c r="D2677">
        <v>210</v>
      </c>
      <c r="E2677">
        <v>24</v>
      </c>
      <c r="F2677">
        <v>862</v>
      </c>
      <c r="G2677">
        <v>43</v>
      </c>
      <c r="H2677">
        <f>SUMIFS($F$2:F2677,$C$2:C2677,C2677)</f>
        <v>4512</v>
      </c>
      <c r="I2677" s="8">
        <f>STAMP_Escapement_Data[[#This Row],[DATE]]-DATE(STAMP_Escapement_Data[[#This Row],[YEAR]],8,1)</f>
        <v>28</v>
      </c>
    </row>
    <row r="2678" spans="1:9" x14ac:dyDescent="0.25">
      <c r="A2678" s="1">
        <v>44803</v>
      </c>
      <c r="B2678">
        <v>830</v>
      </c>
      <c r="C2678">
        <v>2022</v>
      </c>
      <c r="D2678">
        <v>366</v>
      </c>
      <c r="E2678">
        <v>26</v>
      </c>
      <c r="F2678">
        <v>716</v>
      </c>
      <c r="G2678">
        <v>22</v>
      </c>
      <c r="H2678">
        <f>SUMIFS($F$2:F2678,$C$2:C2678,C2678)</f>
        <v>5228</v>
      </c>
      <c r="I2678" s="8">
        <f>STAMP_Escapement_Data[[#This Row],[DATE]]-DATE(STAMP_Escapement_Data[[#This Row],[YEAR]],8,1)</f>
        <v>29</v>
      </c>
    </row>
    <row r="2679" spans="1:9" x14ac:dyDescent="0.25">
      <c r="A2679" s="1">
        <v>44804</v>
      </c>
      <c r="B2679">
        <v>831</v>
      </c>
      <c r="C2679">
        <v>2022</v>
      </c>
      <c r="D2679">
        <v>204</v>
      </c>
      <c r="E2679">
        <v>10</v>
      </c>
      <c r="F2679">
        <v>935</v>
      </c>
      <c r="G2679">
        <v>65</v>
      </c>
      <c r="H2679">
        <f>SUMIFS($F$2:F2679,$C$2:C2679,C2679)</f>
        <v>6163</v>
      </c>
      <c r="I2679" s="8">
        <f>STAMP_Escapement_Data[[#This Row],[DATE]]-DATE(STAMP_Escapement_Data[[#This Row],[YEAR]],8,1)</f>
        <v>30</v>
      </c>
    </row>
    <row r="2680" spans="1:9" x14ac:dyDescent="0.25">
      <c r="A2680" s="1">
        <v>44805</v>
      </c>
      <c r="B2680">
        <v>901</v>
      </c>
      <c r="C2680">
        <v>2022</v>
      </c>
      <c r="D2680">
        <v>114</v>
      </c>
      <c r="E2680">
        <v>24</v>
      </c>
      <c r="F2680">
        <v>735</v>
      </c>
      <c r="G2680">
        <v>43</v>
      </c>
      <c r="H2680">
        <f>SUMIFS($F$2:F2680,$C$2:C2680,C2680)</f>
        <v>6898</v>
      </c>
      <c r="I2680" s="8">
        <f>STAMP_Escapement_Data[[#This Row],[DATE]]-DATE(STAMP_Escapement_Data[[#This Row],[YEAR]],8,1)</f>
        <v>31</v>
      </c>
    </row>
    <row r="2681" spans="1:9" x14ac:dyDescent="0.25">
      <c r="A2681" s="1">
        <v>44806</v>
      </c>
      <c r="B2681">
        <v>902</v>
      </c>
      <c r="C2681">
        <v>2022</v>
      </c>
      <c r="D2681">
        <v>144</v>
      </c>
      <c r="E2681">
        <v>18</v>
      </c>
      <c r="F2681">
        <v>747</v>
      </c>
      <c r="G2681">
        <v>33</v>
      </c>
      <c r="H2681">
        <f>SUMIFS($F$2:F2681,$C$2:C2681,C2681)</f>
        <v>7645</v>
      </c>
      <c r="I2681" s="8">
        <f>STAMP_Escapement_Data[[#This Row],[DATE]]-DATE(STAMP_Escapement_Data[[#This Row],[YEAR]],8,1)</f>
        <v>32</v>
      </c>
    </row>
    <row r="2682" spans="1:9" x14ac:dyDescent="0.25">
      <c r="A2682" s="1">
        <v>44807</v>
      </c>
      <c r="B2682">
        <v>903</v>
      </c>
      <c r="C2682">
        <v>2022</v>
      </c>
      <c r="D2682">
        <v>180</v>
      </c>
      <c r="E2682">
        <v>33</v>
      </c>
      <c r="F2682">
        <v>769</v>
      </c>
      <c r="G2682">
        <v>34</v>
      </c>
      <c r="H2682">
        <f>SUMIFS($F$2:F2682,$C$2:C2682,C2682)</f>
        <v>8414</v>
      </c>
      <c r="I2682" s="8">
        <f>STAMP_Escapement_Data[[#This Row],[DATE]]-DATE(STAMP_Escapement_Data[[#This Row],[YEAR]],8,1)</f>
        <v>33</v>
      </c>
    </row>
    <row r="2683" spans="1:9" x14ac:dyDescent="0.25">
      <c r="A2683" s="1">
        <v>44808</v>
      </c>
      <c r="B2683">
        <v>904</v>
      </c>
      <c r="C2683">
        <v>2022</v>
      </c>
      <c r="D2683">
        <v>254</v>
      </c>
      <c r="E2683">
        <v>46</v>
      </c>
      <c r="F2683">
        <v>719</v>
      </c>
      <c r="G2683">
        <v>38</v>
      </c>
      <c r="H2683">
        <f>SUMIFS($F$2:F2683,$C$2:C2683,C2683)</f>
        <v>9133</v>
      </c>
      <c r="I2683" s="8">
        <f>STAMP_Escapement_Data[[#This Row],[DATE]]-DATE(STAMP_Escapement_Data[[#This Row],[YEAR]],8,1)</f>
        <v>34</v>
      </c>
    </row>
    <row r="2684" spans="1:9" x14ac:dyDescent="0.25">
      <c r="A2684" s="1">
        <v>44809</v>
      </c>
      <c r="B2684">
        <v>905</v>
      </c>
      <c r="C2684">
        <v>2022</v>
      </c>
      <c r="D2684">
        <v>226</v>
      </c>
      <c r="E2684">
        <v>15</v>
      </c>
      <c r="F2684">
        <v>992</v>
      </c>
      <c r="G2684">
        <v>64</v>
      </c>
      <c r="H2684">
        <f>SUMIFS($F$2:F2684,$C$2:C2684,C2684)</f>
        <v>10125</v>
      </c>
      <c r="I2684" s="8">
        <f>STAMP_Escapement_Data[[#This Row],[DATE]]-DATE(STAMP_Escapement_Data[[#This Row],[YEAR]],8,1)</f>
        <v>35</v>
      </c>
    </row>
    <row r="2685" spans="1:9" x14ac:dyDescent="0.25">
      <c r="A2685" s="1">
        <v>44810</v>
      </c>
      <c r="B2685">
        <v>906</v>
      </c>
      <c r="C2685">
        <v>2022</v>
      </c>
      <c r="D2685">
        <v>411</v>
      </c>
      <c r="E2685">
        <v>22</v>
      </c>
      <c r="F2685">
        <v>923</v>
      </c>
      <c r="G2685">
        <v>41</v>
      </c>
      <c r="H2685">
        <f>SUMIFS($F$2:F2685,$C$2:C2685,C2685)</f>
        <v>11048</v>
      </c>
      <c r="I2685" s="8">
        <f>STAMP_Escapement_Data[[#This Row],[DATE]]-DATE(STAMP_Escapement_Data[[#This Row],[YEAR]],8,1)</f>
        <v>36</v>
      </c>
    </row>
    <row r="2686" spans="1:9" x14ac:dyDescent="0.25">
      <c r="A2686" s="1">
        <v>44811</v>
      </c>
      <c r="B2686">
        <v>907</v>
      </c>
      <c r="C2686">
        <v>2022</v>
      </c>
      <c r="D2686">
        <v>635</v>
      </c>
      <c r="E2686">
        <v>41</v>
      </c>
      <c r="F2686">
        <v>634</v>
      </c>
      <c r="G2686">
        <v>44</v>
      </c>
      <c r="H2686">
        <f>SUMIFS($F$2:F2686,$C$2:C2686,C2686)</f>
        <v>11682</v>
      </c>
      <c r="I2686" s="8">
        <f>STAMP_Escapement_Data[[#This Row],[DATE]]-DATE(STAMP_Escapement_Data[[#This Row],[YEAR]],8,1)</f>
        <v>37</v>
      </c>
    </row>
    <row r="2687" spans="1:9" x14ac:dyDescent="0.25">
      <c r="A2687" s="1">
        <v>44812</v>
      </c>
      <c r="B2687">
        <v>908</v>
      </c>
      <c r="C2687">
        <v>2022</v>
      </c>
      <c r="D2687">
        <v>806</v>
      </c>
      <c r="E2687">
        <v>64</v>
      </c>
      <c r="F2687">
        <v>526</v>
      </c>
      <c r="G2687">
        <v>46</v>
      </c>
      <c r="H2687">
        <f>SUMIFS($F$2:F2687,$C$2:C2687,C2687)</f>
        <v>12208</v>
      </c>
      <c r="I2687" s="8">
        <f>STAMP_Escapement_Data[[#This Row],[DATE]]-DATE(STAMP_Escapement_Data[[#This Row],[YEAR]],8,1)</f>
        <v>38</v>
      </c>
    </row>
    <row r="2688" spans="1:9" x14ac:dyDescent="0.25">
      <c r="A2688" s="1">
        <v>44813</v>
      </c>
      <c r="B2688">
        <v>909</v>
      </c>
      <c r="C2688">
        <v>2022</v>
      </c>
      <c r="D2688">
        <v>1069</v>
      </c>
      <c r="E2688">
        <v>77</v>
      </c>
      <c r="F2688">
        <v>385</v>
      </c>
      <c r="G2688">
        <v>20</v>
      </c>
      <c r="H2688">
        <f>SUMIFS($F$2:F2688,$C$2:C2688,C2688)</f>
        <v>12593</v>
      </c>
      <c r="I2688" s="8">
        <f>STAMP_Escapement_Data[[#This Row],[DATE]]-DATE(STAMP_Escapement_Data[[#This Row],[YEAR]],8,1)</f>
        <v>39</v>
      </c>
    </row>
    <row r="2689" spans="1:9" x14ac:dyDescent="0.25">
      <c r="A2689" s="1">
        <v>44814</v>
      </c>
      <c r="B2689">
        <v>910</v>
      </c>
      <c r="C2689">
        <v>2022</v>
      </c>
      <c r="D2689">
        <v>839</v>
      </c>
      <c r="E2689">
        <v>56</v>
      </c>
      <c r="F2689">
        <v>560</v>
      </c>
      <c r="G2689">
        <v>90</v>
      </c>
      <c r="H2689">
        <f>SUMIFS($F$2:F2689,$C$2:C2689,C2689)</f>
        <v>13153</v>
      </c>
      <c r="I2689" s="8">
        <f>STAMP_Escapement_Data[[#This Row],[DATE]]-DATE(STAMP_Escapement_Data[[#This Row],[YEAR]],8,1)</f>
        <v>40</v>
      </c>
    </row>
    <row r="2690" spans="1:9" x14ac:dyDescent="0.25">
      <c r="A2690" s="1">
        <v>44815</v>
      </c>
      <c r="B2690">
        <v>911</v>
      </c>
      <c r="C2690">
        <v>2022</v>
      </c>
      <c r="D2690">
        <v>856</v>
      </c>
      <c r="E2690">
        <v>50</v>
      </c>
      <c r="F2690">
        <v>728</v>
      </c>
      <c r="G2690">
        <v>90</v>
      </c>
      <c r="H2690">
        <f>SUMIFS($F$2:F2690,$C$2:C2690,C2690)</f>
        <v>13881</v>
      </c>
      <c r="I2690" s="8">
        <f>STAMP_Escapement_Data[[#This Row],[DATE]]-DATE(STAMP_Escapement_Data[[#This Row],[YEAR]],8,1)</f>
        <v>41</v>
      </c>
    </row>
    <row r="2691" spans="1:9" x14ac:dyDescent="0.25">
      <c r="A2691" s="1">
        <v>44816</v>
      </c>
      <c r="B2691">
        <v>912</v>
      </c>
      <c r="C2691">
        <v>2022</v>
      </c>
      <c r="D2691">
        <v>962</v>
      </c>
      <c r="E2691">
        <v>58</v>
      </c>
      <c r="F2691">
        <v>822</v>
      </c>
      <c r="G2691">
        <v>89</v>
      </c>
      <c r="H2691">
        <f>SUMIFS($F$2:F2691,$C$2:C2691,C2691)</f>
        <v>14703</v>
      </c>
      <c r="I2691" s="8">
        <f>STAMP_Escapement_Data[[#This Row],[DATE]]-DATE(STAMP_Escapement_Data[[#This Row],[YEAR]],8,1)</f>
        <v>42</v>
      </c>
    </row>
    <row r="2692" spans="1:9" x14ac:dyDescent="0.25">
      <c r="A2692" s="1">
        <v>44817</v>
      </c>
      <c r="B2692">
        <v>913</v>
      </c>
      <c r="C2692">
        <v>2022</v>
      </c>
      <c r="D2692">
        <v>840</v>
      </c>
      <c r="E2692">
        <v>78</v>
      </c>
      <c r="F2692">
        <v>931</v>
      </c>
      <c r="G2692">
        <v>104</v>
      </c>
      <c r="H2692">
        <f>SUMIFS($F$2:F2692,$C$2:C2692,C2692)</f>
        <v>15634</v>
      </c>
      <c r="I2692" s="8">
        <f>STAMP_Escapement_Data[[#This Row],[DATE]]-DATE(STAMP_Escapement_Data[[#This Row],[YEAR]],8,1)</f>
        <v>43</v>
      </c>
    </row>
    <row r="2693" spans="1:9" x14ac:dyDescent="0.25">
      <c r="A2693" s="1">
        <v>44818</v>
      </c>
      <c r="B2693">
        <v>914</v>
      </c>
      <c r="C2693">
        <v>2022</v>
      </c>
      <c r="D2693">
        <v>1047</v>
      </c>
      <c r="E2693">
        <v>85</v>
      </c>
      <c r="F2693">
        <v>1046</v>
      </c>
      <c r="G2693">
        <v>208</v>
      </c>
      <c r="H2693">
        <f>SUMIFS($F$2:F2693,$C$2:C2693,C2693)</f>
        <v>16680</v>
      </c>
      <c r="I2693" s="8">
        <f>STAMP_Escapement_Data[[#This Row],[DATE]]-DATE(STAMP_Escapement_Data[[#This Row],[YEAR]],8,1)</f>
        <v>44</v>
      </c>
    </row>
    <row r="2694" spans="1:9" x14ac:dyDescent="0.25">
      <c r="A2694" s="1">
        <v>44819</v>
      </c>
      <c r="B2694">
        <v>915</v>
      </c>
      <c r="C2694">
        <v>2022</v>
      </c>
      <c r="D2694">
        <v>1190</v>
      </c>
      <c r="E2694">
        <v>124</v>
      </c>
      <c r="F2694">
        <v>670</v>
      </c>
      <c r="G2694">
        <v>75</v>
      </c>
      <c r="H2694">
        <f>SUMIFS($F$2:F2694,$C$2:C2694,C2694)</f>
        <v>17350</v>
      </c>
      <c r="I2694" s="8">
        <f>STAMP_Escapement_Data[[#This Row],[DATE]]-DATE(STAMP_Escapement_Data[[#This Row],[YEAR]],8,1)</f>
        <v>45</v>
      </c>
    </row>
    <row r="2695" spans="1:9" x14ac:dyDescent="0.25">
      <c r="A2695" s="1">
        <v>44820</v>
      </c>
      <c r="B2695">
        <v>916</v>
      </c>
      <c r="C2695">
        <v>2022</v>
      </c>
      <c r="D2695">
        <v>867</v>
      </c>
      <c r="E2695">
        <v>101</v>
      </c>
      <c r="F2695">
        <v>951</v>
      </c>
      <c r="G2695">
        <v>105</v>
      </c>
      <c r="H2695">
        <f>SUMIFS($F$2:F2695,$C$2:C2695,C2695)</f>
        <v>18301</v>
      </c>
      <c r="I2695" s="8">
        <f>STAMP_Escapement_Data[[#This Row],[DATE]]-DATE(STAMP_Escapement_Data[[#This Row],[YEAR]],8,1)</f>
        <v>46</v>
      </c>
    </row>
    <row r="2696" spans="1:9" x14ac:dyDescent="0.25">
      <c r="A2696" s="1">
        <v>44821</v>
      </c>
      <c r="B2696">
        <v>917</v>
      </c>
      <c r="C2696">
        <v>2022</v>
      </c>
      <c r="D2696">
        <v>878</v>
      </c>
      <c r="E2696">
        <v>85</v>
      </c>
      <c r="F2696">
        <v>1076</v>
      </c>
      <c r="G2696">
        <v>100</v>
      </c>
      <c r="H2696">
        <f>SUMIFS($F$2:F2696,$C$2:C2696,C2696)</f>
        <v>19377</v>
      </c>
      <c r="I2696" s="8">
        <f>STAMP_Escapement_Data[[#This Row],[DATE]]-DATE(STAMP_Escapement_Data[[#This Row],[YEAR]],8,1)</f>
        <v>47</v>
      </c>
    </row>
    <row r="2697" spans="1:9" x14ac:dyDescent="0.25">
      <c r="A2697" s="1">
        <v>44822</v>
      </c>
      <c r="B2697">
        <v>918</v>
      </c>
      <c r="C2697">
        <v>2022</v>
      </c>
      <c r="D2697">
        <v>731</v>
      </c>
      <c r="E2697">
        <v>88</v>
      </c>
      <c r="F2697">
        <v>824</v>
      </c>
      <c r="G2697">
        <v>91</v>
      </c>
      <c r="H2697">
        <f>SUMIFS($F$2:F2697,$C$2:C2697,C2697)</f>
        <v>20201</v>
      </c>
      <c r="I2697" s="8">
        <f>STAMP_Escapement_Data[[#This Row],[DATE]]-DATE(STAMP_Escapement_Data[[#This Row],[YEAR]],8,1)</f>
        <v>48</v>
      </c>
    </row>
    <row r="2698" spans="1:9" x14ac:dyDescent="0.25">
      <c r="A2698" s="1">
        <v>44823</v>
      </c>
      <c r="B2698">
        <v>919</v>
      </c>
      <c r="C2698">
        <v>2022</v>
      </c>
      <c r="D2698">
        <v>1172</v>
      </c>
      <c r="E2698">
        <v>117</v>
      </c>
      <c r="F2698">
        <v>983</v>
      </c>
      <c r="G2698">
        <v>106</v>
      </c>
      <c r="H2698">
        <f>SUMIFS($F$2:F2698,$C$2:C2698,C2698)</f>
        <v>21184</v>
      </c>
      <c r="I2698" s="8">
        <f>STAMP_Escapement_Data[[#This Row],[DATE]]-DATE(STAMP_Escapement_Data[[#This Row],[YEAR]],8,1)</f>
        <v>49</v>
      </c>
    </row>
    <row r="2699" spans="1:9" x14ac:dyDescent="0.25">
      <c r="A2699" s="1">
        <v>44824</v>
      </c>
      <c r="B2699">
        <v>920</v>
      </c>
      <c r="C2699">
        <v>2022</v>
      </c>
      <c r="D2699">
        <v>1043</v>
      </c>
      <c r="E2699">
        <v>145</v>
      </c>
      <c r="F2699">
        <v>1201</v>
      </c>
      <c r="G2699">
        <v>102</v>
      </c>
      <c r="H2699">
        <f>SUMIFS($F$2:F2699,$C$2:C2699,C2699)</f>
        <v>22385</v>
      </c>
      <c r="I2699" s="8">
        <f>STAMP_Escapement_Data[[#This Row],[DATE]]-DATE(STAMP_Escapement_Data[[#This Row],[YEAR]],8,1)</f>
        <v>50</v>
      </c>
    </row>
    <row r="2700" spans="1:9" x14ac:dyDescent="0.25">
      <c r="A2700" s="1">
        <v>44825</v>
      </c>
      <c r="B2700">
        <v>921</v>
      </c>
      <c r="C2700">
        <v>2022</v>
      </c>
      <c r="D2700">
        <v>1032</v>
      </c>
      <c r="E2700">
        <v>179</v>
      </c>
      <c r="F2700">
        <v>1162</v>
      </c>
      <c r="G2700">
        <v>105</v>
      </c>
      <c r="H2700">
        <f>SUMIFS($F$2:F2700,$C$2:C2700,C2700)</f>
        <v>23547</v>
      </c>
      <c r="I2700" s="8">
        <f>STAMP_Escapement_Data[[#This Row],[DATE]]-DATE(STAMP_Escapement_Data[[#This Row],[YEAR]],8,1)</f>
        <v>51</v>
      </c>
    </row>
    <row r="2701" spans="1:9" x14ac:dyDescent="0.25">
      <c r="A2701" s="1">
        <v>44826</v>
      </c>
      <c r="B2701">
        <v>922</v>
      </c>
      <c r="C2701">
        <v>2022</v>
      </c>
      <c r="D2701">
        <v>856</v>
      </c>
      <c r="E2701">
        <v>137</v>
      </c>
      <c r="F2701">
        <v>1118</v>
      </c>
      <c r="G2701">
        <v>111</v>
      </c>
      <c r="H2701">
        <f>SUMIFS($F$2:F2701,$C$2:C2701,C2701)</f>
        <v>24665</v>
      </c>
      <c r="I2701" s="8">
        <f>STAMP_Escapement_Data[[#This Row],[DATE]]-DATE(STAMP_Escapement_Data[[#This Row],[YEAR]],8,1)</f>
        <v>52</v>
      </c>
    </row>
    <row r="2702" spans="1:9" x14ac:dyDescent="0.25">
      <c r="A2702" s="1">
        <v>44827</v>
      </c>
      <c r="B2702">
        <v>923</v>
      </c>
      <c r="C2702">
        <v>2022</v>
      </c>
      <c r="D2702">
        <v>830</v>
      </c>
      <c r="E2702">
        <v>122</v>
      </c>
      <c r="F2702">
        <v>1011</v>
      </c>
      <c r="G2702">
        <v>107</v>
      </c>
      <c r="H2702">
        <f>SUMIFS($F$2:F2702,$C$2:C2702,C2702)</f>
        <v>25676</v>
      </c>
      <c r="I2702" s="8">
        <f>STAMP_Escapement_Data[[#This Row],[DATE]]-DATE(STAMP_Escapement_Data[[#This Row],[YEAR]],8,1)</f>
        <v>53</v>
      </c>
    </row>
    <row r="2703" spans="1:9" x14ac:dyDescent="0.25">
      <c r="A2703" s="1">
        <v>44828</v>
      </c>
      <c r="B2703">
        <v>924</v>
      </c>
      <c r="C2703">
        <v>2022</v>
      </c>
      <c r="D2703">
        <v>770</v>
      </c>
      <c r="E2703">
        <v>98</v>
      </c>
      <c r="F2703">
        <v>1050</v>
      </c>
      <c r="G2703">
        <v>102</v>
      </c>
      <c r="H2703">
        <f>SUMIFS($F$2:F2703,$C$2:C2703,C2703)</f>
        <v>26726</v>
      </c>
      <c r="I2703" s="8">
        <f>STAMP_Escapement_Data[[#This Row],[DATE]]-DATE(STAMP_Escapement_Data[[#This Row],[YEAR]],8,1)</f>
        <v>54</v>
      </c>
    </row>
    <row r="2704" spans="1:9" x14ac:dyDescent="0.25">
      <c r="A2704" s="1">
        <v>44829</v>
      </c>
      <c r="B2704">
        <v>925</v>
      </c>
      <c r="C2704">
        <v>2022</v>
      </c>
      <c r="D2704">
        <v>599</v>
      </c>
      <c r="E2704">
        <v>109</v>
      </c>
      <c r="F2704">
        <v>1031</v>
      </c>
      <c r="G2704">
        <v>137</v>
      </c>
      <c r="H2704">
        <f>SUMIFS($F$2:F2704,$C$2:C2704,C2704)</f>
        <v>27757</v>
      </c>
      <c r="I2704" s="8">
        <f>STAMP_Escapement_Data[[#This Row],[DATE]]-DATE(STAMP_Escapement_Data[[#This Row],[YEAR]],8,1)</f>
        <v>55</v>
      </c>
    </row>
    <row r="2705" spans="1:9" x14ac:dyDescent="0.25">
      <c r="A2705" s="1">
        <v>44830</v>
      </c>
      <c r="B2705">
        <v>926</v>
      </c>
      <c r="C2705">
        <v>2022</v>
      </c>
      <c r="D2705">
        <v>424</v>
      </c>
      <c r="E2705">
        <v>115</v>
      </c>
      <c r="F2705">
        <v>1014</v>
      </c>
      <c r="G2705">
        <v>119</v>
      </c>
      <c r="H2705">
        <f>SUMIFS($F$2:F2705,$C$2:C2705,C2705)</f>
        <v>28771</v>
      </c>
      <c r="I2705" s="8">
        <f>STAMP_Escapement_Data[[#This Row],[DATE]]-DATE(STAMP_Escapement_Data[[#This Row],[YEAR]],8,1)</f>
        <v>56</v>
      </c>
    </row>
    <row r="2706" spans="1:9" x14ac:dyDescent="0.25">
      <c r="A2706" s="1">
        <v>44831</v>
      </c>
      <c r="B2706">
        <v>927</v>
      </c>
      <c r="C2706">
        <v>2022</v>
      </c>
      <c r="D2706">
        <v>424</v>
      </c>
      <c r="E2706">
        <v>118</v>
      </c>
      <c r="F2706">
        <v>1188</v>
      </c>
      <c r="G2706">
        <v>100</v>
      </c>
      <c r="H2706">
        <f>SUMIFS($F$2:F2706,$C$2:C2706,C2706)</f>
        <v>29959</v>
      </c>
      <c r="I2706" s="8">
        <f>STAMP_Escapement_Data[[#This Row],[DATE]]-DATE(STAMP_Escapement_Data[[#This Row],[YEAR]],8,1)</f>
        <v>57</v>
      </c>
    </row>
    <row r="2707" spans="1:9" x14ac:dyDescent="0.25">
      <c r="A2707" s="1">
        <v>44832</v>
      </c>
      <c r="B2707">
        <v>928</v>
      </c>
      <c r="C2707">
        <v>2022</v>
      </c>
      <c r="D2707">
        <v>538</v>
      </c>
      <c r="E2707">
        <v>140</v>
      </c>
      <c r="F2707">
        <v>1377</v>
      </c>
      <c r="G2707">
        <v>178</v>
      </c>
      <c r="H2707">
        <f>SUMIFS($F$2:F2707,$C$2:C2707,C2707)</f>
        <v>31336</v>
      </c>
      <c r="I2707" s="8">
        <f>STAMP_Escapement_Data[[#This Row],[DATE]]-DATE(STAMP_Escapement_Data[[#This Row],[YEAR]],8,1)</f>
        <v>58</v>
      </c>
    </row>
    <row r="2708" spans="1:9" x14ac:dyDescent="0.25">
      <c r="A2708" s="1">
        <v>44833</v>
      </c>
      <c r="B2708">
        <v>929</v>
      </c>
      <c r="C2708">
        <v>2022</v>
      </c>
      <c r="D2708">
        <v>406</v>
      </c>
      <c r="E2708">
        <v>85</v>
      </c>
      <c r="F2708">
        <v>1313</v>
      </c>
      <c r="G2708">
        <v>140</v>
      </c>
      <c r="H2708">
        <f>SUMIFS($F$2:F2708,$C$2:C2708,C2708)</f>
        <v>32649</v>
      </c>
      <c r="I2708" s="8">
        <f>STAMP_Escapement_Data[[#This Row],[DATE]]-DATE(STAMP_Escapement_Data[[#This Row],[YEAR]],8,1)</f>
        <v>59</v>
      </c>
    </row>
    <row r="2709" spans="1:9" x14ac:dyDescent="0.25">
      <c r="A2709" s="1">
        <v>44834</v>
      </c>
      <c r="B2709">
        <v>930</v>
      </c>
      <c r="C2709">
        <v>2022</v>
      </c>
      <c r="D2709">
        <v>399</v>
      </c>
      <c r="E2709">
        <v>101</v>
      </c>
      <c r="F2709">
        <v>1323</v>
      </c>
      <c r="G2709">
        <v>107</v>
      </c>
      <c r="H2709">
        <f>SUMIFS($F$2:F2709,$C$2:C2709,C2709)</f>
        <v>33972</v>
      </c>
      <c r="I2709" s="8">
        <f>STAMP_Escapement_Data[[#This Row],[DATE]]-DATE(STAMP_Escapement_Data[[#This Row],[YEAR]],8,1)</f>
        <v>60</v>
      </c>
    </row>
    <row r="2710" spans="1:9" x14ac:dyDescent="0.25">
      <c r="A2710" s="1">
        <v>44835</v>
      </c>
      <c r="B2710">
        <v>1001</v>
      </c>
      <c r="C2710">
        <v>2022</v>
      </c>
      <c r="D2710">
        <v>283</v>
      </c>
      <c r="E2710">
        <v>62</v>
      </c>
      <c r="F2710">
        <v>1423</v>
      </c>
      <c r="G2710">
        <v>107</v>
      </c>
      <c r="H2710">
        <f>SUMIFS($F$2:F2710,$C$2:C2710,C2710)</f>
        <v>35395</v>
      </c>
      <c r="I2710" s="8">
        <f>STAMP_Escapement_Data[[#This Row],[DATE]]-DATE(STAMP_Escapement_Data[[#This Row],[YEAR]],8,1)</f>
        <v>61</v>
      </c>
    </row>
    <row r="2711" spans="1:9" x14ac:dyDescent="0.25">
      <c r="A2711" s="1">
        <v>44836</v>
      </c>
      <c r="B2711">
        <v>1002</v>
      </c>
      <c r="C2711">
        <v>2022</v>
      </c>
      <c r="D2711">
        <v>242</v>
      </c>
      <c r="E2711">
        <v>56</v>
      </c>
      <c r="F2711">
        <v>1331</v>
      </c>
      <c r="G2711">
        <v>98</v>
      </c>
      <c r="H2711">
        <f>SUMIFS($F$2:F2711,$C$2:C2711,C2711)</f>
        <v>36726</v>
      </c>
      <c r="I2711" s="8">
        <f>STAMP_Escapement_Data[[#This Row],[DATE]]-DATE(STAMP_Escapement_Data[[#This Row],[YEAR]],8,1)</f>
        <v>62</v>
      </c>
    </row>
    <row r="2712" spans="1:9" x14ac:dyDescent="0.25">
      <c r="A2712" s="1">
        <v>44837</v>
      </c>
      <c r="B2712">
        <v>1003</v>
      </c>
      <c r="C2712">
        <v>2022</v>
      </c>
      <c r="D2712">
        <v>220</v>
      </c>
      <c r="E2712">
        <v>43</v>
      </c>
      <c r="F2712">
        <v>1302</v>
      </c>
      <c r="G2712">
        <v>104</v>
      </c>
      <c r="H2712">
        <f>SUMIFS($F$2:F2712,$C$2:C2712,C2712)</f>
        <v>38028</v>
      </c>
      <c r="I2712" s="8">
        <f>STAMP_Escapement_Data[[#This Row],[DATE]]-DATE(STAMP_Escapement_Data[[#This Row],[YEAR]],8,1)</f>
        <v>63</v>
      </c>
    </row>
    <row r="2713" spans="1:9" x14ac:dyDescent="0.25">
      <c r="A2713" s="1">
        <v>44838</v>
      </c>
      <c r="B2713">
        <v>1004</v>
      </c>
      <c r="C2713">
        <v>2022</v>
      </c>
      <c r="D2713">
        <v>183</v>
      </c>
      <c r="E2713">
        <v>21</v>
      </c>
      <c r="F2713">
        <v>1334</v>
      </c>
      <c r="G2713">
        <v>57</v>
      </c>
      <c r="H2713">
        <f>SUMIFS($F$2:F2713,$C$2:C2713,C2713)</f>
        <v>39362</v>
      </c>
      <c r="I2713" s="8">
        <f>STAMP_Escapement_Data[[#This Row],[DATE]]-DATE(STAMP_Escapement_Data[[#This Row],[YEAR]],8,1)</f>
        <v>64</v>
      </c>
    </row>
    <row r="2714" spans="1:9" x14ac:dyDescent="0.25">
      <c r="A2714" s="1">
        <v>44839</v>
      </c>
      <c r="B2714">
        <v>1005</v>
      </c>
      <c r="C2714">
        <v>2022</v>
      </c>
      <c r="D2714">
        <v>178</v>
      </c>
      <c r="E2714">
        <v>48</v>
      </c>
      <c r="F2714">
        <v>1246</v>
      </c>
      <c r="G2714">
        <v>88</v>
      </c>
      <c r="H2714">
        <f>SUMIFS($F$2:F2714,$C$2:C2714,C2714)</f>
        <v>40608</v>
      </c>
      <c r="I2714" s="8">
        <f>STAMP_Escapement_Data[[#This Row],[DATE]]-DATE(STAMP_Escapement_Data[[#This Row],[YEAR]],8,1)</f>
        <v>65</v>
      </c>
    </row>
    <row r="2715" spans="1:9" x14ac:dyDescent="0.25">
      <c r="A2715" s="1">
        <v>44840</v>
      </c>
      <c r="B2715">
        <v>1006</v>
      </c>
      <c r="C2715">
        <v>2022</v>
      </c>
      <c r="D2715">
        <v>205</v>
      </c>
      <c r="E2715">
        <v>42</v>
      </c>
      <c r="F2715">
        <v>1349</v>
      </c>
      <c r="G2715">
        <v>93</v>
      </c>
      <c r="H2715">
        <f>SUMIFS($F$2:F2715,$C$2:C2715,C2715)</f>
        <v>41957</v>
      </c>
      <c r="I2715" s="8">
        <f>STAMP_Escapement_Data[[#This Row],[DATE]]-DATE(STAMP_Escapement_Data[[#This Row],[YEAR]],8,1)</f>
        <v>66</v>
      </c>
    </row>
    <row r="2716" spans="1:9" x14ac:dyDescent="0.25">
      <c r="A2716" s="1">
        <v>44841</v>
      </c>
      <c r="B2716">
        <v>1007</v>
      </c>
      <c r="C2716">
        <v>2022</v>
      </c>
      <c r="D2716">
        <v>123</v>
      </c>
      <c r="E2716">
        <v>26</v>
      </c>
      <c r="F2716">
        <v>1345</v>
      </c>
      <c r="G2716">
        <v>93</v>
      </c>
      <c r="H2716">
        <f>SUMIFS($F$2:F2716,$C$2:C2716,C2716)</f>
        <v>43302</v>
      </c>
      <c r="I2716" s="8">
        <f>STAMP_Escapement_Data[[#This Row],[DATE]]-DATE(STAMP_Escapement_Data[[#This Row],[YEAR]],8,1)</f>
        <v>67</v>
      </c>
    </row>
    <row r="2717" spans="1:9" x14ac:dyDescent="0.25">
      <c r="A2717" s="1">
        <v>44842</v>
      </c>
      <c r="B2717">
        <v>1008</v>
      </c>
      <c r="C2717">
        <v>2022</v>
      </c>
      <c r="D2717">
        <v>95</v>
      </c>
      <c r="E2717">
        <v>31</v>
      </c>
      <c r="F2717">
        <v>1517</v>
      </c>
      <c r="G2717">
        <v>128</v>
      </c>
      <c r="H2717">
        <f>SUMIFS($F$2:F2717,$C$2:C2717,C2717)</f>
        <v>44819</v>
      </c>
      <c r="I2717" s="8">
        <f>STAMP_Escapement_Data[[#This Row],[DATE]]-DATE(STAMP_Escapement_Data[[#This Row],[YEAR]],8,1)</f>
        <v>68</v>
      </c>
    </row>
    <row r="2718" spans="1:9" x14ac:dyDescent="0.25">
      <c r="A2718" s="1">
        <v>44843</v>
      </c>
      <c r="B2718">
        <v>1009</v>
      </c>
      <c r="C2718">
        <v>2022</v>
      </c>
      <c r="D2718">
        <v>62</v>
      </c>
      <c r="E2718">
        <v>22</v>
      </c>
      <c r="F2718">
        <v>1436</v>
      </c>
      <c r="G2718">
        <v>36</v>
      </c>
      <c r="H2718">
        <f>SUMIFS($F$2:F2718,$C$2:C2718,C2718)</f>
        <v>46255</v>
      </c>
      <c r="I2718" s="8">
        <f>STAMP_Escapement_Data[[#This Row],[DATE]]-DATE(STAMP_Escapement_Data[[#This Row],[YEAR]],8,1)</f>
        <v>69</v>
      </c>
    </row>
    <row r="2719" spans="1:9" x14ac:dyDescent="0.25">
      <c r="A2719" s="1">
        <v>44844</v>
      </c>
      <c r="B2719">
        <v>1010</v>
      </c>
      <c r="C2719">
        <v>2022</v>
      </c>
      <c r="D2719">
        <v>110</v>
      </c>
      <c r="E2719">
        <v>24</v>
      </c>
      <c r="F2719">
        <v>1722</v>
      </c>
      <c r="G2719">
        <v>130</v>
      </c>
      <c r="H2719">
        <f>SUMIFS($F$2:F2719,$C$2:C2719,C2719)</f>
        <v>47977</v>
      </c>
      <c r="I2719" s="8">
        <f>STAMP_Escapement_Data[[#This Row],[DATE]]-DATE(STAMP_Escapement_Data[[#This Row],[YEAR]],8,1)</f>
        <v>70</v>
      </c>
    </row>
    <row r="2720" spans="1:9" x14ac:dyDescent="0.25">
      <c r="A2720" s="1">
        <v>44845</v>
      </c>
      <c r="B2720">
        <v>1011</v>
      </c>
      <c r="C2720">
        <v>2022</v>
      </c>
      <c r="D2720">
        <v>75</v>
      </c>
      <c r="E2720">
        <v>16</v>
      </c>
      <c r="F2720">
        <v>1848</v>
      </c>
      <c r="G2720">
        <v>64</v>
      </c>
      <c r="H2720">
        <f>SUMIFS($F$2:F2720,$C$2:C2720,C2720)</f>
        <v>49825</v>
      </c>
      <c r="I2720" s="8">
        <f>STAMP_Escapement_Data[[#This Row],[DATE]]-DATE(STAMP_Escapement_Data[[#This Row],[YEAR]],8,1)</f>
        <v>71</v>
      </c>
    </row>
    <row r="2721" spans="1:9" x14ac:dyDescent="0.25">
      <c r="A2721" s="1">
        <v>44846</v>
      </c>
      <c r="B2721">
        <v>1012</v>
      </c>
      <c r="C2721">
        <v>2022</v>
      </c>
      <c r="D2721">
        <v>102</v>
      </c>
      <c r="E2721">
        <v>15</v>
      </c>
      <c r="F2721">
        <v>1757</v>
      </c>
      <c r="G2721">
        <v>114</v>
      </c>
      <c r="H2721">
        <f>SUMIFS($F$2:F2721,$C$2:C2721,C2721)</f>
        <v>51582</v>
      </c>
      <c r="I2721" s="8">
        <f>STAMP_Escapement_Data[[#This Row],[DATE]]-DATE(STAMP_Escapement_Data[[#This Row],[YEAR]],8,1)</f>
        <v>72</v>
      </c>
    </row>
    <row r="2722" spans="1:9" x14ac:dyDescent="0.25">
      <c r="A2722" s="1">
        <v>44847</v>
      </c>
      <c r="B2722">
        <v>1013</v>
      </c>
      <c r="C2722">
        <v>2022</v>
      </c>
      <c r="D2722">
        <v>179</v>
      </c>
      <c r="E2722">
        <v>8</v>
      </c>
      <c r="F2722">
        <v>2205</v>
      </c>
      <c r="G2722">
        <v>127</v>
      </c>
      <c r="H2722">
        <f>SUMIFS($F$2:F2722,$C$2:C2722,C2722)</f>
        <v>53787</v>
      </c>
      <c r="I2722" s="8">
        <f>STAMP_Escapement_Data[[#This Row],[DATE]]-DATE(STAMP_Escapement_Data[[#This Row],[YEAR]],8,1)</f>
        <v>73</v>
      </c>
    </row>
    <row r="2723" spans="1:9" x14ac:dyDescent="0.25">
      <c r="A2723" s="1">
        <v>44848</v>
      </c>
      <c r="B2723">
        <v>1014</v>
      </c>
      <c r="C2723">
        <v>2022</v>
      </c>
      <c r="D2723">
        <v>114</v>
      </c>
      <c r="E2723">
        <v>16</v>
      </c>
      <c r="F2723">
        <v>1722</v>
      </c>
      <c r="G2723">
        <v>110</v>
      </c>
      <c r="H2723">
        <f>SUMIFS($F$2:F2723,$C$2:C2723,C2723)</f>
        <v>55509</v>
      </c>
      <c r="I2723" s="8">
        <f>STAMP_Escapement_Data[[#This Row],[DATE]]-DATE(STAMP_Escapement_Data[[#This Row],[YEAR]],8,1)</f>
        <v>74</v>
      </c>
    </row>
    <row r="2724" spans="1:9" x14ac:dyDescent="0.25">
      <c r="A2724" s="1">
        <v>44849</v>
      </c>
      <c r="B2724">
        <v>1015</v>
      </c>
      <c r="C2724">
        <v>2022</v>
      </c>
      <c r="D2724">
        <v>125</v>
      </c>
      <c r="E2724">
        <v>17</v>
      </c>
      <c r="F2724">
        <v>1519</v>
      </c>
      <c r="G2724">
        <v>77</v>
      </c>
      <c r="H2724">
        <f>SUMIFS($F$2:F2724,$C$2:C2724,C2724)</f>
        <v>57028</v>
      </c>
      <c r="I2724" s="8">
        <f>STAMP_Escapement_Data[[#This Row],[DATE]]-DATE(STAMP_Escapement_Data[[#This Row],[YEAR]],8,1)</f>
        <v>75</v>
      </c>
    </row>
    <row r="2725" spans="1:9" x14ac:dyDescent="0.25">
      <c r="A2725" s="1">
        <v>44850</v>
      </c>
      <c r="B2725">
        <v>1016</v>
      </c>
      <c r="C2725">
        <v>2022</v>
      </c>
      <c r="D2725">
        <v>91</v>
      </c>
      <c r="E2725">
        <v>6</v>
      </c>
      <c r="F2725">
        <v>1495</v>
      </c>
      <c r="G2725">
        <v>84</v>
      </c>
      <c r="H2725">
        <f>SUMIFS($F$2:F2725,$C$2:C2725,C2725)</f>
        <v>58523</v>
      </c>
      <c r="I2725" s="8">
        <f>STAMP_Escapement_Data[[#This Row],[DATE]]-DATE(STAMP_Escapement_Data[[#This Row],[YEAR]],8,1)</f>
        <v>76</v>
      </c>
    </row>
    <row r="2726" spans="1:9" x14ac:dyDescent="0.25">
      <c r="A2726" s="1">
        <v>44851</v>
      </c>
      <c r="B2726">
        <v>1017</v>
      </c>
      <c r="C2726">
        <v>2022</v>
      </c>
      <c r="D2726">
        <v>86</v>
      </c>
      <c r="E2726">
        <v>6</v>
      </c>
      <c r="F2726">
        <v>1942</v>
      </c>
      <c r="G2726">
        <v>132</v>
      </c>
      <c r="H2726">
        <f>SUMIFS($F$2:F2726,$C$2:C2726,C2726)</f>
        <v>60465</v>
      </c>
      <c r="I2726" s="8">
        <f>STAMP_Escapement_Data[[#This Row],[DATE]]-DATE(STAMP_Escapement_Data[[#This Row],[YEAR]],8,1)</f>
        <v>77</v>
      </c>
    </row>
    <row r="2727" spans="1:9" x14ac:dyDescent="0.25">
      <c r="A2727" s="1">
        <v>44852</v>
      </c>
      <c r="B2727">
        <v>1018</v>
      </c>
      <c r="C2727">
        <v>2022</v>
      </c>
      <c r="D2727">
        <v>88</v>
      </c>
      <c r="E2727">
        <v>31</v>
      </c>
      <c r="F2727">
        <v>1704</v>
      </c>
      <c r="G2727">
        <v>117</v>
      </c>
      <c r="H2727">
        <f>SUMIFS($F$2:F2727,$C$2:C2727,C2727)</f>
        <v>62169</v>
      </c>
      <c r="I2727" s="8">
        <f>STAMP_Escapement_Data[[#This Row],[DATE]]-DATE(STAMP_Escapement_Data[[#This Row],[YEAR]],8,1)</f>
        <v>78</v>
      </c>
    </row>
    <row r="2728" spans="1:9" x14ac:dyDescent="0.25">
      <c r="A2728" s="1">
        <v>44853</v>
      </c>
      <c r="B2728">
        <v>1019</v>
      </c>
      <c r="C2728">
        <v>2022</v>
      </c>
      <c r="D2728">
        <v>94</v>
      </c>
      <c r="E2728">
        <v>18</v>
      </c>
      <c r="F2728">
        <v>1791</v>
      </c>
      <c r="G2728">
        <v>115</v>
      </c>
      <c r="H2728">
        <f>SUMIFS($F$2:F2728,$C$2:C2728,C2728)</f>
        <v>63960</v>
      </c>
      <c r="I2728" s="8">
        <f>STAMP_Escapement_Data[[#This Row],[DATE]]-DATE(STAMP_Escapement_Data[[#This Row],[YEAR]],8,1)</f>
        <v>79</v>
      </c>
    </row>
    <row r="2729" spans="1:9" x14ac:dyDescent="0.25">
      <c r="A2729" s="1">
        <v>44854</v>
      </c>
      <c r="B2729">
        <v>1020</v>
      </c>
      <c r="C2729">
        <v>2022</v>
      </c>
      <c r="D2729">
        <v>102</v>
      </c>
      <c r="E2729">
        <v>11</v>
      </c>
      <c r="F2729">
        <v>1820</v>
      </c>
      <c r="G2729">
        <v>129</v>
      </c>
      <c r="H2729">
        <f>SUMIFS($F$2:F2729,$C$2:C2729,C2729)</f>
        <v>65780</v>
      </c>
      <c r="I2729" s="8">
        <f>STAMP_Escapement_Data[[#This Row],[DATE]]-DATE(STAMP_Escapement_Data[[#This Row],[YEAR]],8,1)</f>
        <v>80</v>
      </c>
    </row>
    <row r="2730" spans="1:9" x14ac:dyDescent="0.25">
      <c r="A2730" s="1">
        <v>44855</v>
      </c>
      <c r="B2730">
        <v>1021</v>
      </c>
      <c r="C2730">
        <v>2022</v>
      </c>
      <c r="D2730">
        <v>65</v>
      </c>
      <c r="E2730">
        <v>5</v>
      </c>
      <c r="F2730">
        <v>1069</v>
      </c>
      <c r="G2730">
        <v>84</v>
      </c>
      <c r="H2730">
        <f>SUMIFS($F$2:F2730,$C$2:C2730,C2730)</f>
        <v>66849</v>
      </c>
      <c r="I2730" s="8">
        <f>STAMP_Escapement_Data[[#This Row],[DATE]]-DATE(STAMP_Escapement_Data[[#This Row],[YEAR]],8,1)</f>
        <v>81</v>
      </c>
    </row>
    <row r="2731" spans="1:9" x14ac:dyDescent="0.25">
      <c r="A2731" s="1">
        <v>44856</v>
      </c>
      <c r="B2731">
        <v>1022</v>
      </c>
      <c r="C2731">
        <v>2022</v>
      </c>
      <c r="D2731">
        <v>73</v>
      </c>
      <c r="E2731">
        <v>7</v>
      </c>
      <c r="F2731">
        <v>935</v>
      </c>
      <c r="G2731">
        <v>50</v>
      </c>
      <c r="H2731">
        <f>SUMIFS($F$2:F2731,$C$2:C2731,C2731)</f>
        <v>67784</v>
      </c>
      <c r="I2731" s="8">
        <f>STAMP_Escapement_Data[[#This Row],[DATE]]-DATE(STAMP_Escapement_Data[[#This Row],[YEAR]],8,1)</f>
        <v>82</v>
      </c>
    </row>
    <row r="2732" spans="1:9" x14ac:dyDescent="0.25">
      <c r="A2732" s="1">
        <v>44857</v>
      </c>
      <c r="B2732">
        <v>1023</v>
      </c>
      <c r="C2732">
        <v>2022</v>
      </c>
      <c r="D2732">
        <v>27</v>
      </c>
      <c r="E2732">
        <v>4</v>
      </c>
      <c r="F2732">
        <v>708</v>
      </c>
      <c r="G2732">
        <v>50</v>
      </c>
      <c r="H2732">
        <f>SUMIFS($F$2:F2732,$C$2:C2732,C2732)</f>
        <v>68492</v>
      </c>
      <c r="I2732" s="8">
        <f>STAMP_Escapement_Data[[#This Row],[DATE]]-DATE(STAMP_Escapement_Data[[#This Row],[YEAR]],8,1)</f>
        <v>83</v>
      </c>
    </row>
    <row r="2733" spans="1:9" x14ac:dyDescent="0.25">
      <c r="A2733" s="1">
        <v>44858</v>
      </c>
      <c r="B2733">
        <v>1024</v>
      </c>
      <c r="C2733">
        <v>2022</v>
      </c>
      <c r="D2733">
        <v>66</v>
      </c>
      <c r="E2733">
        <v>0</v>
      </c>
      <c r="F2733">
        <v>1095</v>
      </c>
      <c r="G2733">
        <v>108</v>
      </c>
      <c r="H2733">
        <f>SUMIFS($F$2:F2733,$C$2:C2733,C2733)</f>
        <v>69587</v>
      </c>
      <c r="I2733" s="8">
        <f>STAMP_Escapement_Data[[#This Row],[DATE]]-DATE(STAMP_Escapement_Data[[#This Row],[YEAR]],8,1)</f>
        <v>84</v>
      </c>
    </row>
    <row r="2734" spans="1:9" x14ac:dyDescent="0.25">
      <c r="A2734" s="1">
        <v>44859</v>
      </c>
      <c r="B2734">
        <v>1025</v>
      </c>
      <c r="C2734">
        <v>2022</v>
      </c>
      <c r="D2734">
        <v>150</v>
      </c>
      <c r="E2734">
        <v>18</v>
      </c>
      <c r="F2734">
        <v>763</v>
      </c>
      <c r="G2734">
        <v>78</v>
      </c>
      <c r="H2734">
        <f>SUMIFS($F$2:F2734,$C$2:C2734,C2734)</f>
        <v>70350</v>
      </c>
      <c r="I2734" s="8">
        <f>STAMP_Escapement_Data[[#This Row],[DATE]]-DATE(STAMP_Escapement_Data[[#This Row],[YEAR]],8,1)</f>
        <v>85</v>
      </c>
    </row>
    <row r="2735" spans="1:9" x14ac:dyDescent="0.25">
      <c r="A2735" s="1">
        <v>44860</v>
      </c>
      <c r="B2735">
        <v>1026</v>
      </c>
      <c r="C2735">
        <v>2022</v>
      </c>
      <c r="D2735">
        <v>275</v>
      </c>
      <c r="E2735">
        <v>9</v>
      </c>
      <c r="F2735">
        <v>856</v>
      </c>
      <c r="G2735">
        <v>56</v>
      </c>
      <c r="H2735">
        <f>SUMIFS($F$2:F2735,$C$2:C2735,C2735)</f>
        <v>71206</v>
      </c>
      <c r="I2735" s="8">
        <f>STAMP_Escapement_Data[[#This Row],[DATE]]-DATE(STAMP_Escapement_Data[[#This Row],[YEAR]],8,1)</f>
        <v>86</v>
      </c>
    </row>
    <row r="2736" spans="1:9" x14ac:dyDescent="0.25">
      <c r="A2736" s="1">
        <v>44861</v>
      </c>
      <c r="B2736">
        <v>1027</v>
      </c>
      <c r="C2736">
        <v>2022</v>
      </c>
      <c r="D2736">
        <v>262</v>
      </c>
      <c r="E2736">
        <v>33</v>
      </c>
      <c r="F2736">
        <v>952</v>
      </c>
      <c r="G2736">
        <v>82</v>
      </c>
      <c r="H2736">
        <f>SUMIFS($F$2:F2736,$C$2:C2736,C2736)</f>
        <v>72158</v>
      </c>
      <c r="I2736" s="8">
        <f>STAMP_Escapement_Data[[#This Row],[DATE]]-DATE(STAMP_Escapement_Data[[#This Row],[YEAR]],8,1)</f>
        <v>87</v>
      </c>
    </row>
    <row r="2737" spans="1:9" x14ac:dyDescent="0.25">
      <c r="A2737" s="1">
        <v>44862</v>
      </c>
      <c r="B2737">
        <v>1028</v>
      </c>
      <c r="C2737">
        <v>2022</v>
      </c>
      <c r="D2737">
        <v>559</v>
      </c>
      <c r="E2737">
        <v>33</v>
      </c>
      <c r="F2737">
        <v>439</v>
      </c>
      <c r="G2737">
        <v>42</v>
      </c>
      <c r="H2737">
        <f>SUMIFS($F$2:F2737,$C$2:C2737,C2737)</f>
        <v>72597</v>
      </c>
      <c r="I2737" s="8">
        <f>STAMP_Escapement_Data[[#This Row],[DATE]]-DATE(STAMP_Escapement_Data[[#This Row],[YEAR]],8,1)</f>
        <v>88</v>
      </c>
    </row>
    <row r="2738" spans="1:9" x14ac:dyDescent="0.25">
      <c r="A2738" s="1">
        <v>44863</v>
      </c>
      <c r="B2738">
        <v>1029</v>
      </c>
      <c r="C2738">
        <v>2022</v>
      </c>
      <c r="D2738">
        <v>35</v>
      </c>
      <c r="E2738">
        <v>9</v>
      </c>
      <c r="F2738">
        <v>78</v>
      </c>
      <c r="G2738">
        <v>12</v>
      </c>
      <c r="H2738">
        <f>SUMIFS($F$2:F2738,$C$2:C2738,C2738)</f>
        <v>72675</v>
      </c>
      <c r="I2738" s="8">
        <f>STAMP_Escapement_Data[[#This Row],[DATE]]-DATE(STAMP_Escapement_Data[[#This Row],[YEAR]],8,1)</f>
        <v>89</v>
      </c>
    </row>
    <row r="2739" spans="1:9" x14ac:dyDescent="0.25">
      <c r="A2739" s="1">
        <v>44864</v>
      </c>
      <c r="B2739">
        <v>1030</v>
      </c>
      <c r="C2739">
        <v>2022</v>
      </c>
      <c r="D2739">
        <v>27</v>
      </c>
      <c r="E2739">
        <v>1</v>
      </c>
      <c r="F2739">
        <v>101</v>
      </c>
      <c r="G2739">
        <v>6</v>
      </c>
      <c r="H2739">
        <f>SUMIFS($F$2:F2739,$C$2:C2739,C2739)</f>
        <v>72776</v>
      </c>
      <c r="I2739" s="8">
        <f>STAMP_Escapement_Data[[#This Row],[DATE]]-DATE(STAMP_Escapement_Data[[#This Row],[YEAR]],8,1)</f>
        <v>90</v>
      </c>
    </row>
    <row r="2740" spans="1:9" x14ac:dyDescent="0.25">
      <c r="A2740" s="1">
        <v>44865</v>
      </c>
      <c r="B2740">
        <v>1031</v>
      </c>
      <c r="C2740">
        <v>2022</v>
      </c>
      <c r="D2740">
        <v>8</v>
      </c>
      <c r="E2740">
        <v>0</v>
      </c>
      <c r="F2740">
        <v>31</v>
      </c>
      <c r="G2740">
        <v>11</v>
      </c>
      <c r="H2740">
        <f>SUMIFS($F$2:F2740,$C$2:C2740,C2740)</f>
        <v>72807</v>
      </c>
      <c r="I2740" s="8">
        <f>STAMP_Escapement_Data[[#This Row],[DATE]]-DATE(STAMP_Escapement_Data[[#This Row],[YEAR]],8,1)</f>
        <v>91</v>
      </c>
    </row>
    <row r="2741" spans="1:9" x14ac:dyDescent="0.25">
      <c r="A2741" s="1">
        <v>44866</v>
      </c>
      <c r="B2741">
        <v>1101</v>
      </c>
      <c r="C2741">
        <v>2022</v>
      </c>
      <c r="D2741">
        <v>60</v>
      </c>
      <c r="E2741">
        <v>10</v>
      </c>
      <c r="F2741">
        <v>31</v>
      </c>
      <c r="G2741">
        <v>5</v>
      </c>
      <c r="H2741">
        <f>SUMIFS($F$2:F2741,$C$2:C2741,C2741)</f>
        <v>72838</v>
      </c>
      <c r="I2741" s="8">
        <f>STAMP_Escapement_Data[[#This Row],[DATE]]-DATE(STAMP_Escapement_Data[[#This Row],[YEAR]],8,1)</f>
        <v>92</v>
      </c>
    </row>
    <row r="2742" spans="1:9" x14ac:dyDescent="0.25">
      <c r="A2742" s="1">
        <v>44867</v>
      </c>
      <c r="B2742">
        <v>1102</v>
      </c>
      <c r="C2742">
        <v>2022</v>
      </c>
      <c r="D2742">
        <v>12</v>
      </c>
      <c r="E2742">
        <v>2</v>
      </c>
      <c r="F2742">
        <v>16</v>
      </c>
      <c r="G2742">
        <v>2</v>
      </c>
      <c r="H2742">
        <f>SUMIFS($F$2:F2742,$C$2:C2742,C2742)</f>
        <v>72854</v>
      </c>
      <c r="I2742" s="8">
        <f>STAMP_Escapement_Data[[#This Row],[DATE]]-DATE(STAMP_Escapement_Data[[#This Row],[YEAR]],8,1)</f>
        <v>93</v>
      </c>
    </row>
    <row r="2743" spans="1:9" x14ac:dyDescent="0.25">
      <c r="A2743" s="1">
        <v>44868</v>
      </c>
      <c r="B2743">
        <v>1103</v>
      </c>
      <c r="C2743">
        <v>2022</v>
      </c>
      <c r="D2743">
        <v>12</v>
      </c>
      <c r="E2743">
        <v>1</v>
      </c>
      <c r="F2743">
        <v>13</v>
      </c>
      <c r="G2743">
        <v>2</v>
      </c>
      <c r="H2743">
        <f>SUMIFS($F$2:F2743,$C$2:C2743,C2743)</f>
        <v>72867</v>
      </c>
      <c r="I2743" s="8">
        <f>STAMP_Escapement_Data[[#This Row],[DATE]]-DATE(STAMP_Escapement_Data[[#This Row],[YEAR]],8,1)</f>
        <v>94</v>
      </c>
    </row>
    <row r="2744" spans="1:9" x14ac:dyDescent="0.25">
      <c r="A2744" s="1">
        <v>44869</v>
      </c>
      <c r="B2744">
        <v>1104</v>
      </c>
      <c r="C2744">
        <v>2022</v>
      </c>
      <c r="D2744">
        <v>4</v>
      </c>
      <c r="E2744">
        <v>3</v>
      </c>
      <c r="F2744">
        <v>15</v>
      </c>
      <c r="G2744">
        <v>3</v>
      </c>
      <c r="H2744">
        <f>SUMIFS($F$2:F2744,$C$2:C2744,C2744)</f>
        <v>72882</v>
      </c>
      <c r="I2744" s="8">
        <f>STAMP_Escapement_Data[[#This Row],[DATE]]-DATE(STAMP_Escapement_Data[[#This Row],[YEAR]],8,1)</f>
        <v>95</v>
      </c>
    </row>
    <row r="2745" spans="1:9" x14ac:dyDescent="0.25">
      <c r="A2745" s="1">
        <v>44870</v>
      </c>
      <c r="B2745">
        <v>1105</v>
      </c>
      <c r="C2745">
        <v>2022</v>
      </c>
      <c r="D2745">
        <v>17</v>
      </c>
      <c r="E2745">
        <v>1</v>
      </c>
      <c r="F2745">
        <v>6</v>
      </c>
      <c r="G2745">
        <v>1</v>
      </c>
      <c r="H2745">
        <f>SUMIFS($F$2:F2745,$C$2:C2745,C2745)</f>
        <v>72888</v>
      </c>
      <c r="I2745" s="8">
        <f>STAMP_Escapement_Data[[#This Row],[DATE]]-DATE(STAMP_Escapement_Data[[#This Row],[YEAR]],8,1)</f>
        <v>96</v>
      </c>
    </row>
    <row r="2746" spans="1:9" x14ac:dyDescent="0.25">
      <c r="A2746" s="1">
        <v>44871</v>
      </c>
      <c r="B2746">
        <v>1106</v>
      </c>
      <c r="C2746">
        <v>2022</v>
      </c>
      <c r="D2746">
        <v>5</v>
      </c>
      <c r="E2746">
        <v>0</v>
      </c>
      <c r="F2746">
        <v>2</v>
      </c>
      <c r="G2746">
        <v>0</v>
      </c>
      <c r="H2746">
        <f>SUMIFS($F$2:F2746,$C$2:C2746,C2746)</f>
        <v>72890</v>
      </c>
      <c r="I2746" s="8">
        <f>STAMP_Escapement_Data[[#This Row],[DATE]]-DATE(STAMP_Escapement_Data[[#This Row],[YEAR]],8,1)</f>
        <v>97</v>
      </c>
    </row>
    <row r="2747" spans="1:9" x14ac:dyDescent="0.25">
      <c r="A2747" s="1">
        <v>44872</v>
      </c>
      <c r="B2747">
        <v>1107</v>
      </c>
      <c r="C2747">
        <v>2022</v>
      </c>
      <c r="D2747">
        <v>14</v>
      </c>
      <c r="E2747">
        <v>2</v>
      </c>
      <c r="F2747">
        <v>1</v>
      </c>
      <c r="G2747">
        <v>2</v>
      </c>
      <c r="H2747">
        <f>SUMIFS($F$2:F2747,$C$2:C2747,C2747)</f>
        <v>72891</v>
      </c>
      <c r="I2747" s="8">
        <f>STAMP_Escapement_Data[[#This Row],[DATE]]-DATE(STAMP_Escapement_Data[[#This Row],[YEAR]],8,1)</f>
        <v>98</v>
      </c>
    </row>
    <row r="2748" spans="1:9" x14ac:dyDescent="0.25">
      <c r="A2748" s="1">
        <v>44873</v>
      </c>
      <c r="B2748">
        <v>1108</v>
      </c>
      <c r="C2748">
        <v>2022</v>
      </c>
      <c r="D2748">
        <v>5</v>
      </c>
      <c r="E2748">
        <v>0</v>
      </c>
      <c r="F2748">
        <v>3</v>
      </c>
      <c r="G2748">
        <v>1</v>
      </c>
      <c r="H2748">
        <f>SUMIFS($F$2:F2748,$C$2:C2748,C2748)</f>
        <v>72894</v>
      </c>
      <c r="I2748" s="8">
        <f>STAMP_Escapement_Data[[#This Row],[DATE]]-DATE(STAMP_Escapement_Data[[#This Row],[YEAR]],8,1)</f>
        <v>99</v>
      </c>
    </row>
    <row r="2749" spans="1:9" x14ac:dyDescent="0.25">
      <c r="A2749" s="1">
        <v>44874</v>
      </c>
      <c r="B2749">
        <v>1109</v>
      </c>
      <c r="C2749">
        <v>2022</v>
      </c>
      <c r="D2749">
        <v>1</v>
      </c>
      <c r="E2749">
        <v>1</v>
      </c>
      <c r="F2749">
        <v>1</v>
      </c>
      <c r="G2749">
        <v>0</v>
      </c>
      <c r="H2749">
        <f>SUMIFS($F$2:F2749,$C$2:C2749,C2749)</f>
        <v>72895</v>
      </c>
      <c r="I2749" s="8">
        <f>STAMP_Escapement_Data[[#This Row],[DATE]]-DATE(STAMP_Escapement_Data[[#This Row],[YEAR]],8,1)</f>
        <v>100</v>
      </c>
    </row>
    <row r="2750" spans="1:9" x14ac:dyDescent="0.25">
      <c r="A2750" s="1">
        <v>44875</v>
      </c>
      <c r="B2750">
        <v>1110</v>
      </c>
      <c r="C2750">
        <v>2022</v>
      </c>
      <c r="D2750">
        <v>6</v>
      </c>
      <c r="E2750">
        <v>2</v>
      </c>
      <c r="F2750">
        <v>0</v>
      </c>
      <c r="G2750">
        <v>1</v>
      </c>
      <c r="H2750">
        <f>SUMIFS($F$2:F2750,$C$2:C2750,C2750)</f>
        <v>72895</v>
      </c>
      <c r="I2750" s="8">
        <f>STAMP_Escapement_Data[[#This Row],[DATE]]-DATE(STAMP_Escapement_Data[[#This Row],[YEAR]],8,1)</f>
        <v>101</v>
      </c>
    </row>
    <row r="2751" spans="1:9" x14ac:dyDescent="0.25">
      <c r="A2751" s="1">
        <v>44876</v>
      </c>
      <c r="B2751">
        <v>1111</v>
      </c>
      <c r="C2751">
        <v>2022</v>
      </c>
      <c r="D2751">
        <v>7</v>
      </c>
      <c r="E2751">
        <v>2</v>
      </c>
      <c r="F2751">
        <v>1</v>
      </c>
      <c r="G2751">
        <v>0</v>
      </c>
      <c r="H2751">
        <f>SUMIFS($F$2:F2751,$C$2:C2751,C2751)</f>
        <v>72896</v>
      </c>
      <c r="I2751" s="8">
        <f>STAMP_Escapement_Data[[#This Row],[DATE]]-DATE(STAMP_Escapement_Data[[#This Row],[YEAR]],8,1)</f>
        <v>102</v>
      </c>
    </row>
    <row r="2752" spans="1:9" x14ac:dyDescent="0.25">
      <c r="A2752" s="1">
        <v>44877</v>
      </c>
      <c r="B2752">
        <v>1112</v>
      </c>
      <c r="C2752">
        <v>2022</v>
      </c>
      <c r="D2752">
        <v>7</v>
      </c>
      <c r="E2752">
        <v>0</v>
      </c>
      <c r="F2752">
        <v>1</v>
      </c>
      <c r="G2752">
        <v>2</v>
      </c>
      <c r="H2752">
        <f>SUMIFS($F$2:F2752,$C$2:C2752,C2752)</f>
        <v>72897</v>
      </c>
      <c r="I2752" s="8">
        <f>STAMP_Escapement_Data[[#This Row],[DATE]]-DATE(STAMP_Escapement_Data[[#This Row],[YEAR]],8,1)</f>
        <v>103</v>
      </c>
    </row>
    <row r="2753" spans="1:9" x14ac:dyDescent="0.25">
      <c r="A2753" s="1">
        <v>44878</v>
      </c>
      <c r="B2753">
        <v>1113</v>
      </c>
      <c r="C2753">
        <v>2022</v>
      </c>
      <c r="D2753">
        <v>7</v>
      </c>
      <c r="E2753">
        <v>4</v>
      </c>
      <c r="F2753">
        <v>0</v>
      </c>
      <c r="G2753">
        <v>1</v>
      </c>
      <c r="H2753">
        <f>SUMIFS($F$2:F2753,$C$2:C2753,C2753)</f>
        <v>72897</v>
      </c>
      <c r="I2753" s="8">
        <f>STAMP_Escapement_Data[[#This Row],[DATE]]-DATE(STAMP_Escapement_Data[[#This Row],[YEAR]],8,1)</f>
        <v>104</v>
      </c>
    </row>
    <row r="2754" spans="1:9" x14ac:dyDescent="0.25">
      <c r="A2754" s="1">
        <v>44879</v>
      </c>
      <c r="B2754">
        <v>1114</v>
      </c>
      <c r="C2754">
        <v>2022</v>
      </c>
      <c r="D2754">
        <v>2</v>
      </c>
      <c r="E2754">
        <v>0</v>
      </c>
      <c r="F2754">
        <v>0</v>
      </c>
      <c r="G2754">
        <v>0</v>
      </c>
      <c r="H2754">
        <f>SUMIFS($F$2:F2754,$C$2:C2754,C2754)</f>
        <v>72897</v>
      </c>
      <c r="I2754" s="8">
        <f>STAMP_Escapement_Data[[#This Row],[DATE]]-DATE(STAMP_Escapement_Data[[#This Row],[YEAR]],8,1)</f>
        <v>105</v>
      </c>
    </row>
    <row r="2755" spans="1:9" x14ac:dyDescent="0.25">
      <c r="A2755" s="1">
        <v>44880</v>
      </c>
      <c r="B2755">
        <v>1115</v>
      </c>
      <c r="C2755">
        <v>2022</v>
      </c>
      <c r="D2755">
        <v>4</v>
      </c>
      <c r="E2755">
        <v>0</v>
      </c>
      <c r="F2755">
        <v>1</v>
      </c>
      <c r="G2755">
        <v>0</v>
      </c>
      <c r="H2755">
        <f>SUMIFS($F$2:F2755,$C$2:C2755,C2755)</f>
        <v>72898</v>
      </c>
      <c r="I2755" s="8">
        <f>STAMP_Escapement_Data[[#This Row],[DATE]]-DATE(STAMP_Escapement_Data[[#This Row],[YEAR]],8,1)</f>
        <v>106</v>
      </c>
    </row>
    <row r="2756" spans="1:9" x14ac:dyDescent="0.25">
      <c r="A2756" s="1">
        <v>44881</v>
      </c>
      <c r="B2756">
        <v>1116</v>
      </c>
      <c r="C2756">
        <v>2022</v>
      </c>
      <c r="D2756">
        <v>1</v>
      </c>
      <c r="E2756">
        <v>0</v>
      </c>
      <c r="F2756">
        <v>0</v>
      </c>
      <c r="G2756">
        <v>0</v>
      </c>
      <c r="H2756">
        <f>SUMIFS($F$2:F2756,$C$2:C2756,C2756)</f>
        <v>72898</v>
      </c>
      <c r="I2756" s="8">
        <f>STAMP_Escapement_Data[[#This Row],[DATE]]-DATE(STAMP_Escapement_Data[[#This Row],[YEAR]],8,1)</f>
        <v>107</v>
      </c>
    </row>
    <row r="2757" spans="1:9" x14ac:dyDescent="0.25">
      <c r="A2757" s="1">
        <v>44882</v>
      </c>
      <c r="B2757">
        <v>1117</v>
      </c>
      <c r="C2757">
        <v>2022</v>
      </c>
      <c r="D2757">
        <v>1</v>
      </c>
      <c r="E2757">
        <v>0</v>
      </c>
      <c r="F2757">
        <v>0</v>
      </c>
      <c r="G2757">
        <v>1</v>
      </c>
      <c r="H2757">
        <f>SUMIFS($F$2:F2757,$C$2:C2757,C2757)</f>
        <v>72898</v>
      </c>
      <c r="I2757" s="8">
        <f>STAMP_Escapement_Data[[#This Row],[DATE]]-DATE(STAMP_Escapement_Data[[#This Row],[YEAR]],8,1)</f>
        <v>108</v>
      </c>
    </row>
    <row r="2758" spans="1:9" x14ac:dyDescent="0.25">
      <c r="A2758" s="1">
        <v>44883</v>
      </c>
      <c r="B2758">
        <v>1118</v>
      </c>
      <c r="C2758">
        <v>2022</v>
      </c>
      <c r="D2758">
        <v>2</v>
      </c>
      <c r="E2758">
        <v>0</v>
      </c>
      <c r="F2758">
        <v>0</v>
      </c>
      <c r="G2758">
        <v>0</v>
      </c>
      <c r="H2758">
        <f>SUMIFS($F$2:F2758,$C$2:C2758,C2758)</f>
        <v>72898</v>
      </c>
      <c r="I2758" s="8">
        <f>STAMP_Escapement_Data[[#This Row],[DATE]]-DATE(STAMP_Escapement_Data[[#This Row],[YEAR]],8,1)</f>
        <v>109</v>
      </c>
    </row>
    <row r="2759" spans="1:9" x14ac:dyDescent="0.25">
      <c r="A2759" s="1">
        <v>44884</v>
      </c>
      <c r="B2759">
        <v>1119</v>
      </c>
      <c r="C2759">
        <v>2022</v>
      </c>
      <c r="D2759">
        <v>1</v>
      </c>
      <c r="E2759">
        <v>0</v>
      </c>
      <c r="F2759">
        <v>0</v>
      </c>
      <c r="G2759">
        <v>0</v>
      </c>
      <c r="H2759">
        <f>SUMIFS($F$2:F2759,$C$2:C2759,C2759)</f>
        <v>72898</v>
      </c>
      <c r="I2759" s="8">
        <f>STAMP_Escapement_Data[[#This Row],[DATE]]-DATE(STAMP_Escapement_Data[[#This Row],[YEAR]],8,1)</f>
        <v>110</v>
      </c>
    </row>
    <row r="2760" spans="1:9" x14ac:dyDescent="0.25">
      <c r="A2760" s="1">
        <v>44885</v>
      </c>
      <c r="B2760">
        <v>1120</v>
      </c>
      <c r="C2760">
        <v>2022</v>
      </c>
      <c r="D2760">
        <v>0</v>
      </c>
      <c r="E2760">
        <v>0</v>
      </c>
      <c r="F2760">
        <v>0</v>
      </c>
      <c r="G2760">
        <v>0</v>
      </c>
      <c r="H2760">
        <f>SUMIFS($F$2:F2760,$C$2:C2760,C2760)</f>
        <v>72898</v>
      </c>
      <c r="I2760" s="8">
        <f>STAMP_Escapement_Data[[#This Row],[DATE]]-DATE(STAMP_Escapement_Data[[#This Row],[YEAR]],8,1)</f>
        <v>111</v>
      </c>
    </row>
    <row r="2761" spans="1:9" x14ac:dyDescent="0.25">
      <c r="A2761" s="1">
        <v>44886</v>
      </c>
      <c r="B2761">
        <v>1121</v>
      </c>
      <c r="C2761">
        <v>2022</v>
      </c>
      <c r="D2761">
        <v>3</v>
      </c>
      <c r="E2761">
        <v>0</v>
      </c>
      <c r="F2761">
        <v>0</v>
      </c>
      <c r="G2761">
        <v>0</v>
      </c>
      <c r="H2761">
        <f>SUMIFS($F$2:F2761,$C$2:C2761,C2761)</f>
        <v>72898</v>
      </c>
      <c r="I2761" s="8">
        <f>STAMP_Escapement_Data[[#This Row],[DATE]]-DATE(STAMP_Escapement_Data[[#This Row],[YEAR]],8,1)</f>
        <v>112</v>
      </c>
    </row>
    <row r="2762" spans="1:9" x14ac:dyDescent="0.25">
      <c r="A2762" s="1">
        <v>44887</v>
      </c>
      <c r="B2762">
        <v>1122</v>
      </c>
      <c r="C2762">
        <v>2022</v>
      </c>
      <c r="D2762">
        <v>4</v>
      </c>
      <c r="E2762">
        <v>0</v>
      </c>
      <c r="F2762">
        <v>0</v>
      </c>
      <c r="G2762">
        <v>0</v>
      </c>
      <c r="H2762">
        <f>SUMIFS($F$2:F2762,$C$2:C2762,C2762)</f>
        <v>72898</v>
      </c>
      <c r="I2762" s="8">
        <f>STAMP_Escapement_Data[[#This Row],[DATE]]-DATE(STAMP_Escapement_Data[[#This Row],[YEAR]],8,1)</f>
        <v>113</v>
      </c>
    </row>
    <row r="2763" spans="1:9" x14ac:dyDescent="0.25">
      <c r="A2763" s="1">
        <v>44888</v>
      </c>
      <c r="B2763">
        <v>1123</v>
      </c>
      <c r="C2763">
        <v>2022</v>
      </c>
      <c r="D2763">
        <v>16</v>
      </c>
      <c r="E2763">
        <v>2</v>
      </c>
      <c r="F2763">
        <v>0</v>
      </c>
      <c r="G2763">
        <v>0</v>
      </c>
      <c r="H2763">
        <f>SUMIFS($F$2:F2763,$C$2:C2763,C2763)</f>
        <v>72898</v>
      </c>
      <c r="I2763" s="8">
        <f>STAMP_Escapement_Data[[#This Row],[DATE]]-DATE(STAMP_Escapement_Data[[#This Row],[YEAR]],8,1)</f>
        <v>114</v>
      </c>
    </row>
    <row r="2764" spans="1:9" x14ac:dyDescent="0.25">
      <c r="A2764" s="1">
        <v>44889</v>
      </c>
      <c r="B2764">
        <v>1124</v>
      </c>
      <c r="C2764">
        <v>2022</v>
      </c>
      <c r="D2764">
        <v>13</v>
      </c>
      <c r="E2764">
        <v>1</v>
      </c>
      <c r="F2764">
        <v>2</v>
      </c>
      <c r="G2764">
        <v>1</v>
      </c>
      <c r="H2764">
        <f>SUMIFS($F$2:F2764,$C$2:C2764,C2764)</f>
        <v>72900</v>
      </c>
      <c r="I2764" s="8">
        <f>STAMP_Escapement_Data[[#This Row],[DATE]]-DATE(STAMP_Escapement_Data[[#This Row],[YEAR]],8,1)</f>
        <v>115</v>
      </c>
    </row>
    <row r="2765" spans="1:9" x14ac:dyDescent="0.25">
      <c r="A2765" s="1">
        <v>44890</v>
      </c>
      <c r="B2765">
        <v>1125</v>
      </c>
      <c r="C2765">
        <v>2022</v>
      </c>
      <c r="D2765">
        <v>6</v>
      </c>
      <c r="E2765">
        <v>3</v>
      </c>
      <c r="F2765">
        <v>1</v>
      </c>
      <c r="G2765">
        <v>0</v>
      </c>
      <c r="H2765">
        <f>SUMIFS($F$2:F2765,$C$2:C2765,C2765)</f>
        <v>72901</v>
      </c>
      <c r="I2765" s="8">
        <f>STAMP_Escapement_Data[[#This Row],[DATE]]-DATE(STAMP_Escapement_Data[[#This Row],[YEAR]],8,1)</f>
        <v>116</v>
      </c>
    </row>
    <row r="2766" spans="1:9" x14ac:dyDescent="0.25">
      <c r="A2766" s="1">
        <v>44891</v>
      </c>
      <c r="B2766">
        <v>1126</v>
      </c>
      <c r="C2766">
        <v>2022</v>
      </c>
      <c r="D2766">
        <v>8</v>
      </c>
      <c r="E2766">
        <v>11</v>
      </c>
      <c r="F2766">
        <v>0</v>
      </c>
      <c r="G2766">
        <v>0</v>
      </c>
      <c r="H2766">
        <f>SUMIFS($F$2:F2766,$C$2:C2766,C2766)</f>
        <v>72901</v>
      </c>
      <c r="I2766" s="8">
        <f>STAMP_Escapement_Data[[#This Row],[DATE]]-DATE(STAMP_Escapement_Data[[#This Row],[YEAR]],8,1)</f>
        <v>117</v>
      </c>
    </row>
    <row r="2767" spans="1:9" x14ac:dyDescent="0.25">
      <c r="A2767" s="1">
        <v>44892</v>
      </c>
      <c r="B2767">
        <v>1127</v>
      </c>
      <c r="C2767">
        <v>2022</v>
      </c>
      <c r="D2767">
        <v>5</v>
      </c>
      <c r="E2767">
        <v>21</v>
      </c>
      <c r="F2767">
        <v>0</v>
      </c>
      <c r="G2767">
        <v>1</v>
      </c>
      <c r="H2767">
        <f>SUMIFS($F$2:F2767,$C$2:C2767,C2767)</f>
        <v>72901</v>
      </c>
      <c r="I2767" s="8">
        <f>STAMP_Escapement_Data[[#This Row],[DATE]]-DATE(STAMP_Escapement_Data[[#This Row],[YEAR]],8,1)</f>
        <v>118</v>
      </c>
    </row>
    <row r="2768" spans="1:9" x14ac:dyDescent="0.25">
      <c r="A2768" s="1">
        <v>44893</v>
      </c>
      <c r="B2768">
        <v>1128</v>
      </c>
      <c r="C2768">
        <v>2022</v>
      </c>
      <c r="D2768">
        <v>0</v>
      </c>
      <c r="E2768">
        <v>6</v>
      </c>
      <c r="F2768">
        <v>0</v>
      </c>
      <c r="G2768">
        <v>0</v>
      </c>
      <c r="H2768">
        <f>SUMIFS($F$2:F2768,$C$2:C2768,C2768)</f>
        <v>72901</v>
      </c>
      <c r="I2768" s="8">
        <f>STAMP_Escapement_Data[[#This Row],[DATE]]-DATE(STAMP_Escapement_Data[[#This Row],[YEAR]],8,1)</f>
        <v>119</v>
      </c>
    </row>
    <row r="2769" spans="1:9" x14ac:dyDescent="0.25">
      <c r="A2769" s="1">
        <v>44894</v>
      </c>
      <c r="B2769">
        <v>1129</v>
      </c>
      <c r="C2769">
        <v>2022</v>
      </c>
      <c r="D2769">
        <v>0</v>
      </c>
      <c r="E2769">
        <v>3</v>
      </c>
      <c r="F2769">
        <v>0</v>
      </c>
      <c r="G2769">
        <v>0</v>
      </c>
      <c r="H2769">
        <f>SUMIFS($F$2:F2769,$C$2:C2769,C2769)</f>
        <v>72901</v>
      </c>
      <c r="I2769" s="8">
        <f>STAMP_Escapement_Data[[#This Row],[DATE]]-DATE(STAMP_Escapement_Data[[#This Row],[YEAR]],8,1)</f>
        <v>120</v>
      </c>
    </row>
    <row r="2770" spans="1:9" x14ac:dyDescent="0.25">
      <c r="A2770" s="1">
        <v>44895</v>
      </c>
      <c r="B2770">
        <v>1130</v>
      </c>
      <c r="C2770">
        <v>2022</v>
      </c>
      <c r="D2770">
        <v>0</v>
      </c>
      <c r="E2770">
        <v>2</v>
      </c>
      <c r="F2770">
        <v>0</v>
      </c>
      <c r="G2770">
        <v>0</v>
      </c>
      <c r="H2770">
        <f>SUMIFS($F$2:F2770,$C$2:C2770,C2770)</f>
        <v>72901</v>
      </c>
      <c r="I2770" s="8">
        <f>STAMP_Escapement_Data[[#This Row],[DATE]]-DATE(STAMP_Escapement_Data[[#This Row],[YEAR]],8,1)</f>
        <v>121</v>
      </c>
    </row>
    <row r="2771" spans="1:9" x14ac:dyDescent="0.25">
      <c r="A2771" s="1">
        <v>45138</v>
      </c>
      <c r="B2771">
        <v>731</v>
      </c>
      <c r="C2771">
        <v>2023</v>
      </c>
      <c r="D2771">
        <v>25</v>
      </c>
      <c r="E2771">
        <v>6</v>
      </c>
      <c r="F2771">
        <v>41</v>
      </c>
      <c r="G2771">
        <v>0</v>
      </c>
      <c r="H2771">
        <f>SUMIFS($F$2:F2771,$C$2:C2771,C2771)</f>
        <v>41</v>
      </c>
      <c r="I2771" s="8">
        <f>STAMP_Escapement_Data[[#This Row],[DATE]]-DATE(STAMP_Escapement_Data[[#This Row],[YEAR]],8,1)</f>
        <v>-1</v>
      </c>
    </row>
    <row r="2772" spans="1:9" x14ac:dyDescent="0.25">
      <c r="A2772" s="1">
        <v>45139</v>
      </c>
      <c r="B2772">
        <v>801</v>
      </c>
      <c r="C2772">
        <v>2023</v>
      </c>
      <c r="D2772">
        <v>0</v>
      </c>
      <c r="E2772">
        <v>0</v>
      </c>
      <c r="F2772">
        <v>9</v>
      </c>
      <c r="G2772">
        <v>0</v>
      </c>
      <c r="H2772">
        <f>SUMIFS($F$2:F2772,$C$2:C2772,C2772)</f>
        <v>50</v>
      </c>
      <c r="I2772" s="8">
        <f>STAMP_Escapement_Data[[#This Row],[DATE]]-DATE(STAMP_Escapement_Data[[#This Row],[YEAR]],8,1)</f>
        <v>0</v>
      </c>
    </row>
    <row r="2773" spans="1:9" x14ac:dyDescent="0.25">
      <c r="A2773" s="1">
        <v>45140</v>
      </c>
      <c r="B2773">
        <v>802</v>
      </c>
      <c r="C2773">
        <v>2023</v>
      </c>
      <c r="D2773">
        <v>3</v>
      </c>
      <c r="E2773">
        <v>0</v>
      </c>
      <c r="F2773">
        <v>32</v>
      </c>
      <c r="G2773">
        <v>2</v>
      </c>
      <c r="H2773">
        <f>SUMIFS($F$2:F2773,$C$2:C2773,C2773)</f>
        <v>82</v>
      </c>
      <c r="I2773" s="8">
        <f>STAMP_Escapement_Data[[#This Row],[DATE]]-DATE(STAMP_Escapement_Data[[#This Row],[YEAR]],8,1)</f>
        <v>1</v>
      </c>
    </row>
    <row r="2774" spans="1:9" x14ac:dyDescent="0.25">
      <c r="A2774" s="1">
        <v>45141</v>
      </c>
      <c r="B2774">
        <v>803</v>
      </c>
      <c r="C2774">
        <v>2023</v>
      </c>
      <c r="D2774">
        <v>0</v>
      </c>
      <c r="E2774">
        <v>0</v>
      </c>
      <c r="F2774">
        <v>13</v>
      </c>
      <c r="G2774">
        <v>1</v>
      </c>
      <c r="H2774">
        <f>SUMIFS($F$2:F2774,$C$2:C2774,C2774)</f>
        <v>95</v>
      </c>
      <c r="I2774" s="8">
        <f>STAMP_Escapement_Data[[#This Row],[DATE]]-DATE(STAMP_Escapement_Data[[#This Row],[YEAR]],8,1)</f>
        <v>2</v>
      </c>
    </row>
    <row r="2775" spans="1:9" x14ac:dyDescent="0.25">
      <c r="A2775" s="1">
        <v>45142</v>
      </c>
      <c r="B2775">
        <v>804</v>
      </c>
      <c r="C2775">
        <v>2023</v>
      </c>
      <c r="D2775">
        <v>1</v>
      </c>
      <c r="E2775">
        <v>1</v>
      </c>
      <c r="F2775">
        <v>10</v>
      </c>
      <c r="G2775">
        <v>0</v>
      </c>
      <c r="H2775">
        <f>SUMIFS($F$2:F2775,$C$2:C2775,C2775)</f>
        <v>105</v>
      </c>
      <c r="I2775" s="8">
        <f>STAMP_Escapement_Data[[#This Row],[DATE]]-DATE(STAMP_Escapement_Data[[#This Row],[YEAR]],8,1)</f>
        <v>3</v>
      </c>
    </row>
    <row r="2776" spans="1:9" x14ac:dyDescent="0.25">
      <c r="A2776" s="1">
        <v>45143</v>
      </c>
      <c r="B2776">
        <v>805</v>
      </c>
      <c r="C2776">
        <v>2023</v>
      </c>
      <c r="D2776">
        <v>7</v>
      </c>
      <c r="E2776">
        <v>1</v>
      </c>
      <c r="F2776">
        <v>26</v>
      </c>
      <c r="G2776">
        <v>0</v>
      </c>
      <c r="H2776">
        <f>SUMIFS($F$2:F2776,$C$2:C2776,C2776)</f>
        <v>131</v>
      </c>
      <c r="I2776" s="8">
        <f>STAMP_Escapement_Data[[#This Row],[DATE]]-DATE(STAMP_Escapement_Data[[#This Row],[YEAR]],8,1)</f>
        <v>4</v>
      </c>
    </row>
    <row r="2777" spans="1:9" x14ac:dyDescent="0.25">
      <c r="A2777" s="1">
        <v>45144</v>
      </c>
      <c r="B2777">
        <v>806</v>
      </c>
      <c r="C2777">
        <v>2023</v>
      </c>
      <c r="D2777">
        <v>19</v>
      </c>
      <c r="E2777">
        <v>0</v>
      </c>
      <c r="F2777">
        <v>39</v>
      </c>
      <c r="G2777">
        <v>1</v>
      </c>
      <c r="H2777">
        <f>SUMIFS($F$2:F2777,$C$2:C2777,C2777)</f>
        <v>170</v>
      </c>
      <c r="I2777" s="8">
        <f>STAMP_Escapement_Data[[#This Row],[DATE]]-DATE(STAMP_Escapement_Data[[#This Row],[YEAR]],8,1)</f>
        <v>5</v>
      </c>
    </row>
    <row r="2778" spans="1:9" x14ac:dyDescent="0.25">
      <c r="A2778" s="1">
        <v>45145</v>
      </c>
      <c r="B2778">
        <v>807</v>
      </c>
      <c r="C2778">
        <v>2023</v>
      </c>
      <c r="D2778">
        <v>1</v>
      </c>
      <c r="E2778">
        <v>0</v>
      </c>
      <c r="F2778">
        <v>4</v>
      </c>
      <c r="G2778">
        <v>0</v>
      </c>
      <c r="H2778">
        <f>SUMIFS($F$2:F2778,$C$2:C2778,C2778)</f>
        <v>174</v>
      </c>
      <c r="I2778" s="8">
        <f>STAMP_Escapement_Data[[#This Row],[DATE]]-DATE(STAMP_Escapement_Data[[#This Row],[YEAR]],8,1)</f>
        <v>6</v>
      </c>
    </row>
    <row r="2779" spans="1:9" x14ac:dyDescent="0.25">
      <c r="A2779" s="1">
        <v>45146</v>
      </c>
      <c r="B2779">
        <v>808</v>
      </c>
      <c r="C2779">
        <v>2023</v>
      </c>
      <c r="D2779">
        <v>9</v>
      </c>
      <c r="E2779">
        <v>0</v>
      </c>
      <c r="F2779">
        <v>28</v>
      </c>
      <c r="G2779">
        <v>0</v>
      </c>
      <c r="H2779">
        <f>SUMIFS($F$2:F2779,$C$2:C2779,C2779)</f>
        <v>202</v>
      </c>
      <c r="I2779" s="8">
        <f>STAMP_Escapement_Data[[#This Row],[DATE]]-DATE(STAMP_Escapement_Data[[#This Row],[YEAR]],8,1)</f>
        <v>7</v>
      </c>
    </row>
    <row r="2780" spans="1:9" x14ac:dyDescent="0.25">
      <c r="A2780" s="1">
        <v>45147</v>
      </c>
      <c r="B2780">
        <v>809</v>
      </c>
      <c r="C2780">
        <v>2023</v>
      </c>
      <c r="D2780">
        <v>3</v>
      </c>
      <c r="E2780">
        <v>4</v>
      </c>
      <c r="F2780">
        <v>14</v>
      </c>
      <c r="G2780">
        <v>0</v>
      </c>
      <c r="H2780">
        <f>SUMIFS($F$2:F2780,$C$2:C2780,C2780)</f>
        <v>216</v>
      </c>
      <c r="I2780" s="8">
        <f>STAMP_Escapement_Data[[#This Row],[DATE]]-DATE(STAMP_Escapement_Data[[#This Row],[YEAR]],8,1)</f>
        <v>8</v>
      </c>
    </row>
    <row r="2781" spans="1:9" x14ac:dyDescent="0.25">
      <c r="A2781" s="1">
        <v>45148</v>
      </c>
      <c r="B2781">
        <v>810</v>
      </c>
      <c r="C2781">
        <v>2023</v>
      </c>
      <c r="D2781">
        <v>14</v>
      </c>
      <c r="E2781">
        <v>0</v>
      </c>
      <c r="F2781">
        <v>22</v>
      </c>
      <c r="G2781">
        <v>1</v>
      </c>
      <c r="H2781">
        <f>SUMIFS($F$2:F2781,$C$2:C2781,C2781)</f>
        <v>238</v>
      </c>
      <c r="I2781" s="8">
        <f>STAMP_Escapement_Data[[#This Row],[DATE]]-DATE(STAMP_Escapement_Data[[#This Row],[YEAR]],8,1)</f>
        <v>9</v>
      </c>
    </row>
    <row r="2782" spans="1:9" x14ac:dyDescent="0.25">
      <c r="A2782" s="1">
        <v>45149</v>
      </c>
      <c r="B2782">
        <v>811</v>
      </c>
      <c r="C2782">
        <v>2023</v>
      </c>
      <c r="D2782">
        <v>26</v>
      </c>
      <c r="E2782">
        <v>0</v>
      </c>
      <c r="F2782">
        <v>31</v>
      </c>
      <c r="G2782">
        <v>0</v>
      </c>
      <c r="H2782">
        <f>SUMIFS($F$2:F2782,$C$2:C2782,C2782)</f>
        <v>269</v>
      </c>
      <c r="I2782" s="8">
        <f>STAMP_Escapement_Data[[#This Row],[DATE]]-DATE(STAMP_Escapement_Data[[#This Row],[YEAR]],8,1)</f>
        <v>10</v>
      </c>
    </row>
    <row r="2783" spans="1:9" x14ac:dyDescent="0.25">
      <c r="A2783" s="1">
        <v>45150</v>
      </c>
      <c r="B2783">
        <v>812</v>
      </c>
      <c r="C2783">
        <v>2023</v>
      </c>
      <c r="D2783">
        <v>48</v>
      </c>
      <c r="E2783">
        <v>3</v>
      </c>
      <c r="F2783">
        <v>80</v>
      </c>
      <c r="G2783">
        <v>1</v>
      </c>
      <c r="H2783">
        <f>SUMIFS($F$2:F2783,$C$2:C2783,C2783)</f>
        <v>349</v>
      </c>
      <c r="I2783" s="8">
        <f>STAMP_Escapement_Data[[#This Row],[DATE]]-DATE(STAMP_Escapement_Data[[#This Row],[YEAR]],8,1)</f>
        <v>11</v>
      </c>
    </row>
    <row r="2784" spans="1:9" x14ac:dyDescent="0.25">
      <c r="A2784" s="1">
        <v>45151</v>
      </c>
      <c r="B2784">
        <v>813</v>
      </c>
      <c r="C2784">
        <v>2023</v>
      </c>
      <c r="D2784">
        <v>23</v>
      </c>
      <c r="E2784">
        <v>3</v>
      </c>
      <c r="F2784">
        <v>63</v>
      </c>
      <c r="G2784">
        <v>0</v>
      </c>
      <c r="H2784">
        <f>SUMIFS($F$2:F2784,$C$2:C2784,C2784)</f>
        <v>412</v>
      </c>
      <c r="I2784" s="8">
        <f>STAMP_Escapement_Data[[#This Row],[DATE]]-DATE(STAMP_Escapement_Data[[#This Row],[YEAR]],8,1)</f>
        <v>12</v>
      </c>
    </row>
    <row r="2785" spans="1:9" x14ac:dyDescent="0.25">
      <c r="A2785" s="1">
        <v>45152</v>
      </c>
      <c r="B2785">
        <v>814</v>
      </c>
      <c r="C2785">
        <v>2023</v>
      </c>
      <c r="D2785">
        <v>8</v>
      </c>
      <c r="E2785">
        <v>1</v>
      </c>
      <c r="F2785">
        <v>104</v>
      </c>
      <c r="G2785">
        <v>0</v>
      </c>
      <c r="H2785">
        <f>SUMIFS($F$2:F2785,$C$2:C2785,C2785)</f>
        <v>516</v>
      </c>
      <c r="I2785" s="8">
        <f>STAMP_Escapement_Data[[#This Row],[DATE]]-DATE(STAMP_Escapement_Data[[#This Row],[YEAR]],8,1)</f>
        <v>13</v>
      </c>
    </row>
    <row r="2786" spans="1:9" x14ac:dyDescent="0.25">
      <c r="A2786" s="1">
        <v>45153</v>
      </c>
      <c r="B2786">
        <v>815</v>
      </c>
      <c r="C2786">
        <v>2023</v>
      </c>
      <c r="D2786">
        <v>13</v>
      </c>
      <c r="E2786">
        <v>0</v>
      </c>
      <c r="F2786">
        <v>61</v>
      </c>
      <c r="G2786">
        <v>1</v>
      </c>
      <c r="H2786">
        <f>SUMIFS($F$2:F2786,$C$2:C2786,C2786)</f>
        <v>577</v>
      </c>
      <c r="I2786" s="8">
        <f>STAMP_Escapement_Data[[#This Row],[DATE]]-DATE(STAMP_Escapement_Data[[#This Row],[YEAR]],8,1)</f>
        <v>14</v>
      </c>
    </row>
    <row r="2787" spans="1:9" x14ac:dyDescent="0.25">
      <c r="A2787" s="1">
        <v>45154</v>
      </c>
      <c r="B2787">
        <v>816</v>
      </c>
      <c r="C2787">
        <v>2023</v>
      </c>
      <c r="D2787">
        <v>0</v>
      </c>
      <c r="E2787">
        <v>1</v>
      </c>
      <c r="F2787">
        <v>24</v>
      </c>
      <c r="G2787">
        <v>1</v>
      </c>
      <c r="H2787">
        <f>SUMIFS($F$2:F2787,$C$2:C2787,C2787)</f>
        <v>601</v>
      </c>
      <c r="I2787" s="8">
        <f>STAMP_Escapement_Data[[#This Row],[DATE]]-DATE(STAMP_Escapement_Data[[#This Row],[YEAR]],8,1)</f>
        <v>15</v>
      </c>
    </row>
    <row r="2788" spans="1:9" x14ac:dyDescent="0.25">
      <c r="A2788" s="1">
        <v>45155</v>
      </c>
      <c r="B2788">
        <v>817</v>
      </c>
      <c r="C2788">
        <v>2023</v>
      </c>
      <c r="D2788">
        <v>0</v>
      </c>
      <c r="E2788">
        <v>0</v>
      </c>
      <c r="F2788">
        <v>20</v>
      </c>
      <c r="G2788">
        <v>1</v>
      </c>
      <c r="H2788">
        <f>SUMIFS($F$2:F2788,$C$2:C2788,C2788)</f>
        <v>621</v>
      </c>
      <c r="I2788" s="8">
        <f>STAMP_Escapement_Data[[#This Row],[DATE]]-DATE(STAMP_Escapement_Data[[#This Row],[YEAR]],8,1)</f>
        <v>16</v>
      </c>
    </row>
    <row r="2789" spans="1:9" x14ac:dyDescent="0.25">
      <c r="A2789" s="1">
        <v>45156</v>
      </c>
      <c r="B2789">
        <v>818</v>
      </c>
      <c r="C2789">
        <v>2023</v>
      </c>
      <c r="D2789">
        <v>1</v>
      </c>
      <c r="E2789">
        <v>0</v>
      </c>
      <c r="F2789">
        <v>15</v>
      </c>
      <c r="G2789">
        <v>0</v>
      </c>
      <c r="H2789">
        <f>SUMIFS($F$2:F2789,$C$2:C2789,C2789)</f>
        <v>636</v>
      </c>
      <c r="I2789" s="8">
        <f>STAMP_Escapement_Data[[#This Row],[DATE]]-DATE(STAMP_Escapement_Data[[#This Row],[YEAR]],8,1)</f>
        <v>17</v>
      </c>
    </row>
    <row r="2790" spans="1:9" x14ac:dyDescent="0.25">
      <c r="A2790" s="1">
        <v>45157</v>
      </c>
      <c r="B2790">
        <v>819</v>
      </c>
      <c r="C2790">
        <v>2023</v>
      </c>
      <c r="D2790">
        <v>2</v>
      </c>
      <c r="E2790">
        <v>1</v>
      </c>
      <c r="F2790">
        <v>12</v>
      </c>
      <c r="G2790">
        <v>0</v>
      </c>
      <c r="H2790">
        <f>SUMIFS($F$2:F2790,$C$2:C2790,C2790)</f>
        <v>648</v>
      </c>
      <c r="I2790" s="8">
        <f>STAMP_Escapement_Data[[#This Row],[DATE]]-DATE(STAMP_Escapement_Data[[#This Row],[YEAR]],8,1)</f>
        <v>18</v>
      </c>
    </row>
    <row r="2791" spans="1:9" x14ac:dyDescent="0.25">
      <c r="A2791" s="1">
        <v>45158</v>
      </c>
      <c r="B2791">
        <v>820</v>
      </c>
      <c r="C2791">
        <v>2023</v>
      </c>
      <c r="D2791">
        <v>2</v>
      </c>
      <c r="E2791">
        <v>2</v>
      </c>
      <c r="F2791">
        <v>10</v>
      </c>
      <c r="G2791">
        <v>0</v>
      </c>
      <c r="H2791">
        <f>SUMIFS($F$2:F2791,$C$2:C2791,C2791)</f>
        <v>658</v>
      </c>
      <c r="I2791" s="8">
        <f>STAMP_Escapement_Data[[#This Row],[DATE]]-DATE(STAMP_Escapement_Data[[#This Row],[YEAR]],8,1)</f>
        <v>19</v>
      </c>
    </row>
    <row r="2792" spans="1:9" x14ac:dyDescent="0.25">
      <c r="A2792" s="1">
        <v>45159</v>
      </c>
      <c r="B2792">
        <v>821</v>
      </c>
      <c r="C2792">
        <v>2023</v>
      </c>
      <c r="D2792">
        <v>22</v>
      </c>
      <c r="E2792">
        <v>17</v>
      </c>
      <c r="F2792">
        <v>28</v>
      </c>
      <c r="G2792">
        <v>1</v>
      </c>
      <c r="H2792">
        <f>SUMIFS($F$2:F2792,$C$2:C2792,C2792)</f>
        <v>686</v>
      </c>
      <c r="I2792" s="8">
        <f>STAMP_Escapement_Data[[#This Row],[DATE]]-DATE(STAMP_Escapement_Data[[#This Row],[YEAR]],8,1)</f>
        <v>20</v>
      </c>
    </row>
    <row r="2793" spans="1:9" x14ac:dyDescent="0.25">
      <c r="A2793" s="1">
        <v>45160</v>
      </c>
      <c r="B2793">
        <v>822</v>
      </c>
      <c r="C2793">
        <v>2023</v>
      </c>
      <c r="D2793">
        <v>141</v>
      </c>
      <c r="E2793">
        <v>25</v>
      </c>
      <c r="F2793">
        <v>216</v>
      </c>
      <c r="G2793">
        <v>10</v>
      </c>
      <c r="H2793">
        <f>SUMIFS($F$2:F2793,$C$2:C2793,C2793)</f>
        <v>902</v>
      </c>
      <c r="I2793" s="8">
        <f>STAMP_Escapement_Data[[#This Row],[DATE]]-DATE(STAMP_Escapement_Data[[#This Row],[YEAR]],8,1)</f>
        <v>21</v>
      </c>
    </row>
    <row r="2794" spans="1:9" x14ac:dyDescent="0.25">
      <c r="A2794" s="1">
        <v>45161</v>
      </c>
      <c r="B2794">
        <v>823</v>
      </c>
      <c r="C2794">
        <v>2023</v>
      </c>
      <c r="D2794">
        <v>114</v>
      </c>
      <c r="E2794">
        <v>4</v>
      </c>
      <c r="F2794">
        <v>650</v>
      </c>
      <c r="G2794">
        <v>4</v>
      </c>
      <c r="H2794">
        <f>SUMIFS($F$2:F2794,$C$2:C2794,C2794)</f>
        <v>1552</v>
      </c>
      <c r="I2794" s="8">
        <f>STAMP_Escapement_Data[[#This Row],[DATE]]-DATE(STAMP_Escapement_Data[[#This Row],[YEAR]],8,1)</f>
        <v>22</v>
      </c>
    </row>
    <row r="2795" spans="1:9" x14ac:dyDescent="0.25">
      <c r="A2795" s="1">
        <v>45162</v>
      </c>
      <c r="B2795">
        <v>824</v>
      </c>
      <c r="C2795">
        <v>2023</v>
      </c>
      <c r="D2795">
        <v>94</v>
      </c>
      <c r="E2795">
        <v>24</v>
      </c>
      <c r="F2795">
        <v>587</v>
      </c>
      <c r="G2795">
        <v>9</v>
      </c>
      <c r="H2795">
        <f>SUMIFS($F$2:F2795,$C$2:C2795,C2795)</f>
        <v>2139</v>
      </c>
      <c r="I2795" s="8">
        <f>STAMP_Escapement_Data[[#This Row],[DATE]]-DATE(STAMP_Escapement_Data[[#This Row],[YEAR]],8,1)</f>
        <v>23</v>
      </c>
    </row>
    <row r="2796" spans="1:9" x14ac:dyDescent="0.25">
      <c r="A2796" s="1">
        <v>45163</v>
      </c>
      <c r="B2796">
        <v>825</v>
      </c>
      <c r="C2796">
        <v>2023</v>
      </c>
      <c r="D2796">
        <v>152</v>
      </c>
      <c r="E2796">
        <v>14</v>
      </c>
      <c r="F2796">
        <v>746</v>
      </c>
      <c r="G2796">
        <v>8</v>
      </c>
      <c r="H2796">
        <f>SUMIFS($F$2:F2796,$C$2:C2796,C2796)</f>
        <v>2885</v>
      </c>
      <c r="I2796" s="8">
        <f>STAMP_Escapement_Data[[#This Row],[DATE]]-DATE(STAMP_Escapement_Data[[#This Row],[YEAR]],8,1)</f>
        <v>24</v>
      </c>
    </row>
    <row r="2797" spans="1:9" x14ac:dyDescent="0.25">
      <c r="A2797" s="1">
        <v>45164</v>
      </c>
      <c r="B2797">
        <v>826</v>
      </c>
      <c r="C2797">
        <v>2023</v>
      </c>
      <c r="D2797">
        <v>145</v>
      </c>
      <c r="E2797">
        <v>21</v>
      </c>
      <c r="F2797">
        <v>673</v>
      </c>
      <c r="G2797">
        <v>11</v>
      </c>
      <c r="H2797">
        <f>SUMIFS($F$2:F2797,$C$2:C2797,C2797)</f>
        <v>3558</v>
      </c>
      <c r="I2797" s="8">
        <f>STAMP_Escapement_Data[[#This Row],[DATE]]-DATE(STAMP_Escapement_Data[[#This Row],[YEAR]],8,1)</f>
        <v>25</v>
      </c>
    </row>
    <row r="2798" spans="1:9" x14ac:dyDescent="0.25">
      <c r="A2798" s="1">
        <v>45165</v>
      </c>
      <c r="B2798">
        <v>827</v>
      </c>
      <c r="C2798">
        <v>2023</v>
      </c>
      <c r="D2798">
        <v>197</v>
      </c>
      <c r="E2798">
        <v>41</v>
      </c>
      <c r="F2798">
        <v>1014</v>
      </c>
      <c r="G2798">
        <v>11</v>
      </c>
      <c r="H2798">
        <f>SUMIFS($F$2:F2798,$C$2:C2798,C2798)</f>
        <v>4572</v>
      </c>
      <c r="I2798" s="8">
        <f>STAMP_Escapement_Data[[#This Row],[DATE]]-DATE(STAMP_Escapement_Data[[#This Row],[YEAR]],8,1)</f>
        <v>26</v>
      </c>
    </row>
    <row r="2799" spans="1:9" x14ac:dyDescent="0.25">
      <c r="A2799" s="1">
        <v>45166</v>
      </c>
      <c r="B2799">
        <v>828</v>
      </c>
      <c r="C2799">
        <v>2023</v>
      </c>
      <c r="D2799">
        <v>168</v>
      </c>
      <c r="E2799">
        <v>42</v>
      </c>
      <c r="F2799">
        <v>1068</v>
      </c>
      <c r="G2799">
        <v>24</v>
      </c>
      <c r="H2799">
        <f>SUMIFS($F$2:F2799,$C$2:C2799,C2799)</f>
        <v>5640</v>
      </c>
      <c r="I2799" s="8">
        <f>STAMP_Escapement_Data[[#This Row],[DATE]]-DATE(STAMP_Escapement_Data[[#This Row],[YEAR]],8,1)</f>
        <v>27</v>
      </c>
    </row>
    <row r="2800" spans="1:9" x14ac:dyDescent="0.25">
      <c r="A2800" s="1">
        <v>45167</v>
      </c>
      <c r="B2800">
        <v>829</v>
      </c>
      <c r="C2800">
        <v>2023</v>
      </c>
      <c r="D2800">
        <v>130</v>
      </c>
      <c r="E2800">
        <v>35</v>
      </c>
      <c r="F2800">
        <v>873</v>
      </c>
      <c r="G2800">
        <v>25</v>
      </c>
      <c r="H2800">
        <f>SUMIFS($F$2:F2800,$C$2:C2800,C2800)</f>
        <v>6513</v>
      </c>
      <c r="I2800" s="8">
        <f>STAMP_Escapement_Data[[#This Row],[DATE]]-DATE(STAMP_Escapement_Data[[#This Row],[YEAR]],8,1)</f>
        <v>28</v>
      </c>
    </row>
    <row r="2801" spans="1:9" x14ac:dyDescent="0.25">
      <c r="A2801" s="1">
        <v>45168</v>
      </c>
      <c r="B2801">
        <v>830</v>
      </c>
      <c r="C2801">
        <v>2023</v>
      </c>
      <c r="D2801">
        <v>226</v>
      </c>
      <c r="E2801">
        <v>27</v>
      </c>
      <c r="F2801">
        <v>728</v>
      </c>
      <c r="G2801">
        <v>13</v>
      </c>
      <c r="H2801">
        <f>SUMIFS($F$2:F2801,$C$2:C2801,C2801)</f>
        <v>7241</v>
      </c>
      <c r="I2801" s="8">
        <f>STAMP_Escapement_Data[[#This Row],[DATE]]-DATE(STAMP_Escapement_Data[[#This Row],[YEAR]],8,1)</f>
        <v>29</v>
      </c>
    </row>
    <row r="2802" spans="1:9" x14ac:dyDescent="0.25">
      <c r="A2802" s="1">
        <v>45169</v>
      </c>
      <c r="B2802">
        <v>831</v>
      </c>
      <c r="C2802">
        <v>2023</v>
      </c>
      <c r="D2802">
        <v>337</v>
      </c>
      <c r="E2802">
        <v>54</v>
      </c>
      <c r="F2802">
        <v>1071</v>
      </c>
      <c r="G2802">
        <v>32</v>
      </c>
      <c r="H2802">
        <f>SUMIFS($F$2:F2802,$C$2:C2802,C2802)</f>
        <v>8312</v>
      </c>
      <c r="I2802" s="8">
        <f>STAMP_Escapement_Data[[#This Row],[DATE]]-DATE(STAMP_Escapement_Data[[#This Row],[YEAR]],8,1)</f>
        <v>30</v>
      </c>
    </row>
    <row r="2803" spans="1:9" x14ac:dyDescent="0.25">
      <c r="A2803" s="1">
        <v>45170</v>
      </c>
      <c r="B2803">
        <v>901</v>
      </c>
      <c r="C2803">
        <v>2023</v>
      </c>
      <c r="D2803">
        <v>385</v>
      </c>
      <c r="E2803">
        <v>42</v>
      </c>
      <c r="F2803">
        <v>630</v>
      </c>
      <c r="G2803">
        <v>14</v>
      </c>
      <c r="H2803">
        <f>SUMIFS($F$2:F2803,$C$2:C2803,C2803)</f>
        <v>8942</v>
      </c>
      <c r="I2803" s="8">
        <f>STAMP_Escapement_Data[[#This Row],[DATE]]-DATE(STAMP_Escapement_Data[[#This Row],[YEAR]],8,1)</f>
        <v>31</v>
      </c>
    </row>
    <row r="2804" spans="1:9" x14ac:dyDescent="0.25">
      <c r="A2804" s="1">
        <v>45171</v>
      </c>
      <c r="B2804">
        <v>902</v>
      </c>
      <c r="C2804">
        <v>2023</v>
      </c>
      <c r="D2804">
        <v>422</v>
      </c>
      <c r="E2804">
        <v>50</v>
      </c>
      <c r="F2804">
        <v>615</v>
      </c>
      <c r="G2804">
        <v>14</v>
      </c>
      <c r="H2804">
        <f>SUMIFS($F$2:F2804,$C$2:C2804,C2804)</f>
        <v>9557</v>
      </c>
      <c r="I2804" s="8">
        <f>STAMP_Escapement_Data[[#This Row],[DATE]]-DATE(STAMP_Escapement_Data[[#This Row],[YEAR]],8,1)</f>
        <v>32</v>
      </c>
    </row>
    <row r="2805" spans="1:9" x14ac:dyDescent="0.25">
      <c r="A2805" s="1">
        <v>45172</v>
      </c>
      <c r="B2805">
        <v>903</v>
      </c>
      <c r="C2805">
        <v>2023</v>
      </c>
      <c r="D2805">
        <v>460</v>
      </c>
      <c r="E2805">
        <v>57</v>
      </c>
      <c r="F2805">
        <v>600</v>
      </c>
      <c r="G2805">
        <v>14</v>
      </c>
      <c r="H2805">
        <f>SUMIFS($F$2:F2805,$C$2:C2805,C2805)</f>
        <v>10157</v>
      </c>
      <c r="I2805" s="8">
        <f>STAMP_Escapement_Data[[#This Row],[DATE]]-DATE(STAMP_Escapement_Data[[#This Row],[YEAR]],8,1)</f>
        <v>33</v>
      </c>
    </row>
    <row r="2806" spans="1:9" x14ac:dyDescent="0.25">
      <c r="A2806" s="1">
        <v>45173</v>
      </c>
      <c r="B2806">
        <v>904</v>
      </c>
      <c r="C2806">
        <v>2023</v>
      </c>
      <c r="D2806">
        <v>497</v>
      </c>
      <c r="E2806">
        <v>65</v>
      </c>
      <c r="F2806">
        <v>586</v>
      </c>
      <c r="G2806">
        <v>14</v>
      </c>
      <c r="H2806">
        <f>SUMIFS($F$2:F2806,$C$2:C2806,C2806)</f>
        <v>10743</v>
      </c>
      <c r="I2806" s="8">
        <f>STAMP_Escapement_Data[[#This Row],[DATE]]-DATE(STAMP_Escapement_Data[[#This Row],[YEAR]],8,1)</f>
        <v>34</v>
      </c>
    </row>
    <row r="2807" spans="1:9" x14ac:dyDescent="0.25">
      <c r="A2807" s="1">
        <v>45174</v>
      </c>
      <c r="B2807">
        <v>905</v>
      </c>
      <c r="C2807">
        <v>2023</v>
      </c>
      <c r="D2807">
        <v>586</v>
      </c>
      <c r="E2807">
        <v>66</v>
      </c>
      <c r="F2807">
        <v>680</v>
      </c>
      <c r="G2807">
        <v>20</v>
      </c>
      <c r="H2807">
        <f>SUMIFS($F$2:F2807,$C$2:C2807,C2807)</f>
        <v>11423</v>
      </c>
      <c r="I2807" s="8">
        <f>STAMP_Escapement_Data[[#This Row],[DATE]]-DATE(STAMP_Escapement_Data[[#This Row],[YEAR]],8,1)</f>
        <v>35</v>
      </c>
    </row>
    <row r="2808" spans="1:9" x14ac:dyDescent="0.25">
      <c r="A2808" s="1">
        <v>45175</v>
      </c>
      <c r="B2808">
        <v>906</v>
      </c>
      <c r="C2808">
        <v>2023</v>
      </c>
      <c r="D2808">
        <v>510</v>
      </c>
      <c r="E2808">
        <v>43</v>
      </c>
      <c r="F2808">
        <v>1123</v>
      </c>
      <c r="G2808">
        <v>23</v>
      </c>
      <c r="H2808">
        <f>SUMIFS($F$2:F2808,$C$2:C2808,C2808)</f>
        <v>12546</v>
      </c>
      <c r="I2808" s="8">
        <f>STAMP_Escapement_Data[[#This Row],[DATE]]-DATE(STAMP_Escapement_Data[[#This Row],[YEAR]],8,1)</f>
        <v>36</v>
      </c>
    </row>
    <row r="2809" spans="1:9" x14ac:dyDescent="0.25">
      <c r="A2809" s="1">
        <v>45176</v>
      </c>
      <c r="B2809">
        <v>907</v>
      </c>
      <c r="C2809">
        <v>2023</v>
      </c>
      <c r="D2809">
        <v>222</v>
      </c>
      <c r="E2809">
        <v>38</v>
      </c>
      <c r="F2809">
        <v>1575</v>
      </c>
      <c r="G2809">
        <v>36</v>
      </c>
      <c r="H2809">
        <f>SUMIFS($F$2:F2809,$C$2:C2809,C2809)</f>
        <v>14121</v>
      </c>
      <c r="I2809" s="8">
        <f>STAMP_Escapement_Data[[#This Row],[DATE]]-DATE(STAMP_Escapement_Data[[#This Row],[YEAR]],8,1)</f>
        <v>37</v>
      </c>
    </row>
    <row r="2810" spans="1:9" x14ac:dyDescent="0.25">
      <c r="A2810" s="1">
        <v>45177</v>
      </c>
      <c r="B2810">
        <v>908</v>
      </c>
      <c r="C2810">
        <v>2023</v>
      </c>
      <c r="D2810">
        <v>414</v>
      </c>
      <c r="E2810">
        <v>57</v>
      </c>
      <c r="F2810">
        <v>816</v>
      </c>
      <c r="G2810">
        <v>21</v>
      </c>
      <c r="H2810">
        <f>SUMIFS($F$2:F2810,$C$2:C2810,C2810)</f>
        <v>14937</v>
      </c>
      <c r="I2810" s="8">
        <f>STAMP_Escapement_Data[[#This Row],[DATE]]-DATE(STAMP_Escapement_Data[[#This Row],[YEAR]],8,1)</f>
        <v>38</v>
      </c>
    </row>
    <row r="2811" spans="1:9" x14ac:dyDescent="0.25">
      <c r="A2811" s="1">
        <v>45178</v>
      </c>
      <c r="B2811">
        <v>909</v>
      </c>
      <c r="C2811">
        <v>2023</v>
      </c>
      <c r="D2811">
        <v>365</v>
      </c>
      <c r="E2811">
        <v>24</v>
      </c>
      <c r="F2811">
        <v>823</v>
      </c>
      <c r="G2811">
        <v>13</v>
      </c>
      <c r="H2811">
        <f>SUMIFS($F$2:F2811,$C$2:C2811,C2811)</f>
        <v>15760</v>
      </c>
      <c r="I2811" s="8">
        <f>STAMP_Escapement_Data[[#This Row],[DATE]]-DATE(STAMP_Escapement_Data[[#This Row],[YEAR]],8,1)</f>
        <v>39</v>
      </c>
    </row>
    <row r="2812" spans="1:9" x14ac:dyDescent="0.25">
      <c r="A2812" s="1">
        <v>45179</v>
      </c>
      <c r="B2812">
        <v>910</v>
      </c>
      <c r="C2812">
        <v>2023</v>
      </c>
      <c r="D2812">
        <v>793</v>
      </c>
      <c r="E2812">
        <v>97</v>
      </c>
      <c r="F2812">
        <v>1090</v>
      </c>
      <c r="G2812">
        <v>27</v>
      </c>
      <c r="H2812">
        <f>SUMIFS($F$2:F2812,$C$2:C2812,C2812)</f>
        <v>16850</v>
      </c>
      <c r="I2812" s="8">
        <f>STAMP_Escapement_Data[[#This Row],[DATE]]-DATE(STAMP_Escapement_Data[[#This Row],[YEAR]],8,1)</f>
        <v>40</v>
      </c>
    </row>
    <row r="2813" spans="1:9" x14ac:dyDescent="0.25">
      <c r="A2813" s="1">
        <v>45180</v>
      </c>
      <c r="B2813">
        <v>911</v>
      </c>
      <c r="C2813">
        <v>2023</v>
      </c>
      <c r="D2813">
        <v>403</v>
      </c>
      <c r="E2813">
        <v>54</v>
      </c>
      <c r="F2813">
        <v>907</v>
      </c>
      <c r="G2813">
        <v>26</v>
      </c>
      <c r="H2813">
        <f>SUMIFS($F$2:F2813,$C$2:C2813,C2813)</f>
        <v>17757</v>
      </c>
      <c r="I2813" s="8">
        <f>STAMP_Escapement_Data[[#This Row],[DATE]]-DATE(STAMP_Escapement_Data[[#This Row],[YEAR]],8,1)</f>
        <v>41</v>
      </c>
    </row>
    <row r="2814" spans="1:9" x14ac:dyDescent="0.25">
      <c r="A2814" s="1">
        <v>45181</v>
      </c>
      <c r="B2814">
        <v>912</v>
      </c>
      <c r="C2814">
        <v>2023</v>
      </c>
      <c r="D2814">
        <v>583</v>
      </c>
      <c r="E2814">
        <v>97</v>
      </c>
      <c r="F2814">
        <v>850</v>
      </c>
      <c r="G2814">
        <v>47</v>
      </c>
      <c r="H2814">
        <f>SUMIFS($F$2:F2814,$C$2:C2814,C2814)</f>
        <v>18607</v>
      </c>
      <c r="I2814" s="8">
        <f>STAMP_Escapement_Data[[#This Row],[DATE]]-DATE(STAMP_Escapement_Data[[#This Row],[YEAR]],8,1)</f>
        <v>42</v>
      </c>
    </row>
    <row r="2815" spans="1:9" x14ac:dyDescent="0.25">
      <c r="A2815" s="1">
        <v>45182</v>
      </c>
      <c r="B2815">
        <v>913</v>
      </c>
      <c r="C2815">
        <v>2023</v>
      </c>
      <c r="D2815">
        <v>385</v>
      </c>
      <c r="E2815">
        <v>75</v>
      </c>
      <c r="F2815">
        <v>932</v>
      </c>
      <c r="G2815">
        <v>32</v>
      </c>
      <c r="H2815">
        <f>SUMIFS($F$2:F2815,$C$2:C2815,C2815)</f>
        <v>19539</v>
      </c>
      <c r="I2815" s="8">
        <f>STAMP_Escapement_Data[[#This Row],[DATE]]-DATE(STAMP_Escapement_Data[[#This Row],[YEAR]],8,1)</f>
        <v>43</v>
      </c>
    </row>
    <row r="2816" spans="1:9" x14ac:dyDescent="0.25">
      <c r="A2816" s="1">
        <v>45183</v>
      </c>
      <c r="B2816">
        <v>914</v>
      </c>
      <c r="C2816">
        <v>2023</v>
      </c>
      <c r="D2816">
        <v>418</v>
      </c>
      <c r="E2816">
        <v>119</v>
      </c>
      <c r="F2816">
        <v>1011</v>
      </c>
      <c r="G2816">
        <v>68</v>
      </c>
      <c r="H2816">
        <f>SUMIFS($F$2:F2816,$C$2:C2816,C2816)</f>
        <v>20550</v>
      </c>
      <c r="I2816" s="8">
        <f>STAMP_Escapement_Data[[#This Row],[DATE]]-DATE(STAMP_Escapement_Data[[#This Row],[YEAR]],8,1)</f>
        <v>44</v>
      </c>
    </row>
    <row r="2817" spans="1:9" x14ac:dyDescent="0.25">
      <c r="A2817" s="1">
        <v>45184</v>
      </c>
      <c r="B2817">
        <v>915</v>
      </c>
      <c r="C2817">
        <v>2023</v>
      </c>
      <c r="D2817">
        <v>456</v>
      </c>
      <c r="E2817">
        <v>97</v>
      </c>
      <c r="F2817">
        <v>711</v>
      </c>
      <c r="G2817">
        <v>32</v>
      </c>
      <c r="H2817">
        <f>SUMIFS($F$2:F2817,$C$2:C2817,C2817)</f>
        <v>21261</v>
      </c>
      <c r="I2817" s="8">
        <f>STAMP_Escapement_Data[[#This Row],[DATE]]-DATE(STAMP_Escapement_Data[[#This Row],[YEAR]],8,1)</f>
        <v>45</v>
      </c>
    </row>
    <row r="2818" spans="1:9" x14ac:dyDescent="0.25">
      <c r="A2818" s="1">
        <v>45185</v>
      </c>
      <c r="B2818">
        <v>916</v>
      </c>
      <c r="C2818">
        <v>2023</v>
      </c>
      <c r="D2818">
        <v>377</v>
      </c>
      <c r="E2818">
        <v>113</v>
      </c>
      <c r="F2818">
        <v>867</v>
      </c>
      <c r="G2818">
        <v>30</v>
      </c>
      <c r="H2818">
        <f>SUMIFS($F$2:F2818,$C$2:C2818,C2818)</f>
        <v>22128</v>
      </c>
      <c r="I2818" s="8">
        <f>STAMP_Escapement_Data[[#This Row],[DATE]]-DATE(STAMP_Escapement_Data[[#This Row],[YEAR]],8,1)</f>
        <v>46</v>
      </c>
    </row>
    <row r="2819" spans="1:9" x14ac:dyDescent="0.25">
      <c r="A2819" s="1">
        <v>45186</v>
      </c>
      <c r="B2819">
        <v>917</v>
      </c>
      <c r="C2819">
        <v>2023</v>
      </c>
      <c r="D2819">
        <v>358</v>
      </c>
      <c r="E2819">
        <v>61</v>
      </c>
      <c r="F2819">
        <v>1047</v>
      </c>
      <c r="G2819">
        <v>40</v>
      </c>
      <c r="H2819">
        <f>SUMIFS($F$2:F2819,$C$2:C2819,C2819)</f>
        <v>23175</v>
      </c>
      <c r="I2819" s="8">
        <f>STAMP_Escapement_Data[[#This Row],[DATE]]-DATE(STAMP_Escapement_Data[[#This Row],[YEAR]],8,1)</f>
        <v>47</v>
      </c>
    </row>
    <row r="2820" spans="1:9" x14ac:dyDescent="0.25">
      <c r="A2820" s="1">
        <v>45187</v>
      </c>
      <c r="B2820">
        <v>918</v>
      </c>
      <c r="C2820">
        <v>2023</v>
      </c>
      <c r="D2820">
        <v>258</v>
      </c>
      <c r="E2820">
        <v>54</v>
      </c>
      <c r="F2820">
        <v>994</v>
      </c>
      <c r="G2820">
        <v>62</v>
      </c>
      <c r="H2820">
        <f>SUMIFS($F$2:F2820,$C$2:C2820,C2820)</f>
        <v>24169</v>
      </c>
      <c r="I2820" s="8">
        <f>STAMP_Escapement_Data[[#This Row],[DATE]]-DATE(STAMP_Escapement_Data[[#This Row],[YEAR]],8,1)</f>
        <v>48</v>
      </c>
    </row>
    <row r="2821" spans="1:9" x14ac:dyDescent="0.25">
      <c r="A2821" s="1">
        <v>45188</v>
      </c>
      <c r="B2821">
        <v>919</v>
      </c>
      <c r="C2821">
        <v>2023</v>
      </c>
      <c r="D2821">
        <v>386</v>
      </c>
      <c r="E2821">
        <v>105</v>
      </c>
      <c r="F2821">
        <v>959</v>
      </c>
      <c r="G2821">
        <v>63</v>
      </c>
      <c r="H2821">
        <f>SUMIFS($F$2:F2821,$C$2:C2821,C2821)</f>
        <v>25128</v>
      </c>
      <c r="I2821" s="8">
        <f>STAMP_Escapement_Data[[#This Row],[DATE]]-DATE(STAMP_Escapement_Data[[#This Row],[YEAR]],8,1)</f>
        <v>49</v>
      </c>
    </row>
    <row r="2822" spans="1:9" x14ac:dyDescent="0.25">
      <c r="A2822" s="1">
        <v>45189</v>
      </c>
      <c r="B2822">
        <v>920</v>
      </c>
      <c r="C2822">
        <v>2023</v>
      </c>
      <c r="D2822">
        <v>331</v>
      </c>
      <c r="E2822">
        <v>59</v>
      </c>
      <c r="F2822">
        <v>1083</v>
      </c>
      <c r="G2822">
        <v>53</v>
      </c>
      <c r="H2822">
        <f>SUMIFS($F$2:F2822,$C$2:C2822,C2822)</f>
        <v>26211</v>
      </c>
      <c r="I2822" s="8">
        <f>STAMP_Escapement_Data[[#This Row],[DATE]]-DATE(STAMP_Escapement_Data[[#This Row],[YEAR]],8,1)</f>
        <v>50</v>
      </c>
    </row>
    <row r="2823" spans="1:9" x14ac:dyDescent="0.25">
      <c r="A2823" s="1">
        <v>45190</v>
      </c>
      <c r="B2823">
        <v>921</v>
      </c>
      <c r="C2823">
        <v>2023</v>
      </c>
      <c r="D2823">
        <v>216</v>
      </c>
      <c r="E2823">
        <v>53</v>
      </c>
      <c r="F2823">
        <v>1029</v>
      </c>
      <c r="G2823">
        <v>71</v>
      </c>
      <c r="H2823">
        <f>SUMIFS($F$2:F2823,$C$2:C2823,C2823)</f>
        <v>27240</v>
      </c>
      <c r="I2823" s="8">
        <f>STAMP_Escapement_Data[[#This Row],[DATE]]-DATE(STAMP_Escapement_Data[[#This Row],[YEAR]],8,1)</f>
        <v>51</v>
      </c>
    </row>
    <row r="2824" spans="1:9" x14ac:dyDescent="0.25">
      <c r="A2824" s="1">
        <v>45191</v>
      </c>
      <c r="B2824">
        <v>922</v>
      </c>
      <c r="C2824">
        <v>2023</v>
      </c>
      <c r="D2824">
        <v>269</v>
      </c>
      <c r="E2824">
        <v>64</v>
      </c>
      <c r="F2824">
        <v>664</v>
      </c>
      <c r="G2824">
        <v>36</v>
      </c>
      <c r="H2824">
        <f>SUMIFS($F$2:F2824,$C$2:C2824,C2824)</f>
        <v>27904</v>
      </c>
      <c r="I2824" s="8">
        <f>STAMP_Escapement_Data[[#This Row],[DATE]]-DATE(STAMP_Escapement_Data[[#This Row],[YEAR]],8,1)</f>
        <v>52</v>
      </c>
    </row>
    <row r="2825" spans="1:9" x14ac:dyDescent="0.25">
      <c r="A2825" s="1">
        <v>45192</v>
      </c>
      <c r="B2825">
        <v>923</v>
      </c>
      <c r="C2825">
        <v>2023</v>
      </c>
      <c r="D2825">
        <v>333</v>
      </c>
      <c r="E2825">
        <v>83</v>
      </c>
      <c r="F2825">
        <v>889</v>
      </c>
      <c r="G2825">
        <v>43</v>
      </c>
      <c r="H2825">
        <f>SUMIFS($F$2:F2825,$C$2:C2825,C2825)</f>
        <v>28793</v>
      </c>
      <c r="I2825" s="8">
        <f>STAMP_Escapement_Data[[#This Row],[DATE]]-DATE(STAMP_Escapement_Data[[#This Row],[YEAR]],8,1)</f>
        <v>53</v>
      </c>
    </row>
    <row r="2826" spans="1:9" x14ac:dyDescent="0.25">
      <c r="A2826" s="1">
        <v>45193</v>
      </c>
      <c r="B2826">
        <v>924</v>
      </c>
      <c r="C2826">
        <v>2023</v>
      </c>
      <c r="D2826">
        <v>386</v>
      </c>
      <c r="E2826">
        <v>102</v>
      </c>
      <c r="F2826">
        <v>1016</v>
      </c>
      <c r="G2826">
        <v>40</v>
      </c>
      <c r="H2826">
        <f>SUMIFS($F$2:F2826,$C$2:C2826,C2826)</f>
        <v>29809</v>
      </c>
      <c r="I2826" s="8">
        <f>STAMP_Escapement_Data[[#This Row],[DATE]]-DATE(STAMP_Escapement_Data[[#This Row],[YEAR]],8,1)</f>
        <v>54</v>
      </c>
    </row>
    <row r="2827" spans="1:9" x14ac:dyDescent="0.25">
      <c r="A2827" s="1">
        <v>45194</v>
      </c>
      <c r="B2827">
        <v>925</v>
      </c>
      <c r="C2827">
        <v>2023</v>
      </c>
      <c r="D2827">
        <v>550</v>
      </c>
      <c r="E2827">
        <v>53</v>
      </c>
      <c r="F2827">
        <v>1037</v>
      </c>
      <c r="G2827">
        <v>31</v>
      </c>
      <c r="H2827">
        <f>SUMIFS($F$2:F2827,$C$2:C2827,C2827)</f>
        <v>30846</v>
      </c>
      <c r="I2827" s="8">
        <f>STAMP_Escapement_Data[[#This Row],[DATE]]-DATE(STAMP_Escapement_Data[[#This Row],[YEAR]],8,1)</f>
        <v>55</v>
      </c>
    </row>
    <row r="2828" spans="1:9" x14ac:dyDescent="0.25">
      <c r="A2828" s="1">
        <v>45195</v>
      </c>
      <c r="B2828">
        <v>926</v>
      </c>
      <c r="C2828">
        <v>2023</v>
      </c>
      <c r="D2828">
        <v>347</v>
      </c>
      <c r="E2828">
        <v>33</v>
      </c>
      <c r="F2828">
        <v>5006</v>
      </c>
      <c r="G2828">
        <v>147</v>
      </c>
      <c r="H2828">
        <f>SUMIFS($F$2:F2828,$C$2:C2828,C2828)</f>
        <v>35852</v>
      </c>
      <c r="I2828" s="8">
        <f>STAMP_Escapement_Data[[#This Row],[DATE]]-DATE(STAMP_Escapement_Data[[#This Row],[YEAR]],8,1)</f>
        <v>56</v>
      </c>
    </row>
    <row r="2829" spans="1:9" x14ac:dyDescent="0.25">
      <c r="A2829" s="1">
        <v>45196</v>
      </c>
      <c r="B2829">
        <v>927</v>
      </c>
      <c r="C2829">
        <v>2023</v>
      </c>
      <c r="D2829">
        <v>777</v>
      </c>
      <c r="E2829">
        <v>22</v>
      </c>
      <c r="F2829">
        <v>13553</v>
      </c>
      <c r="G2829">
        <v>419</v>
      </c>
      <c r="H2829">
        <f>SUMIFS($F$2:F2829,$C$2:C2829,C2829)</f>
        <v>49405</v>
      </c>
      <c r="I2829" s="8">
        <f>STAMP_Escapement_Data[[#This Row],[DATE]]-DATE(STAMP_Escapement_Data[[#This Row],[YEAR]],8,1)</f>
        <v>57</v>
      </c>
    </row>
    <row r="2830" spans="1:9" x14ac:dyDescent="0.25">
      <c r="A2830" s="1">
        <v>45197</v>
      </c>
      <c r="B2830">
        <v>928</v>
      </c>
      <c r="C2830">
        <v>2023</v>
      </c>
      <c r="D2830">
        <v>917</v>
      </c>
      <c r="E2830">
        <v>61</v>
      </c>
      <c r="F2830">
        <v>11604</v>
      </c>
      <c r="G2830">
        <v>559</v>
      </c>
      <c r="H2830">
        <f>SUMIFS($F$2:F2830,$C$2:C2830,C2830)</f>
        <v>61009</v>
      </c>
      <c r="I2830" s="8">
        <f>STAMP_Escapement_Data[[#This Row],[DATE]]-DATE(STAMP_Escapement_Data[[#This Row],[YEAR]],8,1)</f>
        <v>58</v>
      </c>
    </row>
    <row r="2831" spans="1:9" x14ac:dyDescent="0.25">
      <c r="A2831" s="1">
        <v>45198</v>
      </c>
      <c r="B2831">
        <v>929</v>
      </c>
      <c r="C2831">
        <v>2023</v>
      </c>
      <c r="D2831">
        <v>410</v>
      </c>
      <c r="E2831">
        <v>64</v>
      </c>
      <c r="F2831">
        <v>2541</v>
      </c>
      <c r="G2831">
        <v>103</v>
      </c>
      <c r="H2831">
        <f>SUMIFS($F$2:F2831,$C$2:C2831,C2831)</f>
        <v>63550</v>
      </c>
      <c r="I2831" s="8">
        <f>STAMP_Escapement_Data[[#This Row],[DATE]]-DATE(STAMP_Escapement_Data[[#This Row],[YEAR]],8,1)</f>
        <v>59</v>
      </c>
    </row>
    <row r="2832" spans="1:9" x14ac:dyDescent="0.25">
      <c r="A2832" s="1">
        <v>45199</v>
      </c>
      <c r="B2832">
        <v>930</v>
      </c>
      <c r="C2832">
        <v>2023</v>
      </c>
      <c r="D2832">
        <v>339</v>
      </c>
      <c r="E2832">
        <v>48</v>
      </c>
      <c r="F2832">
        <v>1531</v>
      </c>
      <c r="G2832">
        <v>68</v>
      </c>
      <c r="H2832">
        <f>SUMIFS($F$2:F2832,$C$2:C2832,C2832)</f>
        <v>65081</v>
      </c>
      <c r="I2832" s="8">
        <f>STAMP_Escapement_Data[[#This Row],[DATE]]-DATE(STAMP_Escapement_Data[[#This Row],[YEAR]],8,1)</f>
        <v>60</v>
      </c>
    </row>
    <row r="2833" spans="1:9" x14ac:dyDescent="0.25">
      <c r="A2833" s="1">
        <v>45200</v>
      </c>
      <c r="B2833">
        <v>1001</v>
      </c>
      <c r="C2833">
        <v>2023</v>
      </c>
      <c r="D2833">
        <v>363</v>
      </c>
      <c r="E2833">
        <v>67</v>
      </c>
      <c r="F2833">
        <v>1596</v>
      </c>
      <c r="G2833">
        <v>92</v>
      </c>
      <c r="H2833">
        <f>SUMIFS($F$2:F2833,$C$2:C2833,C2833)</f>
        <v>66677</v>
      </c>
      <c r="I2833" s="8">
        <f>STAMP_Escapement_Data[[#This Row],[DATE]]-DATE(STAMP_Escapement_Data[[#This Row],[YEAR]],8,1)</f>
        <v>61</v>
      </c>
    </row>
    <row r="2834" spans="1:9" x14ac:dyDescent="0.25">
      <c r="A2834" s="1">
        <v>45201</v>
      </c>
      <c r="B2834">
        <v>1002</v>
      </c>
      <c r="C2834">
        <v>2023</v>
      </c>
      <c r="D2834">
        <v>237</v>
      </c>
      <c r="E2834">
        <v>45</v>
      </c>
      <c r="F2834">
        <v>1461</v>
      </c>
      <c r="G2834">
        <v>87</v>
      </c>
      <c r="H2834">
        <f>SUMIFS($F$2:F2834,$C$2:C2834,C2834)</f>
        <v>68138</v>
      </c>
      <c r="I2834" s="8">
        <f>STAMP_Escapement_Data[[#This Row],[DATE]]-DATE(STAMP_Escapement_Data[[#This Row],[YEAR]],8,1)</f>
        <v>62</v>
      </c>
    </row>
    <row r="2835" spans="1:9" x14ac:dyDescent="0.25">
      <c r="A2835" s="1">
        <v>45202</v>
      </c>
      <c r="B2835">
        <v>1003</v>
      </c>
      <c r="C2835">
        <v>2023</v>
      </c>
      <c r="D2835">
        <v>334</v>
      </c>
      <c r="E2835">
        <v>70</v>
      </c>
      <c r="F2835">
        <v>1533</v>
      </c>
      <c r="G2835">
        <v>89</v>
      </c>
      <c r="H2835">
        <f>SUMIFS($F$2:F2835,$C$2:C2835,C2835)</f>
        <v>69671</v>
      </c>
      <c r="I2835" s="8">
        <f>STAMP_Escapement_Data[[#This Row],[DATE]]-DATE(STAMP_Escapement_Data[[#This Row],[YEAR]],8,1)</f>
        <v>63</v>
      </c>
    </row>
    <row r="2836" spans="1:9" x14ac:dyDescent="0.25">
      <c r="A2836" s="1">
        <v>45203</v>
      </c>
      <c r="B2836">
        <v>1004</v>
      </c>
      <c r="C2836">
        <v>2023</v>
      </c>
      <c r="D2836">
        <v>306</v>
      </c>
      <c r="E2836">
        <v>74</v>
      </c>
      <c r="F2836">
        <v>1312</v>
      </c>
      <c r="G2836">
        <v>69</v>
      </c>
      <c r="H2836">
        <f>SUMIFS($F$2:F2836,$C$2:C2836,C2836)</f>
        <v>70983</v>
      </c>
      <c r="I2836" s="8">
        <f>STAMP_Escapement_Data[[#This Row],[DATE]]-DATE(STAMP_Escapement_Data[[#This Row],[YEAR]],8,1)</f>
        <v>64</v>
      </c>
    </row>
    <row r="2837" spans="1:9" x14ac:dyDescent="0.25">
      <c r="A2837" s="1">
        <v>45204</v>
      </c>
      <c r="B2837">
        <v>1005</v>
      </c>
      <c r="C2837">
        <v>2023</v>
      </c>
      <c r="D2837">
        <v>303</v>
      </c>
      <c r="E2837">
        <v>79</v>
      </c>
      <c r="F2837">
        <v>1506</v>
      </c>
      <c r="G2837">
        <v>76</v>
      </c>
      <c r="H2837">
        <f>SUMIFS($F$2:F2837,$C$2:C2837,C2837)</f>
        <v>72489</v>
      </c>
      <c r="I2837" s="8">
        <f>STAMP_Escapement_Data[[#This Row],[DATE]]-DATE(STAMP_Escapement_Data[[#This Row],[YEAR]],8,1)</f>
        <v>65</v>
      </c>
    </row>
    <row r="2838" spans="1:9" x14ac:dyDescent="0.25">
      <c r="A2838" s="1">
        <v>45205</v>
      </c>
      <c r="B2838">
        <v>1006</v>
      </c>
      <c r="C2838">
        <v>2023</v>
      </c>
      <c r="D2838">
        <v>189</v>
      </c>
      <c r="E2838">
        <v>49</v>
      </c>
      <c r="F2838">
        <v>1341</v>
      </c>
      <c r="G2838">
        <v>55</v>
      </c>
      <c r="H2838">
        <f>SUMIFS($F$2:F2838,$C$2:C2838,C2838)</f>
        <v>73830</v>
      </c>
      <c r="I2838" s="8">
        <f>STAMP_Escapement_Data[[#This Row],[DATE]]-DATE(STAMP_Escapement_Data[[#This Row],[YEAR]],8,1)</f>
        <v>66</v>
      </c>
    </row>
    <row r="2839" spans="1:9" x14ac:dyDescent="0.25">
      <c r="A2839" s="1">
        <v>45206</v>
      </c>
      <c r="B2839">
        <v>1007</v>
      </c>
      <c r="C2839">
        <v>2023</v>
      </c>
      <c r="D2839">
        <v>103</v>
      </c>
      <c r="E2839">
        <v>24</v>
      </c>
      <c r="F2839">
        <v>1452</v>
      </c>
      <c r="G2839">
        <v>67</v>
      </c>
      <c r="H2839">
        <f>SUMIFS($F$2:F2839,$C$2:C2839,C2839)</f>
        <v>75282</v>
      </c>
      <c r="I2839" s="8">
        <f>STAMP_Escapement_Data[[#This Row],[DATE]]-DATE(STAMP_Escapement_Data[[#This Row],[YEAR]],8,1)</f>
        <v>67</v>
      </c>
    </row>
    <row r="2840" spans="1:9" x14ac:dyDescent="0.25">
      <c r="A2840" s="1">
        <v>45207</v>
      </c>
      <c r="B2840">
        <v>1008</v>
      </c>
      <c r="C2840">
        <v>2023</v>
      </c>
      <c r="D2840">
        <v>208</v>
      </c>
      <c r="E2840">
        <v>31</v>
      </c>
      <c r="F2840">
        <v>1651</v>
      </c>
      <c r="G2840">
        <v>94</v>
      </c>
      <c r="H2840">
        <f>SUMIFS($F$2:F2840,$C$2:C2840,C2840)</f>
        <v>76933</v>
      </c>
      <c r="I2840" s="8">
        <f>STAMP_Escapement_Data[[#This Row],[DATE]]-DATE(STAMP_Escapement_Data[[#This Row],[YEAR]],8,1)</f>
        <v>68</v>
      </c>
    </row>
    <row r="2841" spans="1:9" x14ac:dyDescent="0.25">
      <c r="A2841" s="1">
        <v>45208</v>
      </c>
      <c r="B2841">
        <v>1009</v>
      </c>
      <c r="C2841">
        <v>2023</v>
      </c>
      <c r="D2841">
        <v>245</v>
      </c>
      <c r="E2841">
        <v>26</v>
      </c>
      <c r="F2841">
        <v>4070</v>
      </c>
      <c r="G2841">
        <v>150</v>
      </c>
      <c r="H2841">
        <f>SUMIFS($F$2:F2841,$C$2:C2841,C2841)</f>
        <v>81003</v>
      </c>
      <c r="I2841" s="8">
        <f>STAMP_Escapement_Data[[#This Row],[DATE]]-DATE(STAMP_Escapement_Data[[#This Row],[YEAR]],8,1)</f>
        <v>69</v>
      </c>
    </row>
    <row r="2842" spans="1:9" x14ac:dyDescent="0.25">
      <c r="A2842" s="1">
        <v>45209</v>
      </c>
      <c r="B2842">
        <v>1010</v>
      </c>
      <c r="C2842">
        <v>2023</v>
      </c>
      <c r="D2842">
        <v>206</v>
      </c>
      <c r="E2842">
        <v>45</v>
      </c>
      <c r="F2842">
        <v>3533</v>
      </c>
      <c r="G2842">
        <v>109</v>
      </c>
      <c r="H2842">
        <f>SUMIFS($F$2:F2842,$C$2:C2842,C2842)</f>
        <v>84536</v>
      </c>
      <c r="I2842" s="8">
        <f>STAMP_Escapement_Data[[#This Row],[DATE]]-DATE(STAMP_Escapement_Data[[#This Row],[YEAR]],8,1)</f>
        <v>70</v>
      </c>
    </row>
    <row r="2843" spans="1:9" x14ac:dyDescent="0.25">
      <c r="A2843" s="1">
        <v>45210</v>
      </c>
      <c r="B2843">
        <v>1011</v>
      </c>
      <c r="C2843">
        <v>2023</v>
      </c>
      <c r="D2843">
        <v>256</v>
      </c>
      <c r="E2843">
        <v>34</v>
      </c>
      <c r="F2843">
        <v>3178</v>
      </c>
      <c r="G2843">
        <v>150</v>
      </c>
      <c r="H2843">
        <f>SUMIFS($F$2:F2843,$C$2:C2843,C2843)</f>
        <v>87714</v>
      </c>
      <c r="I2843" s="8">
        <f>STAMP_Escapement_Data[[#This Row],[DATE]]-DATE(STAMP_Escapement_Data[[#This Row],[YEAR]],8,1)</f>
        <v>71</v>
      </c>
    </row>
    <row r="2844" spans="1:9" x14ac:dyDescent="0.25">
      <c r="A2844" s="1">
        <v>45211</v>
      </c>
      <c r="B2844">
        <v>1012</v>
      </c>
      <c r="C2844">
        <v>2023</v>
      </c>
      <c r="D2844">
        <v>166</v>
      </c>
      <c r="E2844">
        <v>41</v>
      </c>
      <c r="F2844">
        <v>2927</v>
      </c>
      <c r="G2844">
        <v>150</v>
      </c>
      <c r="H2844">
        <f>SUMIFS($F$2:F2844,$C$2:C2844,C2844)</f>
        <v>90641</v>
      </c>
      <c r="I2844" s="8">
        <f>STAMP_Escapement_Data[[#This Row],[DATE]]-DATE(STAMP_Escapement_Data[[#This Row],[YEAR]],8,1)</f>
        <v>72</v>
      </c>
    </row>
    <row r="2845" spans="1:9" x14ac:dyDescent="0.25">
      <c r="A2845" s="1">
        <v>45212</v>
      </c>
      <c r="B2845">
        <v>1013</v>
      </c>
      <c r="C2845">
        <v>2023</v>
      </c>
      <c r="D2845">
        <v>79</v>
      </c>
      <c r="E2845">
        <v>23</v>
      </c>
      <c r="F2845">
        <v>1607</v>
      </c>
      <c r="G2845">
        <v>88</v>
      </c>
      <c r="H2845">
        <f>SUMIFS($F$2:F2845,$C$2:C2845,C2845)</f>
        <v>92248</v>
      </c>
      <c r="I2845" s="8">
        <f>STAMP_Escapement_Data[[#This Row],[DATE]]-DATE(STAMP_Escapement_Data[[#This Row],[YEAR]],8,1)</f>
        <v>73</v>
      </c>
    </row>
    <row r="2846" spans="1:9" x14ac:dyDescent="0.25">
      <c r="A2846" s="1">
        <v>45213</v>
      </c>
      <c r="B2846">
        <v>1014</v>
      </c>
      <c r="C2846">
        <v>2023</v>
      </c>
      <c r="D2846">
        <v>87</v>
      </c>
      <c r="E2846">
        <v>10</v>
      </c>
      <c r="F2846">
        <v>1776</v>
      </c>
      <c r="G2846">
        <v>79</v>
      </c>
      <c r="H2846">
        <f>SUMIFS($F$2:F2846,$C$2:C2846,C2846)</f>
        <v>94024</v>
      </c>
      <c r="I2846" s="8">
        <f>STAMP_Escapement_Data[[#This Row],[DATE]]-DATE(STAMP_Escapement_Data[[#This Row],[YEAR]],8,1)</f>
        <v>74</v>
      </c>
    </row>
    <row r="2847" spans="1:9" x14ac:dyDescent="0.25">
      <c r="A2847" s="1">
        <v>45214</v>
      </c>
      <c r="B2847">
        <v>1015</v>
      </c>
      <c r="C2847">
        <v>2023</v>
      </c>
      <c r="D2847">
        <v>120</v>
      </c>
      <c r="E2847">
        <v>10</v>
      </c>
      <c r="F2847">
        <v>1179</v>
      </c>
      <c r="G2847">
        <v>64</v>
      </c>
      <c r="H2847">
        <f>SUMIFS($F$2:F2847,$C$2:C2847,C2847)</f>
        <v>95203</v>
      </c>
      <c r="I2847" s="8">
        <f>STAMP_Escapement_Data[[#This Row],[DATE]]-DATE(STAMP_Escapement_Data[[#This Row],[YEAR]],8,1)</f>
        <v>75</v>
      </c>
    </row>
    <row r="2848" spans="1:9" x14ac:dyDescent="0.25">
      <c r="A2848" s="1">
        <v>45215</v>
      </c>
      <c r="B2848">
        <v>1016</v>
      </c>
      <c r="C2848">
        <v>2023</v>
      </c>
      <c r="D2848">
        <v>46</v>
      </c>
      <c r="E2848">
        <v>2</v>
      </c>
      <c r="F2848">
        <v>516</v>
      </c>
      <c r="G2848">
        <v>19</v>
      </c>
      <c r="H2848">
        <f>SUMIFS($F$2:F2848,$C$2:C2848,C2848)</f>
        <v>95719</v>
      </c>
      <c r="I2848" s="8">
        <f>STAMP_Escapement_Data[[#This Row],[DATE]]-DATE(STAMP_Escapement_Data[[#This Row],[YEAR]],8,1)</f>
        <v>76</v>
      </c>
    </row>
    <row r="2849" spans="1:9" x14ac:dyDescent="0.25">
      <c r="A2849" s="1">
        <v>45216</v>
      </c>
      <c r="B2849">
        <v>1017</v>
      </c>
      <c r="C2849">
        <v>2023</v>
      </c>
      <c r="D2849">
        <v>41</v>
      </c>
      <c r="E2849">
        <v>2</v>
      </c>
      <c r="F2849">
        <v>418</v>
      </c>
      <c r="G2849">
        <v>15</v>
      </c>
      <c r="H2849">
        <f>SUMIFS($F$2:F2849,$C$2:C2849,C2849)</f>
        <v>96137</v>
      </c>
      <c r="I2849" s="8">
        <f>STAMP_Escapement_Data[[#This Row],[DATE]]-DATE(STAMP_Escapement_Data[[#This Row],[YEAR]],8,1)</f>
        <v>77</v>
      </c>
    </row>
    <row r="2850" spans="1:9" x14ac:dyDescent="0.25">
      <c r="A2850" s="1">
        <v>45217</v>
      </c>
      <c r="B2850">
        <v>1018</v>
      </c>
      <c r="C2850">
        <v>2023</v>
      </c>
      <c r="D2850">
        <v>37</v>
      </c>
      <c r="E2850">
        <v>2</v>
      </c>
      <c r="F2850">
        <v>368</v>
      </c>
      <c r="G2850">
        <v>13</v>
      </c>
      <c r="H2850">
        <f>SUMIFS($F$2:F2850,$C$2:C2850,C2850)</f>
        <v>96505</v>
      </c>
      <c r="I2850" s="8">
        <f>STAMP_Escapement_Data[[#This Row],[DATE]]-DATE(STAMP_Escapement_Data[[#This Row],[YEAR]],8,1)</f>
        <v>78</v>
      </c>
    </row>
    <row r="2851" spans="1:9" x14ac:dyDescent="0.25">
      <c r="A2851" s="1">
        <v>45218</v>
      </c>
      <c r="B2851">
        <v>1019</v>
      </c>
      <c r="C2851">
        <v>2023</v>
      </c>
      <c r="D2851">
        <v>32</v>
      </c>
      <c r="E2851">
        <v>1</v>
      </c>
      <c r="F2851">
        <v>318</v>
      </c>
      <c r="G2851">
        <v>12</v>
      </c>
      <c r="H2851">
        <f>SUMIFS($F$2:F2851,$C$2:C2851,C2851)</f>
        <v>96823</v>
      </c>
      <c r="I2851" s="8">
        <f>STAMP_Escapement_Data[[#This Row],[DATE]]-DATE(STAMP_Escapement_Data[[#This Row],[YEAR]],8,1)</f>
        <v>79</v>
      </c>
    </row>
    <row r="2852" spans="1:9" x14ac:dyDescent="0.25">
      <c r="A2852" s="1">
        <v>45219</v>
      </c>
      <c r="B2852">
        <v>1020</v>
      </c>
      <c r="C2852">
        <v>2023</v>
      </c>
      <c r="D2852">
        <v>28</v>
      </c>
      <c r="E2852">
        <v>1</v>
      </c>
      <c r="F2852">
        <v>268</v>
      </c>
      <c r="G2852">
        <v>10</v>
      </c>
      <c r="H2852">
        <f>SUMIFS($F$2:F2852,$C$2:C2852,C2852)</f>
        <v>97091</v>
      </c>
      <c r="I2852" s="8">
        <f>STAMP_Escapement_Data[[#This Row],[DATE]]-DATE(STAMP_Escapement_Data[[#This Row],[YEAR]],8,1)</f>
        <v>80</v>
      </c>
    </row>
    <row r="2853" spans="1:9" x14ac:dyDescent="0.25">
      <c r="A2853" s="1">
        <v>45220</v>
      </c>
      <c r="B2853">
        <v>1021</v>
      </c>
      <c r="C2853">
        <v>2023</v>
      </c>
      <c r="D2853">
        <v>24</v>
      </c>
      <c r="E2853">
        <v>1</v>
      </c>
      <c r="F2853">
        <v>218</v>
      </c>
      <c r="G2853">
        <v>8</v>
      </c>
      <c r="H2853">
        <f>SUMIFS($F$2:F2853,$C$2:C2853,C2853)</f>
        <v>97309</v>
      </c>
      <c r="I2853" s="8">
        <f>STAMP_Escapement_Data[[#This Row],[DATE]]-DATE(STAMP_Escapement_Data[[#This Row],[YEAR]],8,1)</f>
        <v>81</v>
      </c>
    </row>
    <row r="2854" spans="1:9" x14ac:dyDescent="0.25">
      <c r="A2854" s="1">
        <v>45221</v>
      </c>
      <c r="B2854">
        <v>1022</v>
      </c>
      <c r="C2854">
        <v>2023</v>
      </c>
      <c r="D2854">
        <v>19</v>
      </c>
      <c r="E2854">
        <v>1</v>
      </c>
      <c r="F2854">
        <v>168</v>
      </c>
      <c r="G2854">
        <v>6</v>
      </c>
      <c r="H2854">
        <f>SUMIFS($F$2:F2854,$C$2:C2854,C2854)</f>
        <v>97477</v>
      </c>
      <c r="I2854" s="8">
        <f>STAMP_Escapement_Data[[#This Row],[DATE]]-DATE(STAMP_Escapement_Data[[#This Row],[YEAR]],8,1)</f>
        <v>82</v>
      </c>
    </row>
    <row r="2855" spans="1:9" x14ac:dyDescent="0.25">
      <c r="A2855" s="1">
        <v>45222</v>
      </c>
      <c r="B2855">
        <v>1023</v>
      </c>
      <c r="C2855">
        <v>2023</v>
      </c>
      <c r="D2855">
        <v>15</v>
      </c>
      <c r="E2855">
        <v>1</v>
      </c>
      <c r="F2855">
        <v>118</v>
      </c>
      <c r="G2855">
        <v>5</v>
      </c>
      <c r="H2855">
        <f>SUMIFS($F$2:F2855,$C$2:C2855,C2855)</f>
        <v>97595</v>
      </c>
      <c r="I2855" s="8">
        <f>STAMP_Escapement_Data[[#This Row],[DATE]]-DATE(STAMP_Escapement_Data[[#This Row],[YEAR]],8,1)</f>
        <v>83</v>
      </c>
    </row>
    <row r="2856" spans="1:9" x14ac:dyDescent="0.25">
      <c r="A2856" s="1">
        <v>45223</v>
      </c>
      <c r="B2856">
        <v>1024</v>
      </c>
      <c r="C2856">
        <v>2023</v>
      </c>
      <c r="D2856">
        <v>10</v>
      </c>
      <c r="E2856">
        <v>0</v>
      </c>
      <c r="F2856">
        <v>68</v>
      </c>
      <c r="G2856">
        <v>3</v>
      </c>
      <c r="H2856">
        <f>SUMIFS($F$2:F2856,$C$2:C2856,C2856)</f>
        <v>97663</v>
      </c>
      <c r="I2856" s="8">
        <f>STAMP_Escapement_Data[[#This Row],[DATE]]-DATE(STAMP_Escapement_Data[[#This Row],[YEAR]],8,1)</f>
        <v>84</v>
      </c>
    </row>
    <row r="2857" spans="1:9" x14ac:dyDescent="0.25">
      <c r="A2857" s="1">
        <v>45224</v>
      </c>
      <c r="B2857">
        <v>1025</v>
      </c>
      <c r="C2857">
        <v>2023</v>
      </c>
      <c r="D2857">
        <v>6</v>
      </c>
      <c r="E2857">
        <v>0</v>
      </c>
      <c r="F2857">
        <v>18</v>
      </c>
      <c r="G2857">
        <v>1</v>
      </c>
      <c r="H2857">
        <f>SUMIFS($F$2:F2857,$C$2:C2857,C2857)</f>
        <v>97681</v>
      </c>
      <c r="I2857" s="8">
        <f>STAMP_Escapement_Data[[#This Row],[DATE]]-DATE(STAMP_Escapement_Data[[#This Row],[YEAR]],8,1)</f>
        <v>85</v>
      </c>
    </row>
    <row r="2858" spans="1:9" x14ac:dyDescent="0.25">
      <c r="A2858" s="1">
        <v>45225</v>
      </c>
      <c r="B2858">
        <v>1026</v>
      </c>
      <c r="C2858">
        <v>2023</v>
      </c>
      <c r="D2858">
        <v>42</v>
      </c>
      <c r="E2858">
        <v>0</v>
      </c>
      <c r="F2858">
        <v>18</v>
      </c>
      <c r="G2858">
        <v>1</v>
      </c>
      <c r="H2858">
        <f>SUMIFS($F$2:F2858,$C$2:C2858,C2858)</f>
        <v>97699</v>
      </c>
      <c r="I2858" s="8">
        <f>STAMP_Escapement_Data[[#This Row],[DATE]]-DATE(STAMP_Escapement_Data[[#This Row],[YEAR]],8,1)</f>
        <v>86</v>
      </c>
    </row>
    <row r="2859" spans="1:9" x14ac:dyDescent="0.25">
      <c r="A2859" s="1">
        <v>45226</v>
      </c>
      <c r="B2859">
        <v>1027</v>
      </c>
      <c r="C2859">
        <v>2023</v>
      </c>
      <c r="D2859">
        <v>28</v>
      </c>
      <c r="E2859">
        <v>2</v>
      </c>
      <c r="F2859">
        <v>23</v>
      </c>
      <c r="G2859">
        <v>5</v>
      </c>
      <c r="H2859">
        <f>SUMIFS($F$2:F2859,$C$2:C2859,C2859)</f>
        <v>97722</v>
      </c>
      <c r="I2859" s="8">
        <f>STAMP_Escapement_Data[[#This Row],[DATE]]-DATE(STAMP_Escapement_Data[[#This Row],[YEAR]],8,1)</f>
        <v>87</v>
      </c>
    </row>
    <row r="2860" spans="1:9" x14ac:dyDescent="0.25">
      <c r="A2860" s="1">
        <v>45227</v>
      </c>
      <c r="B2860">
        <v>1028</v>
      </c>
      <c r="C2860">
        <v>2023</v>
      </c>
      <c r="D2860">
        <v>14</v>
      </c>
      <c r="E2860">
        <v>0</v>
      </c>
      <c r="F2860">
        <v>100</v>
      </c>
      <c r="G2860">
        <v>4</v>
      </c>
      <c r="H2860">
        <f>SUMIFS($F$2:F2860,$C$2:C2860,C2860)</f>
        <v>97822</v>
      </c>
      <c r="I2860" s="8">
        <f>STAMP_Escapement_Data[[#This Row],[DATE]]-DATE(STAMP_Escapement_Data[[#This Row],[YEAR]],8,1)</f>
        <v>88</v>
      </c>
    </row>
    <row r="2861" spans="1:9" x14ac:dyDescent="0.25">
      <c r="A2861" s="1">
        <v>45228</v>
      </c>
      <c r="B2861">
        <v>1029</v>
      </c>
      <c r="C2861">
        <v>2023</v>
      </c>
      <c r="D2861">
        <v>17</v>
      </c>
      <c r="E2861">
        <v>1</v>
      </c>
      <c r="F2861">
        <v>110</v>
      </c>
      <c r="G2861">
        <v>4</v>
      </c>
      <c r="H2861">
        <f>SUMIFS($F$2:F2861,$C$2:C2861,C2861)</f>
        <v>97932</v>
      </c>
      <c r="I2861" s="8">
        <f>STAMP_Escapement_Data[[#This Row],[DATE]]-DATE(STAMP_Escapement_Data[[#This Row],[YEAR]],8,1)</f>
        <v>89</v>
      </c>
    </row>
    <row r="2862" spans="1:9" x14ac:dyDescent="0.25">
      <c r="A2862" s="1">
        <v>45229</v>
      </c>
      <c r="B2862">
        <v>1030</v>
      </c>
      <c r="C2862">
        <v>2023</v>
      </c>
      <c r="D2862">
        <v>5</v>
      </c>
      <c r="E2862">
        <v>1</v>
      </c>
      <c r="F2862">
        <v>41</v>
      </c>
      <c r="G2862">
        <v>6</v>
      </c>
      <c r="H2862">
        <f>SUMIFS($F$2:F2862,$C$2:C2862,C2862)</f>
        <v>97973</v>
      </c>
      <c r="I2862" s="8">
        <f>STAMP_Escapement_Data[[#This Row],[DATE]]-DATE(STAMP_Escapement_Data[[#This Row],[YEAR]],8,1)</f>
        <v>90</v>
      </c>
    </row>
    <row r="2863" spans="1:9" x14ac:dyDescent="0.25">
      <c r="A2863" s="1">
        <v>45230</v>
      </c>
      <c r="B2863">
        <v>1031</v>
      </c>
      <c r="C2863">
        <v>2023</v>
      </c>
      <c r="D2863">
        <v>7</v>
      </c>
      <c r="E2863">
        <v>0</v>
      </c>
      <c r="F2863">
        <v>36</v>
      </c>
      <c r="G2863">
        <v>5</v>
      </c>
      <c r="H2863">
        <f>SUMIFS($F$2:F2863,$C$2:C2863,C2863)</f>
        <v>98009</v>
      </c>
      <c r="I2863" s="8">
        <f>STAMP_Escapement_Data[[#This Row],[DATE]]-DATE(STAMP_Escapement_Data[[#This Row],[YEAR]],8,1)</f>
        <v>91</v>
      </c>
    </row>
    <row r="2864" spans="1:9" x14ac:dyDescent="0.25">
      <c r="A2864" s="1">
        <v>45231</v>
      </c>
      <c r="B2864">
        <v>1101</v>
      </c>
      <c r="C2864">
        <v>2023</v>
      </c>
      <c r="D2864">
        <v>11</v>
      </c>
      <c r="E2864">
        <v>2</v>
      </c>
      <c r="F2864">
        <v>25</v>
      </c>
      <c r="G2864">
        <v>6</v>
      </c>
      <c r="H2864">
        <f>SUMIFS($F$2:F2864,$C$2:C2864,C2864)</f>
        <v>98034</v>
      </c>
      <c r="I2864" s="8">
        <f>STAMP_Escapement_Data[[#This Row],[DATE]]-DATE(STAMP_Escapement_Data[[#This Row],[YEAR]],8,1)</f>
        <v>92</v>
      </c>
    </row>
    <row r="2865" spans="1:9" x14ac:dyDescent="0.25">
      <c r="A2865" s="1">
        <v>45232</v>
      </c>
      <c r="B2865">
        <v>1102</v>
      </c>
      <c r="C2865">
        <v>2023</v>
      </c>
      <c r="D2865">
        <v>11</v>
      </c>
      <c r="E2865">
        <v>4</v>
      </c>
      <c r="F2865">
        <v>29</v>
      </c>
      <c r="G2865">
        <v>6</v>
      </c>
      <c r="H2865">
        <f>SUMIFS($F$2:F2865,$C$2:C2865,C2865)</f>
        <v>98063</v>
      </c>
      <c r="I2865" s="8">
        <f>STAMP_Escapement_Data[[#This Row],[DATE]]-DATE(STAMP_Escapement_Data[[#This Row],[YEAR]],8,1)</f>
        <v>93</v>
      </c>
    </row>
    <row r="2866" spans="1:9" x14ac:dyDescent="0.25">
      <c r="A2866" s="1">
        <v>45233</v>
      </c>
      <c r="B2866">
        <v>1103</v>
      </c>
      <c r="C2866">
        <v>2023</v>
      </c>
      <c r="D2866">
        <v>52</v>
      </c>
      <c r="E2866">
        <v>6</v>
      </c>
      <c r="F2866">
        <v>9</v>
      </c>
      <c r="G2866">
        <v>0</v>
      </c>
      <c r="H2866">
        <f>SUMIFS($F$2:F2866,$C$2:C2866,C2866)</f>
        <v>98072</v>
      </c>
      <c r="I2866" s="8">
        <f>STAMP_Escapement_Data[[#This Row],[DATE]]-DATE(STAMP_Escapement_Data[[#This Row],[YEAR]],8,1)</f>
        <v>94</v>
      </c>
    </row>
    <row r="2867" spans="1:9" x14ac:dyDescent="0.25">
      <c r="A2867" s="1">
        <v>45234</v>
      </c>
      <c r="B2867">
        <v>1104</v>
      </c>
      <c r="C2867">
        <v>2023</v>
      </c>
      <c r="D2867">
        <v>2</v>
      </c>
      <c r="E2867">
        <v>0</v>
      </c>
      <c r="F2867">
        <v>2</v>
      </c>
      <c r="G2867">
        <v>0</v>
      </c>
      <c r="H2867">
        <f>SUMIFS($F$2:F2867,$C$2:C2867,C2867)</f>
        <v>98074</v>
      </c>
      <c r="I2867" s="8">
        <f>STAMP_Escapement_Data[[#This Row],[DATE]]-DATE(STAMP_Escapement_Data[[#This Row],[YEAR]],8,1)</f>
        <v>95</v>
      </c>
    </row>
    <row r="2868" spans="1:9" x14ac:dyDescent="0.25">
      <c r="A2868" s="1">
        <v>45505</v>
      </c>
      <c r="B2868">
        <v>801</v>
      </c>
      <c r="C2868">
        <v>2024</v>
      </c>
      <c r="D2868">
        <v>16</v>
      </c>
      <c r="E2868">
        <v>0</v>
      </c>
      <c r="F2868">
        <v>39</v>
      </c>
      <c r="G2868">
        <v>0</v>
      </c>
      <c r="H2868">
        <f>SUMIFS($F$2:F2868,$C$2:C2868,C2868)</f>
        <v>39</v>
      </c>
      <c r="I2868" s="8">
        <f>STAMP_Escapement_Data[[#This Row],[DATE]]-DATE(STAMP_Escapement_Data[[#This Row],[YEAR]],8,1)</f>
        <v>0</v>
      </c>
    </row>
    <row r="2869" spans="1:9" x14ac:dyDescent="0.25">
      <c r="A2869" s="1">
        <v>45506</v>
      </c>
      <c r="B2869">
        <v>802</v>
      </c>
      <c r="C2869">
        <v>2024</v>
      </c>
      <c r="D2869">
        <v>3</v>
      </c>
      <c r="E2869">
        <v>1</v>
      </c>
      <c r="F2869">
        <v>13</v>
      </c>
      <c r="G2869">
        <v>0</v>
      </c>
      <c r="H2869">
        <f>SUMIFS($F$2:F2869,$C$2:C2869,C2869)</f>
        <v>52</v>
      </c>
      <c r="I2869" s="8">
        <f>STAMP_Escapement_Data[[#This Row],[DATE]]-DATE(STAMP_Escapement_Data[[#This Row],[YEAR]],8,1)</f>
        <v>1</v>
      </c>
    </row>
    <row r="2870" spans="1:9" x14ac:dyDescent="0.25">
      <c r="A2870" s="1">
        <v>45507</v>
      </c>
      <c r="B2870">
        <v>803</v>
      </c>
      <c r="C2870">
        <v>2024</v>
      </c>
      <c r="D2870">
        <v>0</v>
      </c>
      <c r="E2870">
        <v>0</v>
      </c>
      <c r="F2870">
        <v>10</v>
      </c>
      <c r="G2870">
        <v>0</v>
      </c>
      <c r="H2870">
        <f>SUMIFS($F$2:F2870,$C$2:C2870,C2870)</f>
        <v>62</v>
      </c>
      <c r="I2870" s="8">
        <f>STAMP_Escapement_Data[[#This Row],[DATE]]-DATE(STAMP_Escapement_Data[[#This Row],[YEAR]],8,1)</f>
        <v>2</v>
      </c>
    </row>
    <row r="2871" spans="1:9" x14ac:dyDescent="0.25">
      <c r="A2871" s="1">
        <v>45508</v>
      </c>
      <c r="B2871">
        <v>804</v>
      </c>
      <c r="C2871">
        <v>2024</v>
      </c>
      <c r="D2871">
        <v>0</v>
      </c>
      <c r="E2871">
        <v>0</v>
      </c>
      <c r="F2871">
        <v>16</v>
      </c>
      <c r="G2871">
        <v>2</v>
      </c>
      <c r="H2871">
        <f>SUMIFS($F$2:F2871,$C$2:C2871,C2871)</f>
        <v>78</v>
      </c>
      <c r="I2871" s="8">
        <f>STAMP_Escapement_Data[[#This Row],[DATE]]-DATE(STAMP_Escapement_Data[[#This Row],[YEAR]],8,1)</f>
        <v>3</v>
      </c>
    </row>
    <row r="2872" spans="1:9" x14ac:dyDescent="0.25">
      <c r="A2872" s="1">
        <v>45509</v>
      </c>
      <c r="B2872">
        <v>805</v>
      </c>
      <c r="C2872">
        <v>2024</v>
      </c>
      <c r="D2872">
        <v>1</v>
      </c>
      <c r="E2872">
        <v>0</v>
      </c>
      <c r="F2872">
        <v>11</v>
      </c>
      <c r="G2872">
        <v>0</v>
      </c>
      <c r="H2872">
        <f>SUMIFS($F$2:F2872,$C$2:C2872,C2872)</f>
        <v>89</v>
      </c>
      <c r="I2872" s="8">
        <f>STAMP_Escapement_Data[[#This Row],[DATE]]-DATE(STAMP_Escapement_Data[[#This Row],[YEAR]],8,1)</f>
        <v>4</v>
      </c>
    </row>
    <row r="2873" spans="1:9" x14ac:dyDescent="0.25">
      <c r="A2873" s="1">
        <v>45510</v>
      </c>
      <c r="B2873">
        <v>806</v>
      </c>
      <c r="C2873">
        <v>2024</v>
      </c>
      <c r="D2873">
        <v>1</v>
      </c>
      <c r="E2873">
        <v>0</v>
      </c>
      <c r="F2873">
        <v>8</v>
      </c>
      <c r="G2873">
        <v>0</v>
      </c>
      <c r="H2873">
        <f>SUMIFS($F$2:F2873,$C$2:C2873,C2873)</f>
        <v>97</v>
      </c>
      <c r="I2873" s="8">
        <f>STAMP_Escapement_Data[[#This Row],[DATE]]-DATE(STAMP_Escapement_Data[[#This Row],[YEAR]],8,1)</f>
        <v>5</v>
      </c>
    </row>
    <row r="2874" spans="1:9" x14ac:dyDescent="0.25">
      <c r="A2874" s="1">
        <v>45511</v>
      </c>
      <c r="B2874">
        <v>807</v>
      </c>
      <c r="C2874">
        <v>2024</v>
      </c>
      <c r="D2874">
        <v>5</v>
      </c>
      <c r="E2874">
        <v>0</v>
      </c>
      <c r="F2874">
        <v>9</v>
      </c>
      <c r="G2874">
        <v>0</v>
      </c>
      <c r="H2874">
        <f>SUMIFS($F$2:F2874,$C$2:C2874,C2874)</f>
        <v>106</v>
      </c>
      <c r="I2874" s="8">
        <f>STAMP_Escapement_Data[[#This Row],[DATE]]-DATE(STAMP_Escapement_Data[[#This Row],[YEAR]],8,1)</f>
        <v>6</v>
      </c>
    </row>
    <row r="2875" spans="1:9" x14ac:dyDescent="0.25">
      <c r="A2875" s="1">
        <v>45512</v>
      </c>
      <c r="B2875">
        <v>808</v>
      </c>
      <c r="C2875">
        <v>2024</v>
      </c>
      <c r="D2875">
        <v>8</v>
      </c>
      <c r="E2875">
        <v>0</v>
      </c>
      <c r="F2875">
        <v>26</v>
      </c>
      <c r="G2875">
        <v>0</v>
      </c>
      <c r="H2875">
        <f>SUMIFS($F$2:F2875,$C$2:C2875,C2875)</f>
        <v>132</v>
      </c>
      <c r="I2875" s="8">
        <f>STAMP_Escapement_Data[[#This Row],[DATE]]-DATE(STAMP_Escapement_Data[[#This Row],[YEAR]],8,1)</f>
        <v>7</v>
      </c>
    </row>
    <row r="2876" spans="1:9" x14ac:dyDescent="0.25">
      <c r="A2876" s="1">
        <v>45513</v>
      </c>
      <c r="B2876">
        <v>809</v>
      </c>
      <c r="C2876">
        <v>2024</v>
      </c>
      <c r="D2876">
        <v>7</v>
      </c>
      <c r="E2876">
        <v>0</v>
      </c>
      <c r="F2876">
        <v>33</v>
      </c>
      <c r="G2876">
        <v>1</v>
      </c>
      <c r="H2876">
        <f>SUMIFS($F$2:F2876,$C$2:C2876,C2876)</f>
        <v>165</v>
      </c>
      <c r="I2876" s="8">
        <f>STAMP_Escapement_Data[[#This Row],[DATE]]-DATE(STAMP_Escapement_Data[[#This Row],[YEAR]],8,1)</f>
        <v>8</v>
      </c>
    </row>
    <row r="2877" spans="1:9" x14ac:dyDescent="0.25">
      <c r="A2877" s="1">
        <v>45514</v>
      </c>
      <c r="B2877">
        <v>810</v>
      </c>
      <c r="C2877">
        <v>2024</v>
      </c>
      <c r="D2877">
        <v>5</v>
      </c>
      <c r="E2877">
        <v>0</v>
      </c>
      <c r="F2877">
        <v>18</v>
      </c>
      <c r="G2877">
        <v>0</v>
      </c>
      <c r="H2877">
        <f>SUMIFS($F$2:F2877,$C$2:C2877,C2877)</f>
        <v>183</v>
      </c>
      <c r="I2877" s="8">
        <f>STAMP_Escapement_Data[[#This Row],[DATE]]-DATE(STAMP_Escapement_Data[[#This Row],[YEAR]],8,1)</f>
        <v>9</v>
      </c>
    </row>
    <row r="2878" spans="1:9" x14ac:dyDescent="0.25">
      <c r="A2878" s="1">
        <v>45515</v>
      </c>
      <c r="B2878">
        <v>811</v>
      </c>
      <c r="C2878">
        <v>2024</v>
      </c>
      <c r="D2878">
        <v>6</v>
      </c>
      <c r="E2878">
        <v>2</v>
      </c>
      <c r="F2878">
        <v>7</v>
      </c>
      <c r="G2878">
        <v>0</v>
      </c>
      <c r="H2878">
        <f>SUMIFS($F$2:F2878,$C$2:C2878,C2878)</f>
        <v>190</v>
      </c>
      <c r="I2878" s="8">
        <f>STAMP_Escapement_Data[[#This Row],[DATE]]-DATE(STAMP_Escapement_Data[[#This Row],[YEAR]],8,1)</f>
        <v>10</v>
      </c>
    </row>
    <row r="2879" spans="1:9" x14ac:dyDescent="0.25">
      <c r="A2879" s="1">
        <v>45516</v>
      </c>
      <c r="B2879">
        <v>812</v>
      </c>
      <c r="C2879">
        <v>2024</v>
      </c>
      <c r="D2879">
        <v>14</v>
      </c>
      <c r="E2879">
        <v>2</v>
      </c>
      <c r="F2879">
        <v>30</v>
      </c>
      <c r="G2879">
        <v>1</v>
      </c>
      <c r="H2879">
        <f>SUMIFS($F$2:F2879,$C$2:C2879,C2879)</f>
        <v>220</v>
      </c>
      <c r="I2879" s="8">
        <f>STAMP_Escapement_Data[[#This Row],[DATE]]-DATE(STAMP_Escapement_Data[[#This Row],[YEAR]],8,1)</f>
        <v>11</v>
      </c>
    </row>
    <row r="2880" spans="1:9" x14ac:dyDescent="0.25">
      <c r="A2880" s="1">
        <v>45517</v>
      </c>
      <c r="B2880">
        <v>813</v>
      </c>
      <c r="C2880">
        <v>2024</v>
      </c>
      <c r="D2880">
        <v>3</v>
      </c>
      <c r="E2880">
        <v>0</v>
      </c>
      <c r="F2880">
        <v>45</v>
      </c>
      <c r="G2880">
        <v>1</v>
      </c>
      <c r="H2880">
        <f>SUMIFS($F$2:F2880,$C$2:C2880,C2880)</f>
        <v>265</v>
      </c>
      <c r="I2880" s="8">
        <f>STAMP_Escapement_Data[[#This Row],[DATE]]-DATE(STAMP_Escapement_Data[[#This Row],[YEAR]],8,1)</f>
        <v>12</v>
      </c>
    </row>
    <row r="2881" spans="1:9" x14ac:dyDescent="0.25">
      <c r="A2881" s="1">
        <v>45518</v>
      </c>
      <c r="B2881">
        <v>814</v>
      </c>
      <c r="C2881">
        <v>2024</v>
      </c>
      <c r="D2881">
        <v>26</v>
      </c>
      <c r="E2881">
        <v>10</v>
      </c>
      <c r="F2881">
        <v>36</v>
      </c>
      <c r="G2881">
        <v>2</v>
      </c>
      <c r="H2881">
        <f>SUMIFS($F$2:F2881,$C$2:C2881,C2881)</f>
        <v>301</v>
      </c>
      <c r="I2881" s="8">
        <f>STAMP_Escapement_Data[[#This Row],[DATE]]-DATE(STAMP_Escapement_Data[[#This Row],[YEAR]],8,1)</f>
        <v>13</v>
      </c>
    </row>
    <row r="2882" spans="1:9" x14ac:dyDescent="0.25">
      <c r="A2882" s="1">
        <v>45519</v>
      </c>
      <c r="B2882">
        <v>815</v>
      </c>
      <c r="C2882">
        <v>2024</v>
      </c>
      <c r="D2882">
        <v>69</v>
      </c>
      <c r="E2882">
        <v>4</v>
      </c>
      <c r="F2882">
        <v>122</v>
      </c>
      <c r="G2882">
        <v>12</v>
      </c>
      <c r="H2882">
        <f>SUMIFS($F$2:F2882,$C$2:C2882,C2882)</f>
        <v>423</v>
      </c>
      <c r="I2882" s="8">
        <f>STAMP_Escapement_Data[[#This Row],[DATE]]-DATE(STAMP_Escapement_Data[[#This Row],[YEAR]],8,1)</f>
        <v>14</v>
      </c>
    </row>
    <row r="2883" spans="1:9" x14ac:dyDescent="0.25">
      <c r="A2883" s="1">
        <v>45520</v>
      </c>
      <c r="B2883">
        <v>816</v>
      </c>
      <c r="C2883">
        <v>2024</v>
      </c>
      <c r="D2883">
        <v>76</v>
      </c>
      <c r="E2883">
        <v>10</v>
      </c>
      <c r="F2883">
        <v>161</v>
      </c>
      <c r="G2883">
        <v>4</v>
      </c>
      <c r="H2883">
        <f>SUMIFS($F$2:F2883,$C$2:C2883,C2883)</f>
        <v>584</v>
      </c>
      <c r="I2883" s="8">
        <f>STAMP_Escapement_Data[[#This Row],[DATE]]-DATE(STAMP_Escapement_Data[[#This Row],[YEAR]],8,1)</f>
        <v>15</v>
      </c>
    </row>
    <row r="2884" spans="1:9" x14ac:dyDescent="0.25">
      <c r="A2884" s="1">
        <v>45521</v>
      </c>
      <c r="B2884">
        <v>817</v>
      </c>
      <c r="C2884">
        <v>2024</v>
      </c>
      <c r="D2884">
        <v>62</v>
      </c>
      <c r="E2884">
        <v>12</v>
      </c>
      <c r="F2884">
        <v>181</v>
      </c>
      <c r="G2884">
        <v>8</v>
      </c>
      <c r="H2884">
        <f>SUMIFS($F$2:F2884,$C$2:C2884,C2884)</f>
        <v>765</v>
      </c>
      <c r="I2884" s="8">
        <f>STAMP_Escapement_Data[[#This Row],[DATE]]-DATE(STAMP_Escapement_Data[[#This Row],[YEAR]],8,1)</f>
        <v>16</v>
      </c>
    </row>
    <row r="2885" spans="1:9" x14ac:dyDescent="0.25">
      <c r="A2885" s="1">
        <v>45522</v>
      </c>
      <c r="B2885">
        <v>818</v>
      </c>
      <c r="C2885">
        <v>2024</v>
      </c>
      <c r="D2885">
        <v>76</v>
      </c>
      <c r="E2885">
        <v>2</v>
      </c>
      <c r="F2885">
        <v>195</v>
      </c>
      <c r="G2885">
        <v>7</v>
      </c>
      <c r="H2885">
        <f>SUMIFS($F$2:F2885,$C$2:C2885,C2885)</f>
        <v>960</v>
      </c>
      <c r="I2885" s="8">
        <f>STAMP_Escapement_Data[[#This Row],[DATE]]-DATE(STAMP_Escapement_Data[[#This Row],[YEAR]],8,1)</f>
        <v>17</v>
      </c>
    </row>
    <row r="2886" spans="1:9" x14ac:dyDescent="0.25">
      <c r="A2886" s="1">
        <v>45523</v>
      </c>
      <c r="B2886">
        <v>819</v>
      </c>
      <c r="C2886">
        <v>2024</v>
      </c>
      <c r="D2886">
        <v>13</v>
      </c>
      <c r="E2886">
        <v>0</v>
      </c>
      <c r="F2886">
        <v>284</v>
      </c>
      <c r="G2886">
        <v>7</v>
      </c>
      <c r="H2886">
        <f>SUMIFS($F$2:F2886,$C$2:C2886,C2886)</f>
        <v>1244</v>
      </c>
      <c r="I2886" s="8">
        <f>STAMP_Escapement_Data[[#This Row],[DATE]]-DATE(STAMP_Escapement_Data[[#This Row],[YEAR]],8,1)</f>
        <v>18</v>
      </c>
    </row>
    <row r="2887" spans="1:9" x14ac:dyDescent="0.25">
      <c r="A2887" s="1">
        <v>45524</v>
      </c>
      <c r="B2887">
        <v>820</v>
      </c>
      <c r="C2887">
        <v>2024</v>
      </c>
      <c r="D2887">
        <v>58</v>
      </c>
      <c r="E2887">
        <v>4</v>
      </c>
      <c r="F2887">
        <v>214</v>
      </c>
      <c r="G2887">
        <v>9</v>
      </c>
      <c r="H2887">
        <f>SUMIFS($F$2:F2887,$C$2:C2887,C2887)</f>
        <v>1458</v>
      </c>
      <c r="I2887" s="8">
        <f>STAMP_Escapement_Data[[#This Row],[DATE]]-DATE(STAMP_Escapement_Data[[#This Row],[YEAR]],8,1)</f>
        <v>19</v>
      </c>
    </row>
    <row r="2888" spans="1:9" x14ac:dyDescent="0.25">
      <c r="A2888" s="1">
        <v>45525</v>
      </c>
      <c r="B2888">
        <v>821</v>
      </c>
      <c r="C2888">
        <v>2024</v>
      </c>
      <c r="D2888">
        <v>208</v>
      </c>
      <c r="E2888">
        <v>14</v>
      </c>
      <c r="F2888">
        <v>632</v>
      </c>
      <c r="G2888">
        <v>19</v>
      </c>
      <c r="H2888">
        <f>SUMIFS($F$2:F2888,$C$2:C2888,C2888)</f>
        <v>2090</v>
      </c>
      <c r="I2888" s="8">
        <f>STAMP_Escapement_Data[[#This Row],[DATE]]-DATE(STAMP_Escapement_Data[[#This Row],[YEAR]],8,1)</f>
        <v>20</v>
      </c>
    </row>
    <row r="2889" spans="1:9" x14ac:dyDescent="0.25">
      <c r="A2889" s="1">
        <v>45526</v>
      </c>
      <c r="B2889">
        <v>822</v>
      </c>
      <c r="C2889">
        <v>2024</v>
      </c>
      <c r="D2889">
        <v>231</v>
      </c>
      <c r="E2889">
        <v>19</v>
      </c>
      <c r="F2889">
        <v>552</v>
      </c>
      <c r="G2889">
        <v>18</v>
      </c>
      <c r="H2889">
        <f>SUMIFS($F$2:F2889,$C$2:C2889,C2889)</f>
        <v>2642</v>
      </c>
      <c r="I2889" s="8">
        <f>STAMP_Escapement_Data[[#This Row],[DATE]]-DATE(STAMP_Escapement_Data[[#This Row],[YEAR]],8,1)</f>
        <v>21</v>
      </c>
    </row>
    <row r="2890" spans="1:9" x14ac:dyDescent="0.25">
      <c r="A2890" s="1">
        <v>45527</v>
      </c>
      <c r="B2890">
        <v>823</v>
      </c>
      <c r="C2890">
        <v>2024</v>
      </c>
      <c r="D2890">
        <v>293</v>
      </c>
      <c r="E2890">
        <v>40</v>
      </c>
      <c r="F2890">
        <v>429</v>
      </c>
      <c r="G2890">
        <v>15</v>
      </c>
      <c r="H2890">
        <f>SUMIFS($F$2:F2890,$C$2:C2890,C2890)</f>
        <v>3071</v>
      </c>
      <c r="I2890" s="8">
        <f>STAMP_Escapement_Data[[#This Row],[DATE]]-DATE(STAMP_Escapement_Data[[#This Row],[YEAR]],8,1)</f>
        <v>22</v>
      </c>
    </row>
    <row r="2891" spans="1:9" x14ac:dyDescent="0.25">
      <c r="A2891" s="1">
        <v>45528</v>
      </c>
      <c r="B2891">
        <v>824</v>
      </c>
      <c r="C2891">
        <v>2024</v>
      </c>
      <c r="D2891">
        <v>354</v>
      </c>
      <c r="E2891">
        <v>61</v>
      </c>
      <c r="F2891">
        <v>307</v>
      </c>
      <c r="G2891">
        <v>12</v>
      </c>
      <c r="H2891">
        <f>SUMIFS($F$2:F2891,$C$2:C2891,C2891)</f>
        <v>3378</v>
      </c>
      <c r="I2891" s="8">
        <f>STAMP_Escapement_Data[[#This Row],[DATE]]-DATE(STAMP_Escapement_Data[[#This Row],[YEAR]],8,1)</f>
        <v>23</v>
      </c>
    </row>
    <row r="2892" spans="1:9" x14ac:dyDescent="0.25">
      <c r="A2892" s="1">
        <v>45529</v>
      </c>
      <c r="B2892">
        <v>825</v>
      </c>
      <c r="C2892">
        <v>2024</v>
      </c>
      <c r="D2892">
        <v>416</v>
      </c>
      <c r="E2892">
        <v>82</v>
      </c>
      <c r="F2892">
        <v>184</v>
      </c>
      <c r="G2892">
        <v>10</v>
      </c>
      <c r="H2892">
        <f>SUMIFS($F$2:F2892,$C$2:C2892,C2892)</f>
        <v>3562</v>
      </c>
      <c r="I2892" s="8">
        <f>STAMP_Escapement_Data[[#This Row],[DATE]]-DATE(STAMP_Escapement_Data[[#This Row],[YEAR]],8,1)</f>
        <v>24</v>
      </c>
    </row>
    <row r="2893" spans="1:9" x14ac:dyDescent="0.25">
      <c r="A2893" s="1">
        <v>45530</v>
      </c>
      <c r="B2893">
        <v>826</v>
      </c>
      <c r="C2893">
        <v>2024</v>
      </c>
      <c r="D2893">
        <v>231</v>
      </c>
      <c r="E2893">
        <v>32</v>
      </c>
      <c r="F2893">
        <v>142</v>
      </c>
      <c r="G2893">
        <v>8</v>
      </c>
      <c r="H2893">
        <f>SUMIFS($F$2:F2893,$C$2:C2893,C2893)</f>
        <v>3704</v>
      </c>
      <c r="I2893" s="8">
        <f>STAMP_Escapement_Data[[#This Row],[DATE]]-DATE(STAMP_Escapement_Data[[#This Row],[YEAR]],8,1)</f>
        <v>25</v>
      </c>
    </row>
    <row r="2894" spans="1:9" x14ac:dyDescent="0.25">
      <c r="A2894" s="1">
        <v>45531</v>
      </c>
      <c r="B2894">
        <v>827</v>
      </c>
      <c r="C2894">
        <v>2024</v>
      </c>
      <c r="D2894">
        <v>386</v>
      </c>
      <c r="E2894">
        <v>69</v>
      </c>
      <c r="F2894">
        <v>190</v>
      </c>
      <c r="G2894">
        <v>12</v>
      </c>
      <c r="H2894">
        <f>SUMIFS($F$2:F2894,$C$2:C2894,C2894)</f>
        <v>3894</v>
      </c>
      <c r="I2894" s="8">
        <f>STAMP_Escapement_Data[[#This Row],[DATE]]-DATE(STAMP_Escapement_Data[[#This Row],[YEAR]],8,1)</f>
        <v>26</v>
      </c>
    </row>
    <row r="2895" spans="1:9" x14ac:dyDescent="0.25">
      <c r="A2895" s="1">
        <v>45532</v>
      </c>
      <c r="B2895">
        <v>828</v>
      </c>
      <c r="C2895">
        <v>2024</v>
      </c>
      <c r="D2895">
        <v>388</v>
      </c>
      <c r="E2895">
        <v>68</v>
      </c>
      <c r="F2895">
        <v>198</v>
      </c>
      <c r="G2895">
        <v>12</v>
      </c>
      <c r="H2895">
        <f>SUMIFS($F$2:F2895,$C$2:C2895,C2895)</f>
        <v>4092</v>
      </c>
      <c r="I2895" s="8">
        <f>STAMP_Escapement_Data[[#This Row],[DATE]]-DATE(STAMP_Escapement_Data[[#This Row],[YEAR]],8,1)</f>
        <v>27</v>
      </c>
    </row>
    <row r="2896" spans="1:9" x14ac:dyDescent="0.25">
      <c r="A2896" s="1">
        <v>45533</v>
      </c>
      <c r="B2896">
        <v>829</v>
      </c>
      <c r="C2896">
        <v>2024</v>
      </c>
      <c r="D2896">
        <v>196</v>
      </c>
      <c r="E2896">
        <v>45</v>
      </c>
      <c r="F2896">
        <v>266</v>
      </c>
      <c r="G2896">
        <v>26</v>
      </c>
      <c r="H2896">
        <f>SUMIFS($F$2:F2896,$C$2:C2896,C2896)</f>
        <v>4358</v>
      </c>
      <c r="I2896" s="8">
        <f>STAMP_Escapement_Data[[#This Row],[DATE]]-DATE(STAMP_Escapement_Data[[#This Row],[YEAR]],8,1)</f>
        <v>28</v>
      </c>
    </row>
    <row r="2897" spans="1:9" x14ac:dyDescent="0.25">
      <c r="A2897" s="1">
        <v>45534</v>
      </c>
      <c r="B2897">
        <v>830</v>
      </c>
      <c r="C2897">
        <v>2024</v>
      </c>
      <c r="D2897">
        <v>231</v>
      </c>
      <c r="E2897">
        <v>58</v>
      </c>
      <c r="F2897">
        <v>369</v>
      </c>
      <c r="G2897">
        <v>28</v>
      </c>
      <c r="H2897">
        <f>SUMIFS($F$2:F2897,$C$2:C2897,C2897)</f>
        <v>4727</v>
      </c>
      <c r="I2897" s="8">
        <f>STAMP_Escapement_Data[[#This Row],[DATE]]-DATE(STAMP_Escapement_Data[[#This Row],[YEAR]],8,1)</f>
        <v>29</v>
      </c>
    </row>
    <row r="2898" spans="1:9" x14ac:dyDescent="0.25">
      <c r="A2898" s="1">
        <v>45535</v>
      </c>
      <c r="B2898">
        <v>831</v>
      </c>
      <c r="C2898">
        <v>2024</v>
      </c>
      <c r="D2898">
        <v>188</v>
      </c>
      <c r="E2898">
        <v>71</v>
      </c>
      <c r="F2898">
        <v>352</v>
      </c>
      <c r="G2898">
        <v>47</v>
      </c>
      <c r="H2898">
        <f>SUMIFS($F$2:F2898,$C$2:C2898,C2898)</f>
        <v>5079</v>
      </c>
      <c r="I2898" s="8">
        <f>STAMP_Escapement_Data[[#This Row],[DATE]]-DATE(STAMP_Escapement_Data[[#This Row],[YEAR]],8,1)</f>
        <v>30</v>
      </c>
    </row>
    <row r="2899" spans="1:9" x14ac:dyDescent="0.25">
      <c r="A2899" s="1">
        <v>45536</v>
      </c>
      <c r="B2899">
        <v>901</v>
      </c>
      <c r="C2899">
        <v>2024</v>
      </c>
      <c r="D2899">
        <v>107</v>
      </c>
      <c r="E2899">
        <v>37</v>
      </c>
      <c r="F2899">
        <v>726</v>
      </c>
      <c r="G2899">
        <v>52</v>
      </c>
      <c r="H2899">
        <f>SUMIFS($F$2:F2899,$C$2:C2899,C2899)</f>
        <v>5805</v>
      </c>
      <c r="I2899" s="8">
        <f>STAMP_Escapement_Data[[#This Row],[DATE]]-DATE(STAMP_Escapement_Data[[#This Row],[YEAR]],8,1)</f>
        <v>31</v>
      </c>
    </row>
    <row r="2900" spans="1:9" x14ac:dyDescent="0.25">
      <c r="A2900" s="1">
        <v>45537</v>
      </c>
      <c r="B2900">
        <v>902</v>
      </c>
      <c r="C2900">
        <v>2024</v>
      </c>
      <c r="D2900">
        <v>257</v>
      </c>
      <c r="E2900">
        <v>53</v>
      </c>
      <c r="F2900">
        <v>860</v>
      </c>
      <c r="G2900">
        <v>61</v>
      </c>
      <c r="H2900">
        <f>SUMIFS($F$2:F2900,$C$2:C2900,C2900)</f>
        <v>6665</v>
      </c>
      <c r="I2900" s="8">
        <f>STAMP_Escapement_Data[[#This Row],[DATE]]-DATE(STAMP_Escapement_Data[[#This Row],[YEAR]],8,1)</f>
        <v>32</v>
      </c>
    </row>
    <row r="2901" spans="1:9" x14ac:dyDescent="0.25">
      <c r="A2901" s="1">
        <v>45538</v>
      </c>
      <c r="B2901">
        <v>903</v>
      </c>
      <c r="C2901">
        <v>2024</v>
      </c>
      <c r="D2901">
        <v>89</v>
      </c>
      <c r="E2901">
        <v>24</v>
      </c>
      <c r="F2901">
        <v>845</v>
      </c>
      <c r="G2901">
        <v>85</v>
      </c>
      <c r="H2901">
        <f>SUMIFS($F$2:F2901,$C$2:C2901,C2901)</f>
        <v>7510</v>
      </c>
      <c r="I2901" s="8">
        <f>STAMP_Escapement_Data[[#This Row],[DATE]]-DATE(STAMP_Escapement_Data[[#This Row],[YEAR]],8,1)</f>
        <v>33</v>
      </c>
    </row>
    <row r="2902" spans="1:9" x14ac:dyDescent="0.25">
      <c r="A2902" s="1">
        <v>45539</v>
      </c>
      <c r="B2902">
        <v>904</v>
      </c>
      <c r="C2902">
        <v>2024</v>
      </c>
      <c r="D2902">
        <v>339</v>
      </c>
      <c r="E2902">
        <v>101</v>
      </c>
      <c r="F2902">
        <v>605</v>
      </c>
      <c r="G2902">
        <v>148</v>
      </c>
      <c r="H2902">
        <f>SUMIFS($F$2:F2902,$C$2:C2902,C2902)</f>
        <v>8115</v>
      </c>
      <c r="I2902" s="8">
        <f>STAMP_Escapement_Data[[#This Row],[DATE]]-DATE(STAMP_Escapement_Data[[#This Row],[YEAR]],8,1)</f>
        <v>34</v>
      </c>
    </row>
    <row r="2903" spans="1:9" x14ac:dyDescent="0.25">
      <c r="A2903" s="1">
        <v>45540</v>
      </c>
      <c r="B2903">
        <v>905</v>
      </c>
      <c r="C2903">
        <v>2024</v>
      </c>
      <c r="D2903">
        <v>451</v>
      </c>
      <c r="E2903">
        <v>119</v>
      </c>
      <c r="F2903">
        <v>696</v>
      </c>
      <c r="G2903">
        <v>160</v>
      </c>
      <c r="H2903">
        <f>SUMIFS($F$2:F2903,$C$2:C2903,C2903)</f>
        <v>8811</v>
      </c>
      <c r="I2903" s="8">
        <f>STAMP_Escapement_Data[[#This Row],[DATE]]-DATE(STAMP_Escapement_Data[[#This Row],[YEAR]],8,1)</f>
        <v>35</v>
      </c>
    </row>
    <row r="2904" spans="1:9" x14ac:dyDescent="0.25">
      <c r="A2904" s="1">
        <v>45541</v>
      </c>
      <c r="B2904">
        <v>906</v>
      </c>
      <c r="C2904">
        <v>2024</v>
      </c>
      <c r="D2904">
        <v>222</v>
      </c>
      <c r="E2904">
        <v>38</v>
      </c>
      <c r="F2904">
        <v>402</v>
      </c>
      <c r="G2904">
        <v>53</v>
      </c>
      <c r="H2904">
        <f>SUMIFS($F$2:F2904,$C$2:C2904,C2904)</f>
        <v>9213</v>
      </c>
      <c r="I2904" s="8">
        <f>STAMP_Escapement_Data[[#This Row],[DATE]]-DATE(STAMP_Escapement_Data[[#This Row],[YEAR]],8,1)</f>
        <v>36</v>
      </c>
    </row>
    <row r="2905" spans="1:9" x14ac:dyDescent="0.25">
      <c r="A2905" s="1">
        <v>45542</v>
      </c>
      <c r="B2905">
        <v>907</v>
      </c>
      <c r="C2905">
        <v>2024</v>
      </c>
      <c r="D2905">
        <v>94</v>
      </c>
      <c r="E2905">
        <v>39</v>
      </c>
      <c r="F2905">
        <v>164</v>
      </c>
      <c r="G2905">
        <v>47</v>
      </c>
      <c r="H2905">
        <f>SUMIFS($F$2:F2905,$C$2:C2905,C2905)</f>
        <v>9377</v>
      </c>
      <c r="I2905" s="8">
        <f>STAMP_Escapement_Data[[#This Row],[DATE]]-DATE(STAMP_Escapement_Data[[#This Row],[YEAR]],8,1)</f>
        <v>37</v>
      </c>
    </row>
    <row r="2906" spans="1:9" x14ac:dyDescent="0.25">
      <c r="A2906" s="1">
        <v>45543</v>
      </c>
      <c r="B2906">
        <v>908</v>
      </c>
      <c r="C2906">
        <v>2024</v>
      </c>
      <c r="D2906">
        <v>161</v>
      </c>
      <c r="E2906">
        <v>81</v>
      </c>
      <c r="F2906">
        <v>372</v>
      </c>
      <c r="G2906">
        <v>64</v>
      </c>
      <c r="H2906">
        <f>SUMIFS($F$2:F2906,$C$2:C2906,C2906)</f>
        <v>9749</v>
      </c>
      <c r="I2906" s="8">
        <f>STAMP_Escapement_Data[[#This Row],[DATE]]-DATE(STAMP_Escapement_Data[[#This Row],[YEAR]],8,1)</f>
        <v>38</v>
      </c>
    </row>
    <row r="2907" spans="1:9" x14ac:dyDescent="0.25">
      <c r="A2907" s="1">
        <v>45544</v>
      </c>
      <c r="B2907">
        <v>909</v>
      </c>
      <c r="C2907">
        <v>2024</v>
      </c>
      <c r="D2907">
        <v>117</v>
      </c>
      <c r="E2907">
        <v>96</v>
      </c>
      <c r="F2907">
        <v>374</v>
      </c>
      <c r="G2907">
        <v>58</v>
      </c>
      <c r="H2907">
        <f>SUMIFS($F$2:F2907,$C$2:C2907,C2907)</f>
        <v>10123</v>
      </c>
      <c r="I2907" s="8">
        <f>STAMP_Escapement_Data[[#This Row],[DATE]]-DATE(STAMP_Escapement_Data[[#This Row],[YEAR]],8,1)</f>
        <v>39</v>
      </c>
    </row>
    <row r="2908" spans="1:9" x14ac:dyDescent="0.25">
      <c r="A2908" s="1">
        <v>45545</v>
      </c>
      <c r="B2908">
        <v>910</v>
      </c>
      <c r="C2908">
        <v>2024</v>
      </c>
      <c r="D2908">
        <v>167</v>
      </c>
      <c r="E2908">
        <v>70</v>
      </c>
      <c r="F2908">
        <v>386</v>
      </c>
      <c r="G2908">
        <v>87</v>
      </c>
      <c r="H2908">
        <f>SUMIFS($F$2:F2908,$C$2:C2908,C2908)</f>
        <v>10509</v>
      </c>
      <c r="I2908" s="8">
        <f>STAMP_Escapement_Data[[#This Row],[DATE]]-DATE(STAMP_Escapement_Data[[#This Row],[YEAR]],8,1)</f>
        <v>40</v>
      </c>
    </row>
    <row r="2909" spans="1:9" x14ac:dyDescent="0.25">
      <c r="A2909" s="1">
        <v>45546</v>
      </c>
      <c r="B2909">
        <v>911</v>
      </c>
      <c r="C2909">
        <v>2024</v>
      </c>
      <c r="D2909">
        <v>274</v>
      </c>
      <c r="E2909">
        <v>123</v>
      </c>
      <c r="F2909">
        <v>351</v>
      </c>
      <c r="G2909">
        <v>120</v>
      </c>
      <c r="H2909">
        <f>SUMIFS($F$2:F2909,$C$2:C2909,C2909)</f>
        <v>10860</v>
      </c>
      <c r="I2909" s="8">
        <f>STAMP_Escapement_Data[[#This Row],[DATE]]-DATE(STAMP_Escapement_Data[[#This Row],[YEAR]],8,1)</f>
        <v>41</v>
      </c>
    </row>
    <row r="2910" spans="1:9" x14ac:dyDescent="0.25">
      <c r="A2910" s="1">
        <v>45547</v>
      </c>
      <c r="B2910">
        <v>912</v>
      </c>
      <c r="C2910">
        <v>2024</v>
      </c>
      <c r="D2910">
        <v>193</v>
      </c>
      <c r="E2910">
        <v>115</v>
      </c>
      <c r="F2910">
        <v>271</v>
      </c>
      <c r="G2910">
        <v>92</v>
      </c>
      <c r="H2910">
        <f>SUMIFS($F$2:F2910,$C$2:C2910,C2910)</f>
        <v>11131</v>
      </c>
      <c r="I2910" s="8">
        <f>STAMP_Escapement_Data[[#This Row],[DATE]]-DATE(STAMP_Escapement_Data[[#This Row],[YEAR]],8,1)</f>
        <v>42</v>
      </c>
    </row>
    <row r="2911" spans="1:9" x14ac:dyDescent="0.25">
      <c r="A2911" s="1">
        <v>45548</v>
      </c>
      <c r="B2911">
        <v>913</v>
      </c>
      <c r="C2911">
        <v>2024</v>
      </c>
      <c r="D2911">
        <v>264</v>
      </c>
      <c r="E2911">
        <v>112</v>
      </c>
      <c r="F2911">
        <v>250</v>
      </c>
      <c r="G2911">
        <v>88</v>
      </c>
      <c r="H2911">
        <f>SUMIFS($F$2:F2911,$C$2:C2911,C2911)</f>
        <v>11381</v>
      </c>
      <c r="I2911" s="8">
        <f>STAMP_Escapement_Data[[#This Row],[DATE]]-DATE(STAMP_Escapement_Data[[#This Row],[YEAR]],8,1)</f>
        <v>43</v>
      </c>
    </row>
    <row r="2912" spans="1:9" x14ac:dyDescent="0.25">
      <c r="A2912" s="1">
        <v>45549</v>
      </c>
      <c r="B2912">
        <v>914</v>
      </c>
      <c r="C2912">
        <v>2024</v>
      </c>
      <c r="D2912">
        <v>684</v>
      </c>
      <c r="E2912">
        <v>219</v>
      </c>
      <c r="F2912">
        <v>364</v>
      </c>
      <c r="G2912">
        <v>97</v>
      </c>
      <c r="H2912">
        <f>SUMIFS($F$2:F2912,$C$2:C2912,C2912)</f>
        <v>11745</v>
      </c>
      <c r="I2912" s="8">
        <f>STAMP_Escapement_Data[[#This Row],[DATE]]-DATE(STAMP_Escapement_Data[[#This Row],[YEAR]],8,1)</f>
        <v>44</v>
      </c>
    </row>
    <row r="2913" spans="1:9" x14ac:dyDescent="0.25">
      <c r="A2913" s="1">
        <v>45550</v>
      </c>
      <c r="B2913">
        <v>915</v>
      </c>
      <c r="C2913">
        <v>2024</v>
      </c>
      <c r="D2913">
        <v>628</v>
      </c>
      <c r="E2913">
        <v>191</v>
      </c>
      <c r="F2913">
        <v>350</v>
      </c>
      <c r="G2913">
        <v>116</v>
      </c>
      <c r="H2913">
        <f>SUMIFS($F$2:F2913,$C$2:C2913,C2913)</f>
        <v>12095</v>
      </c>
      <c r="I2913" s="8">
        <f>STAMP_Escapement_Data[[#This Row],[DATE]]-DATE(STAMP_Escapement_Data[[#This Row],[YEAR]],8,1)</f>
        <v>45</v>
      </c>
    </row>
    <row r="2914" spans="1:9" x14ac:dyDescent="0.25">
      <c r="A2914" s="1">
        <v>45551</v>
      </c>
      <c r="B2914">
        <v>916</v>
      </c>
      <c r="C2914">
        <v>2024</v>
      </c>
      <c r="D2914">
        <v>422</v>
      </c>
      <c r="E2914">
        <v>158</v>
      </c>
      <c r="F2914">
        <v>256</v>
      </c>
      <c r="G2914">
        <v>64</v>
      </c>
      <c r="H2914">
        <f>SUMIFS($F$2:F2914,$C$2:C2914,C2914)</f>
        <v>12351</v>
      </c>
      <c r="I2914" s="8">
        <f>STAMP_Escapement_Data[[#This Row],[DATE]]-DATE(STAMP_Escapement_Data[[#This Row],[YEAR]],8,1)</f>
        <v>46</v>
      </c>
    </row>
    <row r="2915" spans="1:9" x14ac:dyDescent="0.25">
      <c r="A2915" s="1">
        <v>45552</v>
      </c>
      <c r="B2915">
        <v>917</v>
      </c>
      <c r="C2915">
        <v>2024</v>
      </c>
      <c r="D2915">
        <v>216</v>
      </c>
      <c r="E2915">
        <v>91</v>
      </c>
      <c r="F2915">
        <v>273</v>
      </c>
      <c r="G2915">
        <v>68</v>
      </c>
      <c r="H2915">
        <f>SUMIFS($F$2:F2915,$C$2:C2915,C2915)</f>
        <v>12624</v>
      </c>
      <c r="I2915" s="8">
        <f>STAMP_Escapement_Data[[#This Row],[DATE]]-DATE(STAMP_Escapement_Data[[#This Row],[YEAR]],8,1)</f>
        <v>47</v>
      </c>
    </row>
    <row r="2916" spans="1:9" x14ac:dyDescent="0.25">
      <c r="A2916" s="1">
        <v>45553</v>
      </c>
      <c r="B2916">
        <v>918</v>
      </c>
      <c r="C2916">
        <v>2024</v>
      </c>
      <c r="D2916">
        <v>329</v>
      </c>
      <c r="E2916">
        <v>136</v>
      </c>
      <c r="F2916">
        <v>323</v>
      </c>
      <c r="G2916">
        <v>74</v>
      </c>
      <c r="H2916">
        <f>SUMIFS($F$2:F2916,$C$2:C2916,C2916)</f>
        <v>12947</v>
      </c>
      <c r="I2916" s="8">
        <f>STAMP_Escapement_Data[[#This Row],[DATE]]-DATE(STAMP_Escapement_Data[[#This Row],[YEAR]],8,1)</f>
        <v>48</v>
      </c>
    </row>
    <row r="2917" spans="1:9" x14ac:dyDescent="0.25">
      <c r="A2917" s="1">
        <v>45554</v>
      </c>
      <c r="B2917">
        <v>919</v>
      </c>
      <c r="C2917">
        <v>2024</v>
      </c>
      <c r="D2917">
        <v>451</v>
      </c>
      <c r="E2917">
        <v>196</v>
      </c>
      <c r="F2917">
        <v>387</v>
      </c>
      <c r="G2917">
        <v>113</v>
      </c>
      <c r="H2917">
        <f>SUMIFS($F$2:F2917,$C$2:C2917,C2917)</f>
        <v>13334</v>
      </c>
      <c r="I2917" s="8">
        <f>STAMP_Escapement_Data[[#This Row],[DATE]]-DATE(STAMP_Escapement_Data[[#This Row],[YEAR]],8,1)</f>
        <v>49</v>
      </c>
    </row>
    <row r="2918" spans="1:9" x14ac:dyDescent="0.25">
      <c r="A2918" s="1">
        <v>45555</v>
      </c>
      <c r="B2918">
        <v>920</v>
      </c>
      <c r="C2918">
        <v>2024</v>
      </c>
      <c r="D2918">
        <v>242</v>
      </c>
      <c r="E2918">
        <v>87</v>
      </c>
      <c r="F2918">
        <v>267</v>
      </c>
      <c r="G2918">
        <v>89</v>
      </c>
      <c r="H2918">
        <f>SUMIFS($F$2:F2918,$C$2:C2918,C2918)</f>
        <v>13601</v>
      </c>
      <c r="I2918" s="8">
        <f>STAMP_Escapement_Data[[#This Row],[DATE]]-DATE(STAMP_Escapement_Data[[#This Row],[YEAR]],8,1)</f>
        <v>50</v>
      </c>
    </row>
    <row r="2919" spans="1:9" x14ac:dyDescent="0.25">
      <c r="A2919" s="1">
        <v>45556</v>
      </c>
      <c r="B2919">
        <v>921</v>
      </c>
      <c r="C2919">
        <v>2024</v>
      </c>
      <c r="D2919">
        <v>247</v>
      </c>
      <c r="E2919">
        <v>102</v>
      </c>
      <c r="F2919">
        <v>392</v>
      </c>
      <c r="G2919">
        <v>69</v>
      </c>
      <c r="H2919">
        <f>SUMIFS($F$2:F2919,$C$2:C2919,C2919)</f>
        <v>13993</v>
      </c>
      <c r="I2919" s="8">
        <f>STAMP_Escapement_Data[[#This Row],[DATE]]-DATE(STAMP_Escapement_Data[[#This Row],[YEAR]],8,1)</f>
        <v>51</v>
      </c>
    </row>
    <row r="2920" spans="1:9" x14ac:dyDescent="0.25">
      <c r="A2920" s="1">
        <v>45557</v>
      </c>
      <c r="B2920">
        <v>922</v>
      </c>
      <c r="C2920">
        <v>2024</v>
      </c>
      <c r="D2920">
        <v>274</v>
      </c>
      <c r="E2920">
        <v>107</v>
      </c>
      <c r="F2920">
        <v>462</v>
      </c>
      <c r="G2920">
        <v>80</v>
      </c>
      <c r="H2920">
        <f>SUMIFS($F$2:F2920,$C$2:C2920,C2920)</f>
        <v>14455</v>
      </c>
      <c r="I2920" s="8">
        <f>STAMP_Escapement_Data[[#This Row],[DATE]]-DATE(STAMP_Escapement_Data[[#This Row],[YEAR]],8,1)</f>
        <v>52</v>
      </c>
    </row>
    <row r="2921" spans="1:9" x14ac:dyDescent="0.25">
      <c r="A2921" s="1">
        <v>45558</v>
      </c>
      <c r="B2921">
        <v>923</v>
      </c>
      <c r="C2921">
        <v>2024</v>
      </c>
      <c r="D2921">
        <v>132</v>
      </c>
      <c r="E2921">
        <v>75</v>
      </c>
      <c r="F2921">
        <v>256</v>
      </c>
      <c r="G2921">
        <v>51</v>
      </c>
      <c r="H2921">
        <f>SUMIFS($F$2:F2921,$C$2:C2921,C2921)</f>
        <v>14711</v>
      </c>
      <c r="I2921" s="8">
        <f>STAMP_Escapement_Data[[#This Row],[DATE]]-DATE(STAMP_Escapement_Data[[#This Row],[YEAR]],8,1)</f>
        <v>53</v>
      </c>
    </row>
    <row r="2922" spans="1:9" x14ac:dyDescent="0.25">
      <c r="A2922" s="1">
        <v>45559</v>
      </c>
      <c r="B2922">
        <v>924</v>
      </c>
      <c r="C2922">
        <v>2024</v>
      </c>
      <c r="D2922">
        <v>222</v>
      </c>
      <c r="E2922">
        <v>97</v>
      </c>
      <c r="F2922">
        <v>418</v>
      </c>
      <c r="G2922">
        <v>83</v>
      </c>
      <c r="H2922">
        <f>SUMIFS($F$2:F2922,$C$2:C2922,C2922)</f>
        <v>15129</v>
      </c>
      <c r="I2922" s="8">
        <f>STAMP_Escapement_Data[[#This Row],[DATE]]-DATE(STAMP_Escapement_Data[[#This Row],[YEAR]],8,1)</f>
        <v>54</v>
      </c>
    </row>
    <row r="2923" spans="1:9" x14ac:dyDescent="0.25">
      <c r="A2923" s="1">
        <v>45560</v>
      </c>
      <c r="B2923">
        <v>925</v>
      </c>
      <c r="C2923">
        <v>2024</v>
      </c>
      <c r="D2923">
        <v>248</v>
      </c>
      <c r="E2923">
        <v>46</v>
      </c>
      <c r="F2923">
        <v>400</v>
      </c>
      <c r="G2923">
        <v>56</v>
      </c>
      <c r="H2923">
        <f>SUMIFS($F$2:F2923,$C$2:C2923,C2923)</f>
        <v>15529</v>
      </c>
      <c r="I2923" s="8">
        <f>STAMP_Escapement_Data[[#This Row],[DATE]]-DATE(STAMP_Escapement_Data[[#This Row],[YEAR]],8,1)</f>
        <v>55</v>
      </c>
    </row>
    <row r="2924" spans="1:9" x14ac:dyDescent="0.25">
      <c r="A2924" s="1">
        <v>45561</v>
      </c>
      <c r="B2924">
        <v>926</v>
      </c>
      <c r="C2924">
        <v>2024</v>
      </c>
      <c r="D2924">
        <v>163</v>
      </c>
      <c r="E2924">
        <v>15</v>
      </c>
      <c r="F2924">
        <v>786</v>
      </c>
      <c r="G2924">
        <v>42</v>
      </c>
      <c r="H2924">
        <f>SUMIFS($F$2:F2924,$C$2:C2924,C2924)</f>
        <v>16315</v>
      </c>
      <c r="I2924" s="8">
        <f>STAMP_Escapement_Data[[#This Row],[DATE]]-DATE(STAMP_Escapement_Data[[#This Row],[YEAR]],8,1)</f>
        <v>56</v>
      </c>
    </row>
    <row r="2925" spans="1:9" x14ac:dyDescent="0.25">
      <c r="A2925" s="1">
        <v>45562</v>
      </c>
      <c r="B2925">
        <v>927</v>
      </c>
      <c r="C2925">
        <v>2024</v>
      </c>
      <c r="D2925">
        <v>153</v>
      </c>
      <c r="E2925">
        <v>46</v>
      </c>
      <c r="F2925">
        <v>921</v>
      </c>
      <c r="G2925">
        <v>54</v>
      </c>
      <c r="H2925">
        <f>SUMIFS($F$2:F2925,$C$2:C2925,C2925)</f>
        <v>17236</v>
      </c>
      <c r="I2925" s="8">
        <f>STAMP_Escapement_Data[[#This Row],[DATE]]-DATE(STAMP_Escapement_Data[[#This Row],[YEAR]],8,1)</f>
        <v>57</v>
      </c>
    </row>
    <row r="2926" spans="1:9" x14ac:dyDescent="0.25">
      <c r="A2926" s="1">
        <v>45563</v>
      </c>
      <c r="B2926">
        <v>928</v>
      </c>
      <c r="C2926">
        <v>2024</v>
      </c>
      <c r="D2926">
        <v>289</v>
      </c>
      <c r="E2926">
        <v>76</v>
      </c>
      <c r="F2926">
        <v>956</v>
      </c>
      <c r="G2926">
        <v>77</v>
      </c>
      <c r="H2926">
        <f>SUMIFS($F$2:F2926,$C$2:C2926,C2926)</f>
        <v>18192</v>
      </c>
      <c r="I2926" s="8">
        <f>STAMP_Escapement_Data[[#This Row],[DATE]]-DATE(STAMP_Escapement_Data[[#This Row],[YEAR]],8,1)</f>
        <v>58</v>
      </c>
    </row>
    <row r="2927" spans="1:9" x14ac:dyDescent="0.25">
      <c r="A2927" s="1">
        <v>45564</v>
      </c>
      <c r="B2927">
        <v>929</v>
      </c>
      <c r="C2927">
        <v>2024</v>
      </c>
      <c r="D2927">
        <v>199</v>
      </c>
      <c r="E2927">
        <v>77</v>
      </c>
      <c r="F2927">
        <v>1045</v>
      </c>
      <c r="G2927">
        <v>77</v>
      </c>
      <c r="H2927">
        <f>SUMIFS($F$2:F2927,$C$2:C2927,C2927)</f>
        <v>19237</v>
      </c>
      <c r="I2927" s="8">
        <f>STAMP_Escapement_Data[[#This Row],[DATE]]-DATE(STAMP_Escapement_Data[[#This Row],[YEAR]],8,1)</f>
        <v>59</v>
      </c>
    </row>
    <row r="2928" spans="1:9" x14ac:dyDescent="0.25">
      <c r="A2928" s="1">
        <v>45565</v>
      </c>
      <c r="B2928">
        <v>930</v>
      </c>
      <c r="C2928">
        <v>2024</v>
      </c>
      <c r="D2928">
        <v>170</v>
      </c>
      <c r="E2928">
        <v>54</v>
      </c>
      <c r="F2928">
        <v>1050</v>
      </c>
      <c r="G2928">
        <v>111</v>
      </c>
      <c r="H2928">
        <f>SUMIFS($F$2:F2928,$C$2:C2928,C2928)</f>
        <v>20287</v>
      </c>
      <c r="I2928" s="8">
        <f>STAMP_Escapement_Data[[#This Row],[DATE]]-DATE(STAMP_Escapement_Data[[#This Row],[YEAR]],8,1)</f>
        <v>60</v>
      </c>
    </row>
    <row r="2929" spans="1:9" x14ac:dyDescent="0.25">
      <c r="A2929" s="1">
        <v>45566</v>
      </c>
      <c r="B2929">
        <v>1001</v>
      </c>
      <c r="C2929">
        <v>2024</v>
      </c>
      <c r="D2929">
        <v>127</v>
      </c>
      <c r="E2929">
        <v>49</v>
      </c>
      <c r="F2929">
        <v>880</v>
      </c>
      <c r="G2929">
        <v>77</v>
      </c>
      <c r="H2929">
        <f>SUMIFS($F$2:F2929,$C$2:C2929,C2929)</f>
        <v>21167</v>
      </c>
      <c r="I2929" s="8">
        <f>STAMP_Escapement_Data[[#This Row],[DATE]]-DATE(STAMP_Escapement_Data[[#This Row],[YEAR]],8,1)</f>
        <v>61</v>
      </c>
    </row>
    <row r="2930" spans="1:9" x14ac:dyDescent="0.25">
      <c r="A2930" s="1">
        <v>45567</v>
      </c>
      <c r="B2930">
        <v>1002</v>
      </c>
      <c r="C2930">
        <v>2024</v>
      </c>
      <c r="D2930">
        <v>126</v>
      </c>
      <c r="E2930">
        <v>60</v>
      </c>
      <c r="F2930">
        <v>695</v>
      </c>
      <c r="G2930">
        <v>35</v>
      </c>
      <c r="H2930">
        <f>SUMIFS($F$2:F2930,$C$2:C2930,C2930)</f>
        <v>21862</v>
      </c>
      <c r="I2930" s="8">
        <f>STAMP_Escapement_Data[[#This Row],[DATE]]-DATE(STAMP_Escapement_Data[[#This Row],[YEAR]],8,1)</f>
        <v>62</v>
      </c>
    </row>
    <row r="2931" spans="1:9" x14ac:dyDescent="0.25">
      <c r="A2931" s="1">
        <v>45568</v>
      </c>
      <c r="B2931">
        <v>1003</v>
      </c>
      <c r="C2931">
        <v>2024</v>
      </c>
      <c r="D2931">
        <v>86</v>
      </c>
      <c r="E2931">
        <v>32</v>
      </c>
      <c r="F2931">
        <v>508</v>
      </c>
      <c r="G2931">
        <v>49</v>
      </c>
      <c r="H2931">
        <f>SUMIFS($F$2:F2931,$C$2:C2931,C2931)</f>
        <v>22370</v>
      </c>
      <c r="I2931" s="8">
        <f>STAMP_Escapement_Data[[#This Row],[DATE]]-DATE(STAMP_Escapement_Data[[#This Row],[YEAR]],8,1)</f>
        <v>63</v>
      </c>
    </row>
    <row r="2932" spans="1:9" x14ac:dyDescent="0.25">
      <c r="A2932" s="1">
        <v>45569</v>
      </c>
      <c r="B2932">
        <v>1004</v>
      </c>
      <c r="C2932">
        <v>2024</v>
      </c>
      <c r="D2932">
        <v>172</v>
      </c>
      <c r="E2932">
        <v>82</v>
      </c>
      <c r="F2932">
        <v>678</v>
      </c>
      <c r="G2932">
        <v>71</v>
      </c>
      <c r="H2932">
        <f>SUMIFS($F$2:F2932,$C$2:C2932,C2932)</f>
        <v>23048</v>
      </c>
      <c r="I2932" s="8">
        <f>STAMP_Escapement_Data[[#This Row],[DATE]]-DATE(STAMP_Escapement_Data[[#This Row],[YEAR]],8,1)</f>
        <v>64</v>
      </c>
    </row>
    <row r="2933" spans="1:9" x14ac:dyDescent="0.25">
      <c r="A2933" s="1">
        <v>45570</v>
      </c>
      <c r="B2933">
        <v>1005</v>
      </c>
      <c r="C2933">
        <v>2024</v>
      </c>
      <c r="D2933">
        <v>179</v>
      </c>
      <c r="E2933">
        <v>52</v>
      </c>
      <c r="F2933">
        <v>833</v>
      </c>
      <c r="G2933">
        <v>60</v>
      </c>
      <c r="H2933">
        <f>SUMIFS($F$2:F2933,$C$2:C2933,C2933)</f>
        <v>23881</v>
      </c>
      <c r="I2933" s="8">
        <f>STAMP_Escapement_Data[[#This Row],[DATE]]-DATE(STAMP_Escapement_Data[[#This Row],[YEAR]],8,1)</f>
        <v>65</v>
      </c>
    </row>
    <row r="2934" spans="1:9" x14ac:dyDescent="0.25">
      <c r="A2934" s="1">
        <v>45571</v>
      </c>
      <c r="B2934">
        <v>1006</v>
      </c>
      <c r="C2934">
        <v>2024</v>
      </c>
      <c r="D2934">
        <v>175</v>
      </c>
      <c r="E2934">
        <v>54</v>
      </c>
      <c r="F2934">
        <v>1364</v>
      </c>
      <c r="G2934">
        <v>98</v>
      </c>
      <c r="H2934">
        <f>SUMIFS($F$2:F2934,$C$2:C2934,C2934)</f>
        <v>25245</v>
      </c>
      <c r="I2934" s="8">
        <f>STAMP_Escapement_Data[[#This Row],[DATE]]-DATE(STAMP_Escapement_Data[[#This Row],[YEAR]],8,1)</f>
        <v>66</v>
      </c>
    </row>
    <row r="2935" spans="1:9" x14ac:dyDescent="0.25">
      <c r="A2935" s="1">
        <v>45572</v>
      </c>
      <c r="B2935">
        <v>1007</v>
      </c>
      <c r="C2935">
        <v>2024</v>
      </c>
      <c r="D2935">
        <v>314</v>
      </c>
      <c r="E2935">
        <v>70</v>
      </c>
      <c r="F2935">
        <v>2368</v>
      </c>
      <c r="G2935">
        <v>96</v>
      </c>
      <c r="H2935">
        <f>SUMIFS($F$2:F2935,$C$2:C2935,C2935)</f>
        <v>27613</v>
      </c>
      <c r="I2935" s="8">
        <f>STAMP_Escapement_Data[[#This Row],[DATE]]-DATE(STAMP_Escapement_Data[[#This Row],[YEAR]],8,1)</f>
        <v>67</v>
      </c>
    </row>
    <row r="2936" spans="1:9" x14ac:dyDescent="0.25">
      <c r="A2936" s="1">
        <v>45573</v>
      </c>
      <c r="B2936">
        <v>1008</v>
      </c>
      <c r="C2936">
        <v>2024</v>
      </c>
      <c r="D2936">
        <v>180</v>
      </c>
      <c r="E2936">
        <v>45</v>
      </c>
      <c r="F2936">
        <v>2321</v>
      </c>
      <c r="G2936">
        <v>197</v>
      </c>
      <c r="H2936">
        <f>SUMIFS($F$2:F2936,$C$2:C2936,C2936)</f>
        <v>29934</v>
      </c>
      <c r="I2936" s="8">
        <f>STAMP_Escapement_Data[[#This Row],[DATE]]-DATE(STAMP_Escapement_Data[[#This Row],[YEAR]],8,1)</f>
        <v>68</v>
      </c>
    </row>
    <row r="2937" spans="1:9" x14ac:dyDescent="0.25">
      <c r="A2937" s="1">
        <v>45574</v>
      </c>
      <c r="B2937">
        <v>1009</v>
      </c>
      <c r="C2937">
        <v>2024</v>
      </c>
      <c r="D2937">
        <v>228</v>
      </c>
      <c r="E2937">
        <v>37</v>
      </c>
      <c r="F2937">
        <v>3012</v>
      </c>
      <c r="G2937">
        <v>364</v>
      </c>
      <c r="H2937">
        <f>SUMIFS($F$2:F2937,$C$2:C2937,C2937)</f>
        <v>32946</v>
      </c>
      <c r="I2937" s="8">
        <f>STAMP_Escapement_Data[[#This Row],[DATE]]-DATE(STAMP_Escapement_Data[[#This Row],[YEAR]],8,1)</f>
        <v>69</v>
      </c>
    </row>
    <row r="2938" spans="1:9" x14ac:dyDescent="0.25">
      <c r="A2938" s="1">
        <v>45575</v>
      </c>
      <c r="B2938">
        <v>1010</v>
      </c>
      <c r="C2938">
        <v>2024</v>
      </c>
      <c r="D2938">
        <v>191</v>
      </c>
      <c r="E2938">
        <v>43</v>
      </c>
      <c r="F2938">
        <v>3041</v>
      </c>
      <c r="G2938">
        <v>208</v>
      </c>
      <c r="H2938">
        <f>SUMIFS($F$2:F2938,$C$2:C2938,C2938)</f>
        <v>35987</v>
      </c>
      <c r="I2938" s="8">
        <f>STAMP_Escapement_Data[[#This Row],[DATE]]-DATE(STAMP_Escapement_Data[[#This Row],[YEAR]],8,1)</f>
        <v>70</v>
      </c>
    </row>
    <row r="2939" spans="1:9" x14ac:dyDescent="0.25">
      <c r="A2939" s="1">
        <v>45576</v>
      </c>
      <c r="B2939">
        <v>1011</v>
      </c>
      <c r="C2939">
        <v>2024</v>
      </c>
      <c r="D2939">
        <v>134</v>
      </c>
      <c r="E2939">
        <v>22</v>
      </c>
      <c r="F2939">
        <v>1153</v>
      </c>
      <c r="G2939">
        <v>123</v>
      </c>
      <c r="H2939">
        <f>SUMIFS($F$2:F2939,$C$2:C2939,C2939)</f>
        <v>37140</v>
      </c>
      <c r="I2939" s="8">
        <f>STAMP_Escapement_Data[[#This Row],[DATE]]-DATE(STAMP_Escapement_Data[[#This Row],[YEAR]],8,1)</f>
        <v>71</v>
      </c>
    </row>
    <row r="2940" spans="1:9" x14ac:dyDescent="0.25">
      <c r="A2940" s="1">
        <v>45577</v>
      </c>
      <c r="B2940">
        <v>1012</v>
      </c>
      <c r="C2940">
        <v>2024</v>
      </c>
      <c r="D2940">
        <v>48</v>
      </c>
      <c r="E2940">
        <v>17</v>
      </c>
      <c r="F2940">
        <v>1097</v>
      </c>
      <c r="G2940">
        <v>102</v>
      </c>
      <c r="H2940">
        <f>SUMIFS($F$2:F2940,$C$2:C2940,C2940)</f>
        <v>38237</v>
      </c>
      <c r="I2940" s="8">
        <f>STAMP_Escapement_Data[[#This Row],[DATE]]-DATE(STAMP_Escapement_Data[[#This Row],[YEAR]],8,1)</f>
        <v>72</v>
      </c>
    </row>
    <row r="2941" spans="1:9" x14ac:dyDescent="0.25">
      <c r="A2941" s="1">
        <v>45578</v>
      </c>
      <c r="B2941">
        <v>1013</v>
      </c>
      <c r="C2941">
        <v>2024</v>
      </c>
      <c r="D2941">
        <v>116</v>
      </c>
      <c r="E2941">
        <v>36</v>
      </c>
      <c r="F2941">
        <v>1278</v>
      </c>
      <c r="G2941">
        <v>102</v>
      </c>
      <c r="H2941">
        <f>SUMIFS($F$2:F2941,$C$2:C2941,C2941)</f>
        <v>39515</v>
      </c>
      <c r="I2941" s="8">
        <f>STAMP_Escapement_Data[[#This Row],[DATE]]-DATE(STAMP_Escapement_Data[[#This Row],[YEAR]],8,1)</f>
        <v>73</v>
      </c>
    </row>
    <row r="2942" spans="1:9" x14ac:dyDescent="0.25">
      <c r="A2942" s="1">
        <v>45579</v>
      </c>
      <c r="B2942">
        <v>1014</v>
      </c>
      <c r="C2942">
        <v>2024</v>
      </c>
      <c r="D2942">
        <v>350</v>
      </c>
      <c r="E2942">
        <v>39</v>
      </c>
      <c r="F2942">
        <v>2314</v>
      </c>
      <c r="G2942">
        <v>222</v>
      </c>
      <c r="H2942">
        <f>SUMIFS($F$2:F2942,$C$2:C2942,C2942)</f>
        <v>41829</v>
      </c>
      <c r="I2942" s="8">
        <f>STAMP_Escapement_Data[[#This Row],[DATE]]-DATE(STAMP_Escapement_Data[[#This Row],[YEAR]],8,1)</f>
        <v>74</v>
      </c>
    </row>
    <row r="2943" spans="1:9" x14ac:dyDescent="0.25">
      <c r="A2943" s="1">
        <v>45580</v>
      </c>
      <c r="B2943">
        <v>1015</v>
      </c>
      <c r="C2943">
        <v>2024</v>
      </c>
      <c r="D2943">
        <v>347</v>
      </c>
      <c r="E2943">
        <v>37</v>
      </c>
      <c r="F2943">
        <v>717</v>
      </c>
      <c r="G2943">
        <v>119</v>
      </c>
      <c r="H2943">
        <f>SUMIFS($F$2:F2943,$C$2:C2943,C2943)</f>
        <v>42546</v>
      </c>
      <c r="I2943" s="8">
        <f>STAMP_Escapement_Data[[#This Row],[DATE]]-DATE(STAMP_Escapement_Data[[#This Row],[YEAR]],8,1)</f>
        <v>75</v>
      </c>
    </row>
    <row r="2944" spans="1:9" x14ac:dyDescent="0.25">
      <c r="A2944" s="1">
        <v>45581</v>
      </c>
      <c r="B2944">
        <v>1016</v>
      </c>
      <c r="C2944">
        <v>2024</v>
      </c>
      <c r="D2944">
        <v>375</v>
      </c>
      <c r="E2944">
        <v>14</v>
      </c>
      <c r="F2944">
        <v>534</v>
      </c>
      <c r="G2944">
        <v>42</v>
      </c>
      <c r="H2944">
        <f>SUMIFS($F$2:F2944,$C$2:C2944,C2944)</f>
        <v>43080</v>
      </c>
      <c r="I2944" s="8">
        <f>STAMP_Escapement_Data[[#This Row],[DATE]]-DATE(STAMP_Escapement_Data[[#This Row],[YEAR]],8,1)</f>
        <v>76</v>
      </c>
    </row>
    <row r="2945" spans="1:9" x14ac:dyDescent="0.25">
      <c r="A2945" s="1">
        <v>45582</v>
      </c>
      <c r="B2945">
        <v>1017</v>
      </c>
      <c r="C2945">
        <v>2024</v>
      </c>
      <c r="D2945">
        <v>33</v>
      </c>
      <c r="E2945">
        <v>13</v>
      </c>
      <c r="F2945">
        <v>320</v>
      </c>
      <c r="G2945">
        <v>86</v>
      </c>
      <c r="H2945">
        <f>SUMIFS($F$2:F2945,$C$2:C2945,C2945)</f>
        <v>43400</v>
      </c>
      <c r="I2945" s="8">
        <f>STAMP_Escapement_Data[[#This Row],[DATE]]-DATE(STAMP_Escapement_Data[[#This Row],[YEAR]],8,1)</f>
        <v>77</v>
      </c>
    </row>
    <row r="2946" spans="1:9" x14ac:dyDescent="0.25">
      <c r="A2946" s="1">
        <v>45583</v>
      </c>
      <c r="B2946">
        <v>1018</v>
      </c>
      <c r="C2946">
        <v>2024</v>
      </c>
      <c r="D2946">
        <v>39</v>
      </c>
      <c r="E2946">
        <v>12</v>
      </c>
      <c r="F2946">
        <v>282</v>
      </c>
      <c r="G2946">
        <v>75</v>
      </c>
      <c r="H2946">
        <f>SUMIFS($F$2:F2946,$C$2:C2946,C2946)</f>
        <v>43682</v>
      </c>
      <c r="I2946" s="8">
        <f>STAMP_Escapement_Data[[#This Row],[DATE]]-DATE(STAMP_Escapement_Data[[#This Row],[YEAR]],8,1)</f>
        <v>78</v>
      </c>
    </row>
    <row r="2947" spans="1:9" x14ac:dyDescent="0.25">
      <c r="A2947" s="1">
        <v>45584</v>
      </c>
      <c r="B2947">
        <v>1019</v>
      </c>
      <c r="C2947">
        <v>2024</v>
      </c>
      <c r="D2947">
        <v>45</v>
      </c>
      <c r="E2947">
        <v>10</v>
      </c>
      <c r="F2947">
        <v>244</v>
      </c>
      <c r="G2947">
        <v>64</v>
      </c>
      <c r="H2947">
        <f>SUMIFS($F$2:F2947,$C$2:C2947,C2947)</f>
        <v>43926</v>
      </c>
      <c r="I2947" s="8">
        <f>STAMP_Escapement_Data[[#This Row],[DATE]]-DATE(STAMP_Escapement_Data[[#This Row],[YEAR]],8,1)</f>
        <v>79</v>
      </c>
    </row>
    <row r="2948" spans="1:9" x14ac:dyDescent="0.25">
      <c r="A2948" s="1">
        <v>45585</v>
      </c>
      <c r="B2948">
        <v>1020</v>
      </c>
      <c r="C2948">
        <v>2024</v>
      </c>
      <c r="D2948">
        <v>51</v>
      </c>
      <c r="E2948">
        <v>9</v>
      </c>
      <c r="F2948">
        <v>206</v>
      </c>
      <c r="G2948">
        <v>53</v>
      </c>
      <c r="H2948">
        <f>SUMIFS($F$2:F2948,$C$2:C2948,C2948)</f>
        <v>44132</v>
      </c>
      <c r="I2948" s="8">
        <f>STAMP_Escapement_Data[[#This Row],[DATE]]-DATE(STAMP_Escapement_Data[[#This Row],[YEAR]],8,1)</f>
        <v>80</v>
      </c>
    </row>
    <row r="2949" spans="1:9" x14ac:dyDescent="0.25">
      <c r="A2949" s="1">
        <v>45586</v>
      </c>
      <c r="B2949">
        <v>1021</v>
      </c>
      <c r="C2949">
        <v>2024</v>
      </c>
      <c r="D2949">
        <v>57</v>
      </c>
      <c r="E2949">
        <v>8</v>
      </c>
      <c r="F2949">
        <v>168</v>
      </c>
      <c r="G2949">
        <v>43</v>
      </c>
      <c r="H2949">
        <f>SUMIFS($F$2:F2949,$C$2:C2949,C2949)</f>
        <v>44300</v>
      </c>
      <c r="I2949" s="8">
        <f>STAMP_Escapement_Data[[#This Row],[DATE]]-DATE(STAMP_Escapement_Data[[#This Row],[YEAR]],8,1)</f>
        <v>81</v>
      </c>
    </row>
    <row r="2950" spans="1:9" x14ac:dyDescent="0.25">
      <c r="A2950" s="1">
        <v>45587</v>
      </c>
      <c r="B2950">
        <v>1022</v>
      </c>
      <c r="C2950">
        <v>2024</v>
      </c>
      <c r="D2950">
        <v>63</v>
      </c>
      <c r="E2950">
        <v>7</v>
      </c>
      <c r="F2950">
        <v>129</v>
      </c>
      <c r="G2950">
        <v>32</v>
      </c>
      <c r="H2950">
        <f>SUMIFS($F$2:F2950,$C$2:C2950,C2950)</f>
        <v>44429</v>
      </c>
      <c r="I2950" s="8">
        <f>STAMP_Escapement_Data[[#This Row],[DATE]]-DATE(STAMP_Escapement_Data[[#This Row],[YEAR]],8,1)</f>
        <v>82</v>
      </c>
    </row>
    <row r="2951" spans="1:9" x14ac:dyDescent="0.25">
      <c r="A2951" s="1">
        <v>45588</v>
      </c>
      <c r="B2951">
        <v>1023</v>
      </c>
      <c r="C2951">
        <v>2024</v>
      </c>
      <c r="D2951">
        <v>69</v>
      </c>
      <c r="E2951">
        <v>5</v>
      </c>
      <c r="F2951">
        <v>91</v>
      </c>
      <c r="G2951">
        <v>21</v>
      </c>
      <c r="H2951">
        <f>SUMIFS($F$2:F2951,$C$2:C2951,C2951)</f>
        <v>44520</v>
      </c>
      <c r="I2951" s="8">
        <f>STAMP_Escapement_Data[[#This Row],[DATE]]-DATE(STAMP_Escapement_Data[[#This Row],[YEAR]],8,1)</f>
        <v>83</v>
      </c>
    </row>
    <row r="2952" spans="1:9" x14ac:dyDescent="0.25">
      <c r="A2952" s="1">
        <v>45589</v>
      </c>
      <c r="B2952">
        <v>1024</v>
      </c>
      <c r="C2952">
        <v>2024</v>
      </c>
      <c r="D2952">
        <v>58</v>
      </c>
      <c r="E2952">
        <v>1</v>
      </c>
      <c r="F2952">
        <v>61</v>
      </c>
      <c r="G2952">
        <v>24</v>
      </c>
      <c r="H2952">
        <f>SUMIFS($F$2:F2952,$C$2:C2952,C2952)</f>
        <v>44581</v>
      </c>
      <c r="I2952" s="8">
        <f>STAMP_Escapement_Data[[#This Row],[DATE]]-DATE(STAMP_Escapement_Data[[#This Row],[YEAR]],8,1)</f>
        <v>84</v>
      </c>
    </row>
    <row r="2953" spans="1:9" x14ac:dyDescent="0.25">
      <c r="A2953" s="1">
        <v>45590</v>
      </c>
      <c r="B2953">
        <v>1025</v>
      </c>
      <c r="C2953">
        <v>2024</v>
      </c>
      <c r="D2953">
        <v>29</v>
      </c>
      <c r="E2953">
        <v>4</v>
      </c>
      <c r="F2953">
        <v>53</v>
      </c>
      <c r="G2953">
        <v>14</v>
      </c>
      <c r="H2953">
        <f>SUMIFS($F$2:F2953,$C$2:C2953,C2953)</f>
        <v>44634</v>
      </c>
      <c r="I2953" s="8">
        <f>STAMP_Escapement_Data[[#This Row],[DATE]]-DATE(STAMP_Escapement_Data[[#This Row],[YEAR]],8,1)</f>
        <v>85</v>
      </c>
    </row>
    <row r="2954" spans="1:9" x14ac:dyDescent="0.25">
      <c r="A2954" s="1">
        <v>45591</v>
      </c>
      <c r="B2954">
        <v>1026</v>
      </c>
      <c r="C2954">
        <v>2024</v>
      </c>
      <c r="D2954">
        <v>8</v>
      </c>
      <c r="E2954">
        <v>2</v>
      </c>
      <c r="F2954">
        <v>15</v>
      </c>
      <c r="G2954">
        <v>8</v>
      </c>
      <c r="H2954">
        <f>SUMIFS($F$2:F2954,$C$2:C2954,C2954)</f>
        <v>44649</v>
      </c>
      <c r="I2954" s="8">
        <f>STAMP_Escapement_Data[[#This Row],[DATE]]-DATE(STAMP_Escapement_Data[[#This Row],[YEAR]],8,1)</f>
        <v>86</v>
      </c>
    </row>
    <row r="2955" spans="1:9" x14ac:dyDescent="0.25">
      <c r="A2955" s="1">
        <v>45592</v>
      </c>
      <c r="B2955">
        <v>1027</v>
      </c>
      <c r="C2955">
        <v>2024</v>
      </c>
      <c r="D2955">
        <v>6</v>
      </c>
      <c r="E2955">
        <v>6</v>
      </c>
      <c r="F2955">
        <v>0</v>
      </c>
      <c r="G2955">
        <v>0</v>
      </c>
      <c r="H2955">
        <f>SUMIFS($F$2:F2955,$C$2:C2955,C2955)</f>
        <v>44649</v>
      </c>
      <c r="I2955" s="8">
        <f>STAMP_Escapement_Data[[#This Row],[DATE]]-DATE(STAMP_Escapement_Data[[#This Row],[YEAR]],8,1)</f>
        <v>87</v>
      </c>
    </row>
    <row r="2956" spans="1:9" x14ac:dyDescent="0.25">
      <c r="A2956" s="1">
        <v>45593</v>
      </c>
      <c r="B2956">
        <v>1028</v>
      </c>
      <c r="C2956">
        <v>2024</v>
      </c>
      <c r="D2956">
        <v>2</v>
      </c>
      <c r="E2956">
        <v>0</v>
      </c>
      <c r="F2956">
        <v>2</v>
      </c>
      <c r="G2956">
        <v>0</v>
      </c>
      <c r="H2956">
        <f>SUMIFS($F$2:F2956,$C$2:C2956,C2956)</f>
        <v>44651</v>
      </c>
      <c r="I2956" s="8">
        <f>STAMP_Escapement_Data[[#This Row],[DATE]]-DATE(STAMP_Escapement_Data[[#This Row],[YEAR]],8,1)</f>
        <v>88</v>
      </c>
    </row>
    <row r="2957" spans="1:9" x14ac:dyDescent="0.25">
      <c r="A2957" s="1">
        <v>45594</v>
      </c>
      <c r="B2957">
        <v>1029</v>
      </c>
      <c r="C2957">
        <v>2024</v>
      </c>
      <c r="D2957">
        <v>10</v>
      </c>
      <c r="E2957">
        <v>1</v>
      </c>
      <c r="F2957">
        <v>2</v>
      </c>
      <c r="G2957">
        <v>1</v>
      </c>
      <c r="H2957">
        <f>SUMIFS($F$2:F2957,$C$2:C2957,C2957)</f>
        <v>44653</v>
      </c>
      <c r="I2957" s="8">
        <f>STAMP_Escapement_Data[[#This Row],[DATE]]-DATE(STAMP_Escapement_Data[[#This Row],[YEAR]],8,1)</f>
        <v>89</v>
      </c>
    </row>
    <row r="2958" spans="1:9" ht="18.75" x14ac:dyDescent="0.25">
      <c r="A2958" s="3">
        <v>45846</v>
      </c>
      <c r="B2958" s="4" t="str">
        <f t="shared" ref="B2958:B2987" si="0">CONCATENATE(TEXT(A2958,"mm"),TEXT(A2958,"dd"))</f>
        <v>0708</v>
      </c>
      <c r="C2958" s="5">
        <f t="shared" ref="C2958:C2987" si="1">YEAR(A2958)</f>
        <v>2025</v>
      </c>
      <c r="D2958" s="6">
        <v>2</v>
      </c>
      <c r="E2958" s="6">
        <v>0</v>
      </c>
      <c r="F2958" s="6">
        <v>0</v>
      </c>
      <c r="G2958" s="6">
        <v>0</v>
      </c>
      <c r="H2958">
        <f>SUMIFS($F$2:F2958,$C$2:C2958,C2958)</f>
        <v>0</v>
      </c>
      <c r="I2958" s="8">
        <f>STAMP_Escapement_Data[[#This Row],[DATE]]-DATE(STAMP_Escapement_Data[[#This Row],[YEAR]],8,1)</f>
        <v>-24</v>
      </c>
    </row>
    <row r="2959" spans="1:9" ht="18.75" x14ac:dyDescent="0.25">
      <c r="A2959" s="3">
        <v>45847</v>
      </c>
      <c r="B2959" s="4" t="str">
        <f t="shared" si="0"/>
        <v>0709</v>
      </c>
      <c r="C2959" s="5">
        <f t="shared" si="1"/>
        <v>2025</v>
      </c>
      <c r="D2959" s="6">
        <v>0</v>
      </c>
      <c r="E2959" s="6">
        <v>0</v>
      </c>
      <c r="F2959" s="6">
        <v>0</v>
      </c>
      <c r="G2959" s="6">
        <v>0</v>
      </c>
      <c r="H2959">
        <f>SUMIFS($F$2:F2959,$C$2:C2959,C2959)</f>
        <v>0</v>
      </c>
      <c r="I2959" s="8">
        <f>STAMP_Escapement_Data[[#This Row],[DATE]]-DATE(STAMP_Escapement_Data[[#This Row],[YEAR]],8,1)</f>
        <v>-23</v>
      </c>
    </row>
    <row r="2960" spans="1:9" ht="18.75" x14ac:dyDescent="0.25">
      <c r="A2960" s="3">
        <v>45848</v>
      </c>
      <c r="B2960" s="4" t="str">
        <f t="shared" si="0"/>
        <v>0710</v>
      </c>
      <c r="C2960" s="5">
        <f t="shared" si="1"/>
        <v>2025</v>
      </c>
      <c r="D2960" s="6">
        <v>0</v>
      </c>
      <c r="E2960" s="6">
        <v>0</v>
      </c>
      <c r="F2960" s="6">
        <v>0</v>
      </c>
      <c r="G2960" s="6">
        <v>0</v>
      </c>
      <c r="H2960">
        <f>SUMIFS($F$2:F2960,$C$2:C2960,C2960)</f>
        <v>0</v>
      </c>
      <c r="I2960" s="8">
        <f>STAMP_Escapement_Data[[#This Row],[DATE]]-DATE(STAMP_Escapement_Data[[#This Row],[YEAR]],8,1)</f>
        <v>-22</v>
      </c>
    </row>
    <row r="2961" spans="1:9" ht="18.75" x14ac:dyDescent="0.25">
      <c r="A2961" s="3">
        <v>45849</v>
      </c>
      <c r="B2961" s="4" t="str">
        <f t="shared" si="0"/>
        <v>0711</v>
      </c>
      <c r="C2961" s="5">
        <f t="shared" si="1"/>
        <v>2025</v>
      </c>
      <c r="D2961" s="6">
        <v>0</v>
      </c>
      <c r="E2961" s="6">
        <v>0</v>
      </c>
      <c r="F2961" s="6">
        <v>0</v>
      </c>
      <c r="G2961" s="6">
        <v>0</v>
      </c>
      <c r="H2961">
        <f>SUMIFS($F$2:F2961,$C$2:C2961,C2961)</f>
        <v>0</v>
      </c>
      <c r="I2961" s="8">
        <f>STAMP_Escapement_Data[[#This Row],[DATE]]-DATE(STAMP_Escapement_Data[[#This Row],[YEAR]],8,1)</f>
        <v>-21</v>
      </c>
    </row>
    <row r="2962" spans="1:9" ht="18.75" x14ac:dyDescent="0.25">
      <c r="A2962" s="3">
        <v>45850</v>
      </c>
      <c r="B2962" s="4" t="str">
        <f t="shared" si="0"/>
        <v>0712</v>
      </c>
      <c r="C2962" s="5">
        <f t="shared" si="1"/>
        <v>2025</v>
      </c>
      <c r="D2962" s="6">
        <v>0</v>
      </c>
      <c r="E2962" s="6">
        <v>0</v>
      </c>
      <c r="F2962" s="6">
        <v>0</v>
      </c>
      <c r="G2962" s="6">
        <v>0</v>
      </c>
      <c r="H2962">
        <f>SUMIFS($F$2:F2962,$C$2:C2962,C2962)</f>
        <v>0</v>
      </c>
      <c r="I2962" s="8">
        <f>STAMP_Escapement_Data[[#This Row],[DATE]]-DATE(STAMP_Escapement_Data[[#This Row],[YEAR]],8,1)</f>
        <v>-20</v>
      </c>
    </row>
    <row r="2963" spans="1:9" ht="18.75" x14ac:dyDescent="0.25">
      <c r="A2963" s="3">
        <v>45851</v>
      </c>
      <c r="B2963" s="4" t="str">
        <f t="shared" si="0"/>
        <v>0713</v>
      </c>
      <c r="C2963" s="5">
        <f t="shared" si="1"/>
        <v>2025</v>
      </c>
      <c r="D2963" s="6">
        <v>4</v>
      </c>
      <c r="E2963" s="6">
        <v>0</v>
      </c>
      <c r="F2963" s="6">
        <v>0</v>
      </c>
      <c r="G2963" s="6">
        <v>0</v>
      </c>
      <c r="H2963">
        <f>SUMIFS($F$2:F2963,$C$2:C2963,C2963)</f>
        <v>0</v>
      </c>
      <c r="I2963" s="8">
        <f>STAMP_Escapement_Data[[#This Row],[DATE]]-DATE(STAMP_Escapement_Data[[#This Row],[YEAR]],8,1)</f>
        <v>-19</v>
      </c>
    </row>
    <row r="2964" spans="1:9" ht="18.75" x14ac:dyDescent="0.25">
      <c r="A2964" s="3">
        <v>45852</v>
      </c>
      <c r="B2964" s="4" t="str">
        <f t="shared" si="0"/>
        <v>0714</v>
      </c>
      <c r="C2964" s="5">
        <f t="shared" si="1"/>
        <v>2025</v>
      </c>
      <c r="D2964" s="6">
        <v>0</v>
      </c>
      <c r="E2964" s="6">
        <v>0</v>
      </c>
      <c r="F2964" s="6">
        <v>2</v>
      </c>
      <c r="G2964" s="6">
        <v>0</v>
      </c>
      <c r="H2964">
        <f>SUMIFS($F$2:F2964,$C$2:C2964,C2964)</f>
        <v>2</v>
      </c>
      <c r="I2964" s="8">
        <f>STAMP_Escapement_Data[[#This Row],[DATE]]-DATE(STAMP_Escapement_Data[[#This Row],[YEAR]],8,1)</f>
        <v>-18</v>
      </c>
    </row>
    <row r="2965" spans="1:9" ht="18.75" x14ac:dyDescent="0.25">
      <c r="A2965" s="3">
        <v>45853</v>
      </c>
      <c r="B2965" s="4" t="str">
        <f t="shared" si="0"/>
        <v>0715</v>
      </c>
      <c r="C2965" s="5">
        <f t="shared" si="1"/>
        <v>2025</v>
      </c>
      <c r="D2965" s="6">
        <v>0</v>
      </c>
      <c r="E2965" s="6">
        <v>0</v>
      </c>
      <c r="F2965" s="6">
        <v>0</v>
      </c>
      <c r="G2965" s="6">
        <v>0</v>
      </c>
      <c r="H2965">
        <f>SUMIFS($F$2:F2965,$C$2:C2965,C2965)</f>
        <v>2</v>
      </c>
      <c r="I2965" s="8">
        <f>STAMP_Escapement_Data[[#This Row],[DATE]]-DATE(STAMP_Escapement_Data[[#This Row],[YEAR]],8,1)</f>
        <v>-17</v>
      </c>
    </row>
    <row r="2966" spans="1:9" ht="18.75" x14ac:dyDescent="0.25">
      <c r="A2966" s="3">
        <v>45854</v>
      </c>
      <c r="B2966" s="4" t="str">
        <f t="shared" si="0"/>
        <v>0716</v>
      </c>
      <c r="C2966" s="5">
        <f t="shared" si="1"/>
        <v>2025</v>
      </c>
      <c r="D2966" s="6">
        <v>0</v>
      </c>
      <c r="E2966" s="6">
        <v>0</v>
      </c>
      <c r="F2966" s="6">
        <v>0</v>
      </c>
      <c r="G2966" s="6">
        <v>0</v>
      </c>
      <c r="H2966">
        <f>SUMIFS($F$2:F2966,$C$2:C2966,C2966)</f>
        <v>2</v>
      </c>
      <c r="I2966" s="8">
        <f>STAMP_Escapement_Data[[#This Row],[DATE]]-DATE(STAMP_Escapement_Data[[#This Row],[YEAR]],8,1)</f>
        <v>-16</v>
      </c>
    </row>
    <row r="2967" spans="1:9" ht="18.75" x14ac:dyDescent="0.25">
      <c r="A2967" s="3">
        <v>45855</v>
      </c>
      <c r="B2967" s="4" t="str">
        <f t="shared" si="0"/>
        <v>0717</v>
      </c>
      <c r="C2967" s="5">
        <f t="shared" si="1"/>
        <v>2025</v>
      </c>
      <c r="D2967" s="6">
        <v>0</v>
      </c>
      <c r="E2967" s="6">
        <v>0</v>
      </c>
      <c r="F2967" s="6">
        <v>0</v>
      </c>
      <c r="G2967" s="6">
        <v>0</v>
      </c>
      <c r="H2967">
        <f>SUMIFS($F$2:F2967,$C$2:C2967,C2967)</f>
        <v>2</v>
      </c>
      <c r="I2967" s="8">
        <f>STAMP_Escapement_Data[[#This Row],[DATE]]-DATE(STAMP_Escapement_Data[[#This Row],[YEAR]],8,1)</f>
        <v>-15</v>
      </c>
    </row>
    <row r="2968" spans="1:9" ht="18.75" x14ac:dyDescent="0.25">
      <c r="A2968" s="3">
        <v>45856</v>
      </c>
      <c r="B2968" s="4" t="str">
        <f t="shared" si="0"/>
        <v>0718</v>
      </c>
      <c r="C2968" s="5">
        <f t="shared" si="1"/>
        <v>2025</v>
      </c>
      <c r="D2968" s="6">
        <v>1</v>
      </c>
      <c r="E2968" s="6">
        <v>0</v>
      </c>
      <c r="F2968" s="6">
        <v>0</v>
      </c>
      <c r="G2968" s="6">
        <v>0</v>
      </c>
      <c r="H2968">
        <f>SUMIFS($F$2:F2968,$C$2:C2968,C2968)</f>
        <v>2</v>
      </c>
      <c r="I2968" s="8">
        <f>STAMP_Escapement_Data[[#This Row],[DATE]]-DATE(STAMP_Escapement_Data[[#This Row],[YEAR]],8,1)</f>
        <v>-14</v>
      </c>
    </row>
    <row r="2969" spans="1:9" ht="18.75" x14ac:dyDescent="0.25">
      <c r="A2969" s="3">
        <v>45857</v>
      </c>
      <c r="B2969" s="4" t="str">
        <f t="shared" si="0"/>
        <v>0719</v>
      </c>
      <c r="C2969" s="5">
        <f t="shared" si="1"/>
        <v>2025</v>
      </c>
      <c r="D2969" s="6">
        <v>0</v>
      </c>
      <c r="E2969" s="6">
        <v>0</v>
      </c>
      <c r="F2969" s="6">
        <v>0</v>
      </c>
      <c r="G2969" s="6">
        <v>0</v>
      </c>
      <c r="H2969">
        <f>SUMIFS($F$2:F2969,$C$2:C2969,C2969)</f>
        <v>2</v>
      </c>
      <c r="I2969" s="8">
        <f>STAMP_Escapement_Data[[#This Row],[DATE]]-DATE(STAMP_Escapement_Data[[#This Row],[YEAR]],8,1)</f>
        <v>-13</v>
      </c>
    </row>
    <row r="2970" spans="1:9" ht="18.75" x14ac:dyDescent="0.25">
      <c r="A2970" s="3">
        <v>45858</v>
      </c>
      <c r="B2970" s="4" t="str">
        <f t="shared" si="0"/>
        <v>0720</v>
      </c>
      <c r="C2970" s="5">
        <f t="shared" si="1"/>
        <v>2025</v>
      </c>
      <c r="D2970" s="6">
        <v>0</v>
      </c>
      <c r="E2970" s="6">
        <v>0</v>
      </c>
      <c r="F2970" s="6">
        <v>0</v>
      </c>
      <c r="G2970" s="6">
        <v>0</v>
      </c>
      <c r="H2970">
        <f>SUMIFS($F$2:F2970,$C$2:C2970,C2970)</f>
        <v>2</v>
      </c>
      <c r="I2970" s="8">
        <f>STAMP_Escapement_Data[[#This Row],[DATE]]-DATE(STAMP_Escapement_Data[[#This Row],[YEAR]],8,1)</f>
        <v>-12</v>
      </c>
    </row>
    <row r="2971" spans="1:9" ht="18.75" x14ac:dyDescent="0.25">
      <c r="A2971" s="3">
        <v>45859</v>
      </c>
      <c r="B2971" s="4" t="str">
        <f t="shared" si="0"/>
        <v>0721</v>
      </c>
      <c r="C2971" s="5">
        <f t="shared" si="1"/>
        <v>2025</v>
      </c>
      <c r="D2971" s="6">
        <v>3</v>
      </c>
      <c r="E2971" s="6">
        <v>0</v>
      </c>
      <c r="F2971" s="6">
        <v>0</v>
      </c>
      <c r="G2971" s="6">
        <v>0</v>
      </c>
      <c r="H2971">
        <f>SUMIFS($F$2:F2971,$C$2:C2971,C2971)</f>
        <v>2</v>
      </c>
      <c r="I2971" s="8">
        <f>STAMP_Escapement_Data[[#This Row],[DATE]]-DATE(STAMP_Escapement_Data[[#This Row],[YEAR]],8,1)</f>
        <v>-11</v>
      </c>
    </row>
    <row r="2972" spans="1:9" ht="18.75" x14ac:dyDescent="0.25">
      <c r="A2972" s="3">
        <v>45860</v>
      </c>
      <c r="B2972" s="4" t="str">
        <f t="shared" si="0"/>
        <v>0722</v>
      </c>
      <c r="C2972" s="5">
        <f t="shared" si="1"/>
        <v>2025</v>
      </c>
      <c r="D2972" s="6">
        <v>0</v>
      </c>
      <c r="E2972" s="6">
        <v>2</v>
      </c>
      <c r="F2972" s="6">
        <v>3</v>
      </c>
      <c r="G2972" s="6">
        <v>0</v>
      </c>
      <c r="H2972">
        <f>SUMIFS($F$2:F2972,$C$2:C2972,C2972)</f>
        <v>5</v>
      </c>
      <c r="I2972" s="8">
        <f>STAMP_Escapement_Data[[#This Row],[DATE]]-DATE(STAMP_Escapement_Data[[#This Row],[YEAR]],8,1)</f>
        <v>-10</v>
      </c>
    </row>
    <row r="2973" spans="1:9" ht="18.75" x14ac:dyDescent="0.25">
      <c r="A2973" s="3">
        <v>45861</v>
      </c>
      <c r="B2973" s="4" t="str">
        <f t="shared" si="0"/>
        <v>0723</v>
      </c>
      <c r="C2973" s="5">
        <f t="shared" si="1"/>
        <v>2025</v>
      </c>
      <c r="D2973" s="6">
        <v>4</v>
      </c>
      <c r="E2973" s="6">
        <v>2</v>
      </c>
      <c r="F2973" s="6">
        <v>0</v>
      </c>
      <c r="G2973" s="6">
        <v>0</v>
      </c>
      <c r="H2973">
        <f>SUMIFS($F$2:F2973,$C$2:C2973,C2973)</f>
        <v>5</v>
      </c>
      <c r="I2973" s="8">
        <f>STAMP_Escapement_Data[[#This Row],[DATE]]-DATE(STAMP_Escapement_Data[[#This Row],[YEAR]],8,1)</f>
        <v>-9</v>
      </c>
    </row>
    <row r="2974" spans="1:9" ht="18.75" x14ac:dyDescent="0.25">
      <c r="A2974" s="3">
        <v>45862</v>
      </c>
      <c r="B2974" s="4" t="str">
        <f t="shared" si="0"/>
        <v>0724</v>
      </c>
      <c r="C2974" s="5">
        <f t="shared" si="1"/>
        <v>2025</v>
      </c>
      <c r="D2974" s="6">
        <v>8</v>
      </c>
      <c r="E2974" s="6">
        <v>0</v>
      </c>
      <c r="F2974" s="6">
        <v>3</v>
      </c>
      <c r="G2974" s="6">
        <v>0</v>
      </c>
      <c r="H2974">
        <f>SUMIFS($F$2:F2974,$C$2:C2974,C2974)</f>
        <v>8</v>
      </c>
      <c r="I2974" s="8">
        <f>STAMP_Escapement_Data[[#This Row],[DATE]]-DATE(STAMP_Escapement_Data[[#This Row],[YEAR]],8,1)</f>
        <v>-8</v>
      </c>
    </row>
    <row r="2975" spans="1:9" ht="18.75" x14ac:dyDescent="0.25">
      <c r="A2975" s="3">
        <v>45863</v>
      </c>
      <c r="B2975" s="4" t="str">
        <f t="shared" si="0"/>
        <v>0725</v>
      </c>
      <c r="C2975" s="5">
        <f t="shared" si="1"/>
        <v>2025</v>
      </c>
      <c r="D2975" s="6">
        <v>5</v>
      </c>
      <c r="E2975" s="6">
        <v>0</v>
      </c>
      <c r="F2975" s="6">
        <v>1</v>
      </c>
      <c r="G2975" s="6">
        <v>0</v>
      </c>
      <c r="H2975">
        <f>SUMIFS($F$2:F2975,$C$2:C2975,C2975)</f>
        <v>9</v>
      </c>
      <c r="I2975" s="8">
        <f>STAMP_Escapement_Data[[#This Row],[DATE]]-DATE(STAMP_Escapement_Data[[#This Row],[YEAR]],8,1)</f>
        <v>-7</v>
      </c>
    </row>
    <row r="2976" spans="1:9" ht="18.75" x14ac:dyDescent="0.25">
      <c r="A2976" s="3">
        <v>45864</v>
      </c>
      <c r="B2976" s="4" t="str">
        <f t="shared" si="0"/>
        <v>0726</v>
      </c>
      <c r="C2976" s="5">
        <f t="shared" si="1"/>
        <v>2025</v>
      </c>
      <c r="D2976" s="6">
        <v>2</v>
      </c>
      <c r="E2976" s="6">
        <v>0</v>
      </c>
      <c r="F2976" s="6">
        <v>0</v>
      </c>
      <c r="G2976" s="6">
        <v>0</v>
      </c>
      <c r="H2976">
        <f>SUMIFS($F$2:F2976,$C$2:C2976,C2976)</f>
        <v>9</v>
      </c>
      <c r="I2976" s="8">
        <f>STAMP_Escapement_Data[[#This Row],[DATE]]-DATE(STAMP_Escapement_Data[[#This Row],[YEAR]],8,1)</f>
        <v>-6</v>
      </c>
    </row>
    <row r="2977" spans="1:9" ht="18.75" x14ac:dyDescent="0.25">
      <c r="A2977" s="3">
        <v>45865</v>
      </c>
      <c r="B2977" s="4" t="str">
        <f t="shared" si="0"/>
        <v>0727</v>
      </c>
      <c r="C2977" s="5">
        <f t="shared" si="1"/>
        <v>2025</v>
      </c>
      <c r="D2977" s="6">
        <v>1</v>
      </c>
      <c r="E2977" s="6">
        <v>0</v>
      </c>
      <c r="F2977" s="6">
        <v>0</v>
      </c>
      <c r="G2977" s="6">
        <v>0</v>
      </c>
      <c r="H2977">
        <f>SUMIFS($F$2:F2977,$C$2:C2977,C2977)</f>
        <v>9</v>
      </c>
      <c r="I2977" s="8">
        <f>STAMP_Escapement_Data[[#This Row],[DATE]]-DATE(STAMP_Escapement_Data[[#This Row],[YEAR]],8,1)</f>
        <v>-5</v>
      </c>
    </row>
    <row r="2978" spans="1:9" ht="18.75" x14ac:dyDescent="0.25">
      <c r="A2978" s="3">
        <v>45866</v>
      </c>
      <c r="B2978" s="4" t="str">
        <f t="shared" si="0"/>
        <v>0728</v>
      </c>
      <c r="C2978" s="5">
        <f t="shared" si="1"/>
        <v>2025</v>
      </c>
      <c r="D2978" s="6">
        <v>1</v>
      </c>
      <c r="E2978" s="6">
        <v>0</v>
      </c>
      <c r="F2978" s="6">
        <v>0</v>
      </c>
      <c r="G2978" s="6">
        <v>0</v>
      </c>
      <c r="H2978">
        <f>SUMIFS($F$2:F2978,$C$2:C2978,C2978)</f>
        <v>9</v>
      </c>
      <c r="I2978" s="8">
        <f>STAMP_Escapement_Data[[#This Row],[DATE]]-DATE(STAMP_Escapement_Data[[#This Row],[YEAR]],8,1)</f>
        <v>-4</v>
      </c>
    </row>
    <row r="2979" spans="1:9" ht="18.75" x14ac:dyDescent="0.25">
      <c r="A2979" s="3">
        <v>45867</v>
      </c>
      <c r="B2979" s="4" t="str">
        <f t="shared" si="0"/>
        <v>0729</v>
      </c>
      <c r="C2979" s="5">
        <f t="shared" si="1"/>
        <v>2025</v>
      </c>
      <c r="D2979" s="6">
        <v>16</v>
      </c>
      <c r="E2979" s="6">
        <v>0</v>
      </c>
      <c r="F2979" s="6">
        <v>9</v>
      </c>
      <c r="G2979" s="6">
        <v>0</v>
      </c>
      <c r="H2979">
        <f>SUMIFS($F$2:F2979,$C$2:C2979,C2979)</f>
        <v>18</v>
      </c>
      <c r="I2979" s="8">
        <f>STAMP_Escapement_Data[[#This Row],[DATE]]-DATE(STAMP_Escapement_Data[[#This Row],[YEAR]],8,1)</f>
        <v>-3</v>
      </c>
    </row>
    <row r="2980" spans="1:9" ht="18.75" x14ac:dyDescent="0.25">
      <c r="A2980" s="3">
        <v>45868</v>
      </c>
      <c r="B2980" s="4" t="str">
        <f t="shared" si="0"/>
        <v>0730</v>
      </c>
      <c r="C2980" s="5">
        <f t="shared" si="1"/>
        <v>2025</v>
      </c>
      <c r="D2980" s="6">
        <v>6</v>
      </c>
      <c r="E2980" s="6">
        <v>0</v>
      </c>
      <c r="F2980" s="6">
        <v>0</v>
      </c>
      <c r="G2980" s="6">
        <v>0</v>
      </c>
      <c r="H2980">
        <f>SUMIFS($F$2:F2980,$C$2:C2980,C2980)</f>
        <v>18</v>
      </c>
      <c r="I2980" s="8">
        <f>STAMP_Escapement_Data[[#This Row],[DATE]]-DATE(STAMP_Escapement_Data[[#This Row],[YEAR]],8,1)</f>
        <v>-2</v>
      </c>
    </row>
    <row r="2981" spans="1:9" ht="18.75" x14ac:dyDescent="0.25">
      <c r="A2981" s="3">
        <v>45869</v>
      </c>
      <c r="B2981" s="4" t="str">
        <f t="shared" si="0"/>
        <v>0731</v>
      </c>
      <c r="C2981" s="5">
        <f t="shared" si="1"/>
        <v>2025</v>
      </c>
      <c r="D2981" s="6">
        <v>60</v>
      </c>
      <c r="E2981" s="6">
        <v>3</v>
      </c>
      <c r="F2981" s="6">
        <v>0</v>
      </c>
      <c r="G2981" s="6">
        <v>0</v>
      </c>
      <c r="H2981">
        <f>SUMIFS($F$2:F2981,$C$2:C2981,C2981)</f>
        <v>18</v>
      </c>
      <c r="I2981" s="8">
        <f>STAMP_Escapement_Data[[#This Row],[DATE]]-DATE(STAMP_Escapement_Data[[#This Row],[YEAR]],8,1)</f>
        <v>-1</v>
      </c>
    </row>
    <row r="2982" spans="1:9" ht="18.75" x14ac:dyDescent="0.25">
      <c r="A2982" s="3">
        <v>45870</v>
      </c>
      <c r="B2982" s="4" t="str">
        <f t="shared" si="0"/>
        <v>0801</v>
      </c>
      <c r="C2982" s="5">
        <f t="shared" si="1"/>
        <v>2025</v>
      </c>
      <c r="D2982" s="6">
        <v>9</v>
      </c>
      <c r="E2982" s="6">
        <v>0</v>
      </c>
      <c r="F2982" s="6">
        <v>3</v>
      </c>
      <c r="G2982" s="6">
        <v>3</v>
      </c>
      <c r="H2982">
        <f>SUMIFS($F$2:F2982,$C$2:C2982,C2982)</f>
        <v>21</v>
      </c>
      <c r="I2982" s="8">
        <f>STAMP_Escapement_Data[[#This Row],[DATE]]-DATE(STAMP_Escapement_Data[[#This Row],[YEAR]],8,1)</f>
        <v>0</v>
      </c>
    </row>
    <row r="2983" spans="1:9" ht="18.75" x14ac:dyDescent="0.25">
      <c r="A2983" s="3">
        <v>45871</v>
      </c>
      <c r="B2983" s="4" t="str">
        <f t="shared" si="0"/>
        <v>0802</v>
      </c>
      <c r="C2983" s="5">
        <f t="shared" si="1"/>
        <v>2025</v>
      </c>
      <c r="D2983" s="6">
        <v>27</v>
      </c>
      <c r="E2983" s="6">
        <v>3</v>
      </c>
      <c r="F2983" s="6">
        <v>3</v>
      </c>
      <c r="G2983" s="6">
        <v>0</v>
      </c>
      <c r="H2983">
        <f>SUMIFS($F$2:F2983,$C$2:C2983,C2983)</f>
        <v>24</v>
      </c>
      <c r="I2983" s="8">
        <f>STAMP_Escapement_Data[[#This Row],[DATE]]-DATE(STAMP_Escapement_Data[[#This Row],[YEAR]],8,1)</f>
        <v>1</v>
      </c>
    </row>
    <row r="2984" spans="1:9" ht="18.75" x14ac:dyDescent="0.25">
      <c r="A2984" s="3">
        <v>45872</v>
      </c>
      <c r="B2984" s="4" t="str">
        <f t="shared" si="0"/>
        <v>0803</v>
      </c>
      <c r="C2984" s="5">
        <f t="shared" si="1"/>
        <v>2025</v>
      </c>
      <c r="D2984" s="6">
        <v>14</v>
      </c>
      <c r="E2984" s="6">
        <v>2</v>
      </c>
      <c r="F2984" s="6">
        <v>4</v>
      </c>
      <c r="G2984" s="6">
        <v>0</v>
      </c>
      <c r="H2984">
        <f>SUMIFS($F$2:F2984,$C$2:C2984,C2984)</f>
        <v>28</v>
      </c>
      <c r="I2984" s="8">
        <f>STAMP_Escapement_Data[[#This Row],[DATE]]-DATE(STAMP_Escapement_Data[[#This Row],[YEAR]],8,1)</f>
        <v>2</v>
      </c>
    </row>
    <row r="2985" spans="1:9" ht="18.75" x14ac:dyDescent="0.25">
      <c r="A2985" s="3">
        <v>45873</v>
      </c>
      <c r="B2985" s="4" t="str">
        <f t="shared" si="0"/>
        <v>0804</v>
      </c>
      <c r="C2985" s="5">
        <f t="shared" si="1"/>
        <v>2025</v>
      </c>
      <c r="D2985" s="6">
        <v>25</v>
      </c>
      <c r="E2985" s="6">
        <v>0</v>
      </c>
      <c r="F2985" s="6">
        <v>10</v>
      </c>
      <c r="G2985" s="6">
        <v>0</v>
      </c>
      <c r="H2985">
        <f>SUMIFS($F$2:F2985,$C$2:C2985,C2985)</f>
        <v>38</v>
      </c>
      <c r="I2985" s="8">
        <f>STAMP_Escapement_Data[[#This Row],[DATE]]-DATE(STAMP_Escapement_Data[[#This Row],[YEAR]],8,1)</f>
        <v>3</v>
      </c>
    </row>
    <row r="2986" spans="1:9" ht="18.75" x14ac:dyDescent="0.25">
      <c r="A2986" s="3">
        <v>45874</v>
      </c>
      <c r="B2986" s="4" t="str">
        <f t="shared" si="0"/>
        <v>0805</v>
      </c>
      <c r="C2986" s="5">
        <f t="shared" si="1"/>
        <v>2025</v>
      </c>
      <c r="D2986" s="6">
        <v>26</v>
      </c>
      <c r="E2986" s="6">
        <v>0</v>
      </c>
      <c r="F2986" s="6">
        <v>6</v>
      </c>
      <c r="G2986" s="6">
        <v>0</v>
      </c>
      <c r="H2986">
        <f>SUMIFS($F$2:F2986,$C$2:C2986,C2986)</f>
        <v>44</v>
      </c>
      <c r="I2986" s="8">
        <f>STAMP_Escapement_Data[[#This Row],[DATE]]-DATE(STAMP_Escapement_Data[[#This Row],[YEAR]],8,1)</f>
        <v>4</v>
      </c>
    </row>
    <row r="2987" spans="1:9" ht="18.75" x14ac:dyDescent="0.25">
      <c r="A2987" s="3">
        <v>45875</v>
      </c>
      <c r="B2987" s="4" t="str">
        <f t="shared" si="0"/>
        <v>0806</v>
      </c>
      <c r="C2987" s="5">
        <f t="shared" si="1"/>
        <v>2025</v>
      </c>
      <c r="D2987" s="6">
        <v>12</v>
      </c>
      <c r="E2987" s="6">
        <v>0</v>
      </c>
      <c r="F2987" s="6">
        <v>15</v>
      </c>
      <c r="G2987" s="6">
        <v>2</v>
      </c>
      <c r="H2987">
        <f>SUMIFS($F$2:F2987,$C$2:C2987,C2987)</f>
        <v>59</v>
      </c>
      <c r="I2987" s="8">
        <f>STAMP_Escapement_Data[[#This Row],[DATE]]-DATE(STAMP_Escapement_Data[[#This Row],[YEAR]],8,1)</f>
        <v>5</v>
      </c>
    </row>
    <row r="2988" spans="1:9" ht="18.75" x14ac:dyDescent="0.25">
      <c r="A2988" s="3">
        <v>45876</v>
      </c>
      <c r="B2988" s="4" t="str">
        <f t="shared" ref="B2988:B3051" si="2">CONCATENATE(TEXT(A2988,"mm"),TEXT(A2988,"dd"))</f>
        <v>0807</v>
      </c>
      <c r="C2988" s="5">
        <f t="shared" ref="C2988:C3051" si="3">YEAR(A2988)</f>
        <v>2025</v>
      </c>
      <c r="D2988" s="6">
        <v>6</v>
      </c>
      <c r="E2988" s="6">
        <v>4</v>
      </c>
      <c r="F2988" s="6">
        <v>15</v>
      </c>
      <c r="G2988" s="6">
        <v>0</v>
      </c>
      <c r="H2988">
        <f>SUMIFS($F$2:F2988,$C$2:C2988,C2988)</f>
        <v>74</v>
      </c>
      <c r="I2988" s="8">
        <f>STAMP_Escapement_Data[[#This Row],[DATE]]-DATE(STAMP_Escapement_Data[[#This Row],[YEAR]],8,1)</f>
        <v>6</v>
      </c>
    </row>
    <row r="2989" spans="1:9" ht="18.75" x14ac:dyDescent="0.25">
      <c r="A2989" s="3">
        <v>45877</v>
      </c>
      <c r="B2989" s="4" t="str">
        <f t="shared" si="2"/>
        <v>0808</v>
      </c>
      <c r="C2989" s="5">
        <f t="shared" si="3"/>
        <v>2025</v>
      </c>
      <c r="D2989" s="6">
        <v>19</v>
      </c>
      <c r="E2989" s="6">
        <v>1</v>
      </c>
      <c r="F2989" s="6">
        <v>44</v>
      </c>
      <c r="G2989" s="6">
        <v>1</v>
      </c>
      <c r="H2989">
        <f>SUMIFS($F$2:F2989,$C$2:C2989,C2989)</f>
        <v>118</v>
      </c>
      <c r="I2989" s="8">
        <f>STAMP_Escapement_Data[[#This Row],[DATE]]-DATE(STAMP_Escapement_Data[[#This Row],[YEAR]],8,1)</f>
        <v>7</v>
      </c>
    </row>
    <row r="2990" spans="1:9" ht="18.75" x14ac:dyDescent="0.25">
      <c r="A2990" s="3">
        <v>45878</v>
      </c>
      <c r="B2990" s="4" t="str">
        <f t="shared" si="2"/>
        <v>0809</v>
      </c>
      <c r="C2990" s="5">
        <f t="shared" si="3"/>
        <v>2025</v>
      </c>
      <c r="D2990" s="6">
        <v>16</v>
      </c>
      <c r="E2990" s="6">
        <v>1</v>
      </c>
      <c r="F2990" s="6">
        <v>29</v>
      </c>
      <c r="G2990" s="6">
        <v>4</v>
      </c>
      <c r="H2990">
        <f>SUMIFS($F$2:F2990,$C$2:C2990,C2990)</f>
        <v>147</v>
      </c>
      <c r="I2990" s="8">
        <f>STAMP_Escapement_Data[[#This Row],[DATE]]-DATE(STAMP_Escapement_Data[[#This Row],[YEAR]],8,1)</f>
        <v>8</v>
      </c>
    </row>
    <row r="2991" spans="1:9" ht="18.75" x14ac:dyDescent="0.25">
      <c r="A2991" s="3">
        <v>45879</v>
      </c>
      <c r="B2991" s="4" t="str">
        <f t="shared" si="2"/>
        <v>0810</v>
      </c>
      <c r="C2991" s="5">
        <f t="shared" si="3"/>
        <v>2025</v>
      </c>
      <c r="D2991" s="6">
        <v>21</v>
      </c>
      <c r="E2991" s="6">
        <v>2</v>
      </c>
      <c r="F2991" s="6">
        <v>25</v>
      </c>
      <c r="G2991" s="6">
        <v>1</v>
      </c>
      <c r="H2991">
        <f>SUMIFS($F$2:F2991,$C$2:C2991,C2991)</f>
        <v>172</v>
      </c>
      <c r="I2991" s="8">
        <f>STAMP_Escapement_Data[[#This Row],[DATE]]-DATE(STAMP_Escapement_Data[[#This Row],[YEAR]],8,1)</f>
        <v>9</v>
      </c>
    </row>
    <row r="2992" spans="1:9" ht="18.75" x14ac:dyDescent="0.25">
      <c r="A2992" s="3">
        <v>45880</v>
      </c>
      <c r="B2992" s="4" t="str">
        <f t="shared" si="2"/>
        <v>0811</v>
      </c>
      <c r="C2992" s="5">
        <f t="shared" si="3"/>
        <v>2025</v>
      </c>
      <c r="D2992" s="6">
        <v>14</v>
      </c>
      <c r="E2992" s="6">
        <v>4</v>
      </c>
      <c r="F2992" s="6">
        <v>55</v>
      </c>
      <c r="G2992" s="6">
        <v>3</v>
      </c>
      <c r="H2992">
        <f>SUMIFS($F$2:F2992,$C$2:C2992,C2992)</f>
        <v>227</v>
      </c>
      <c r="I2992" s="8">
        <f>STAMP_Escapement_Data[[#This Row],[DATE]]-DATE(STAMP_Escapement_Data[[#This Row],[YEAR]],8,1)</f>
        <v>10</v>
      </c>
    </row>
    <row r="2993" spans="1:9" ht="18.75" x14ac:dyDescent="0.25">
      <c r="A2993" s="3">
        <v>45881</v>
      </c>
      <c r="B2993" s="4" t="str">
        <f t="shared" si="2"/>
        <v>0812</v>
      </c>
      <c r="C2993" s="5">
        <f t="shared" si="3"/>
        <v>2025</v>
      </c>
      <c r="D2993" s="6">
        <v>6</v>
      </c>
      <c r="E2993" s="6">
        <v>0</v>
      </c>
      <c r="F2993" s="6">
        <v>29</v>
      </c>
      <c r="G2993" s="6">
        <v>0</v>
      </c>
      <c r="H2993">
        <f>SUMIFS($F$2:F2993,$C$2:C2993,C2993)</f>
        <v>256</v>
      </c>
      <c r="I2993" s="8">
        <f>STAMP_Escapement_Data[[#This Row],[DATE]]-DATE(STAMP_Escapement_Data[[#This Row],[YEAR]],8,1)</f>
        <v>11</v>
      </c>
    </row>
    <row r="2994" spans="1:9" ht="18.75" x14ac:dyDescent="0.25">
      <c r="A2994" s="3">
        <v>45882</v>
      </c>
      <c r="B2994" s="4" t="str">
        <f t="shared" si="2"/>
        <v>0813</v>
      </c>
      <c r="C2994" s="5">
        <f t="shared" si="3"/>
        <v>2025</v>
      </c>
      <c r="D2994" s="6">
        <v>7</v>
      </c>
      <c r="E2994" s="6">
        <v>2</v>
      </c>
      <c r="F2994" s="6">
        <v>47</v>
      </c>
      <c r="G2994" s="6">
        <v>5</v>
      </c>
      <c r="H2994">
        <f>SUMIFS($F$2:F2994,$C$2:C2994,C2994)</f>
        <v>303</v>
      </c>
      <c r="I2994" s="8">
        <f>STAMP_Escapement_Data[[#This Row],[DATE]]-DATE(STAMP_Escapement_Data[[#This Row],[YEAR]],8,1)</f>
        <v>12</v>
      </c>
    </row>
    <row r="2995" spans="1:9" ht="18.75" x14ac:dyDescent="0.25">
      <c r="A2995" s="3">
        <v>45883</v>
      </c>
      <c r="B2995" s="4" t="str">
        <f t="shared" si="2"/>
        <v>0814</v>
      </c>
      <c r="C2995" s="5">
        <f t="shared" si="3"/>
        <v>2025</v>
      </c>
      <c r="D2995" s="6">
        <v>7</v>
      </c>
      <c r="E2995" s="6">
        <v>3</v>
      </c>
      <c r="F2995" s="6">
        <v>44</v>
      </c>
      <c r="G2995" s="6">
        <v>6</v>
      </c>
      <c r="H2995">
        <f>SUMIFS($F$2:F2995,$C$2:C2995,C2995)</f>
        <v>347</v>
      </c>
      <c r="I2995" s="8">
        <f>STAMP_Escapement_Data[[#This Row],[DATE]]-DATE(STAMP_Escapement_Data[[#This Row],[YEAR]],8,1)</f>
        <v>13</v>
      </c>
    </row>
    <row r="2996" spans="1:9" ht="18.75" x14ac:dyDescent="0.25">
      <c r="A2996" s="3">
        <v>45884</v>
      </c>
      <c r="B2996" s="4" t="str">
        <f t="shared" si="2"/>
        <v>0815</v>
      </c>
      <c r="C2996" s="5">
        <f t="shared" si="3"/>
        <v>2025</v>
      </c>
      <c r="D2996" s="6">
        <v>17</v>
      </c>
      <c r="E2996" s="6">
        <v>2</v>
      </c>
      <c r="F2996" s="6">
        <v>68</v>
      </c>
      <c r="G2996" s="6">
        <v>6</v>
      </c>
      <c r="H2996">
        <f>SUMIFS($F$2:F2996,$C$2:C2996,C2996)</f>
        <v>415</v>
      </c>
      <c r="I2996" s="8">
        <f>STAMP_Escapement_Data[[#This Row],[DATE]]-DATE(STAMP_Escapement_Data[[#This Row],[YEAR]],8,1)</f>
        <v>14</v>
      </c>
    </row>
    <row r="2997" spans="1:9" ht="18.75" x14ac:dyDescent="0.25">
      <c r="A2997" s="3">
        <v>45885</v>
      </c>
      <c r="B2997" s="4" t="str">
        <f t="shared" si="2"/>
        <v>0816</v>
      </c>
      <c r="C2997" s="5">
        <f t="shared" si="3"/>
        <v>2025</v>
      </c>
      <c r="D2997" s="6">
        <v>23</v>
      </c>
      <c r="E2997" s="6">
        <v>0</v>
      </c>
      <c r="F2997" s="6">
        <v>52</v>
      </c>
      <c r="G2997" s="6">
        <v>7</v>
      </c>
      <c r="H2997">
        <f>SUMIFS($F$2:F2997,$C$2:C2997,C2997)</f>
        <v>467</v>
      </c>
      <c r="I2997" s="8">
        <f>STAMP_Escapement_Data[[#This Row],[DATE]]-DATE(STAMP_Escapement_Data[[#This Row],[YEAR]],8,1)</f>
        <v>15</v>
      </c>
    </row>
    <row r="2998" spans="1:9" ht="18.75" x14ac:dyDescent="0.25">
      <c r="A2998" s="3">
        <v>45886</v>
      </c>
      <c r="B2998" s="4" t="str">
        <f t="shared" si="2"/>
        <v>0817</v>
      </c>
      <c r="C2998" s="5">
        <f t="shared" si="3"/>
        <v>2025</v>
      </c>
      <c r="D2998" s="6">
        <v>28</v>
      </c>
      <c r="E2998" s="6">
        <v>3</v>
      </c>
      <c r="F2998" s="6">
        <v>96</v>
      </c>
      <c r="G2998" s="6">
        <v>8</v>
      </c>
      <c r="H2998">
        <f>SUMIFS($F$2:F2998,$C$2:C2998,C2998)</f>
        <v>563</v>
      </c>
      <c r="I2998" s="8">
        <f>STAMP_Escapement_Data[[#This Row],[DATE]]-DATE(STAMP_Escapement_Data[[#This Row],[YEAR]],8,1)</f>
        <v>16</v>
      </c>
    </row>
    <row r="2999" spans="1:9" ht="18.75" x14ac:dyDescent="0.25">
      <c r="A2999" s="3">
        <v>45887</v>
      </c>
      <c r="B2999" s="4" t="str">
        <f t="shared" si="2"/>
        <v>0818</v>
      </c>
      <c r="C2999" s="5">
        <f t="shared" si="3"/>
        <v>2025</v>
      </c>
      <c r="D2999" s="6">
        <v>74</v>
      </c>
      <c r="E2999" s="6">
        <v>11</v>
      </c>
      <c r="F2999" s="6">
        <v>185</v>
      </c>
      <c r="G2999" s="6">
        <v>17</v>
      </c>
      <c r="H2999">
        <f>SUMIFS($F$2:F2999,$C$2:C2999,C2999)</f>
        <v>748</v>
      </c>
      <c r="I2999" s="8">
        <f>STAMP_Escapement_Data[[#This Row],[DATE]]-DATE(STAMP_Escapement_Data[[#This Row],[YEAR]],8,1)</f>
        <v>17</v>
      </c>
    </row>
    <row r="3000" spans="1:9" ht="18.75" x14ac:dyDescent="0.25">
      <c r="A3000" s="3">
        <v>45888</v>
      </c>
      <c r="B3000" s="4" t="str">
        <f t="shared" si="2"/>
        <v>0819</v>
      </c>
      <c r="C3000" s="5">
        <f t="shared" si="3"/>
        <v>2025</v>
      </c>
      <c r="D3000" s="6">
        <v>103</v>
      </c>
      <c r="E3000" s="6">
        <v>11</v>
      </c>
      <c r="F3000" s="6">
        <v>140</v>
      </c>
      <c r="G3000" s="6">
        <v>16</v>
      </c>
      <c r="H3000">
        <f>SUMIFS($F$2:F3000,$C$2:C3000,C3000)</f>
        <v>888</v>
      </c>
      <c r="I3000" s="8">
        <f>STAMP_Escapement_Data[[#This Row],[DATE]]-DATE(STAMP_Escapement_Data[[#This Row],[YEAR]],8,1)</f>
        <v>18</v>
      </c>
    </row>
    <row r="3001" spans="1:9" ht="18.75" x14ac:dyDescent="0.25">
      <c r="A3001" s="3">
        <v>45889</v>
      </c>
      <c r="B3001" s="4" t="str">
        <f t="shared" si="2"/>
        <v>0820</v>
      </c>
      <c r="C3001" s="5">
        <f t="shared" si="3"/>
        <v>2025</v>
      </c>
      <c r="D3001" s="6">
        <v>183</v>
      </c>
      <c r="E3001" s="6">
        <v>12</v>
      </c>
      <c r="F3001" s="6">
        <v>276</v>
      </c>
      <c r="G3001" s="6">
        <v>47</v>
      </c>
      <c r="H3001">
        <f>SUMIFS($F$2:F3001,$C$2:C3001,C3001)</f>
        <v>1164</v>
      </c>
      <c r="I3001" s="8">
        <f>STAMP_Escapement_Data[[#This Row],[DATE]]-DATE(STAMP_Escapement_Data[[#This Row],[YEAR]],8,1)</f>
        <v>19</v>
      </c>
    </row>
    <row r="3002" spans="1:9" ht="18.75" x14ac:dyDescent="0.25">
      <c r="A3002" s="3">
        <v>45890</v>
      </c>
      <c r="B3002" s="4" t="str">
        <f t="shared" si="2"/>
        <v>0821</v>
      </c>
      <c r="C3002" s="5">
        <f t="shared" si="3"/>
        <v>2025</v>
      </c>
      <c r="D3002" s="6">
        <v>154</v>
      </c>
      <c r="E3002" s="6">
        <v>50</v>
      </c>
      <c r="F3002" s="6">
        <v>674</v>
      </c>
      <c r="G3002" s="6">
        <v>78</v>
      </c>
      <c r="H3002">
        <f>SUMIFS($F$2:F3002,$C$2:C3002,C3002)</f>
        <v>1838</v>
      </c>
      <c r="I3002" s="8">
        <f>STAMP_Escapement_Data[[#This Row],[DATE]]-DATE(STAMP_Escapement_Data[[#This Row],[YEAR]],8,1)</f>
        <v>20</v>
      </c>
    </row>
    <row r="3003" spans="1:9" ht="18.75" x14ac:dyDescent="0.25">
      <c r="A3003" s="3">
        <v>45891</v>
      </c>
      <c r="B3003" s="4" t="str">
        <f t="shared" si="2"/>
        <v>0822</v>
      </c>
      <c r="C3003" s="5">
        <f t="shared" si="3"/>
        <v>2025</v>
      </c>
      <c r="D3003" s="6">
        <v>167</v>
      </c>
      <c r="E3003" s="6">
        <v>44</v>
      </c>
      <c r="F3003" s="6">
        <v>437</v>
      </c>
      <c r="G3003" s="6">
        <v>81</v>
      </c>
      <c r="H3003">
        <f>SUMIFS($F$2:F3003,$C$2:C3003,C3003)</f>
        <v>2275</v>
      </c>
      <c r="I3003" s="8">
        <f>STAMP_Escapement_Data[[#This Row],[DATE]]-DATE(STAMP_Escapement_Data[[#This Row],[YEAR]],8,1)</f>
        <v>21</v>
      </c>
    </row>
    <row r="3004" spans="1:9" ht="18.75" x14ac:dyDescent="0.25">
      <c r="A3004" s="3">
        <v>45892</v>
      </c>
      <c r="B3004" s="4" t="str">
        <f t="shared" si="2"/>
        <v>0823</v>
      </c>
      <c r="C3004" s="5">
        <f t="shared" si="3"/>
        <v>2025</v>
      </c>
      <c r="D3004" s="6">
        <v>65</v>
      </c>
      <c r="E3004" s="6">
        <v>28</v>
      </c>
      <c r="F3004" s="6">
        <v>479</v>
      </c>
      <c r="G3004" s="6">
        <v>79</v>
      </c>
      <c r="H3004">
        <f>SUMIFS($F$2:F3004,$C$2:C3004,C3004)</f>
        <v>2754</v>
      </c>
      <c r="I3004" s="8">
        <f>STAMP_Escapement_Data[[#This Row],[DATE]]-DATE(STAMP_Escapement_Data[[#This Row],[YEAR]],8,1)</f>
        <v>22</v>
      </c>
    </row>
    <row r="3005" spans="1:9" ht="18.75" x14ac:dyDescent="0.25">
      <c r="A3005" s="3">
        <v>45893</v>
      </c>
      <c r="B3005" s="4" t="str">
        <f t="shared" si="2"/>
        <v>0824</v>
      </c>
      <c r="C3005" s="5">
        <f t="shared" si="3"/>
        <v>2025</v>
      </c>
      <c r="D3005" s="6">
        <v>97</v>
      </c>
      <c r="E3005" s="6">
        <v>34</v>
      </c>
      <c r="F3005" s="6">
        <v>467</v>
      </c>
      <c r="G3005" s="6">
        <v>106</v>
      </c>
      <c r="H3005">
        <f>SUMIFS($F$2:F3005,$C$2:C3005,C3005)</f>
        <v>3221</v>
      </c>
      <c r="I3005" s="8">
        <f>STAMP_Escapement_Data[[#This Row],[DATE]]-DATE(STAMP_Escapement_Data[[#This Row],[YEAR]],8,1)</f>
        <v>23</v>
      </c>
    </row>
    <row r="3006" spans="1:9" ht="18.75" x14ac:dyDescent="0.25">
      <c r="A3006" s="3">
        <v>45894</v>
      </c>
      <c r="B3006" s="4" t="str">
        <f t="shared" si="2"/>
        <v>0825</v>
      </c>
      <c r="C3006" s="5">
        <f t="shared" si="3"/>
        <v>2025</v>
      </c>
      <c r="D3006" s="6">
        <v>72</v>
      </c>
      <c r="E3006" s="6">
        <v>38</v>
      </c>
      <c r="F3006" s="6">
        <v>356</v>
      </c>
      <c r="G3006" s="6">
        <v>116</v>
      </c>
      <c r="H3006">
        <f>SUMIFS($F$2:F3006,$C$2:C3006,C3006)</f>
        <v>3577</v>
      </c>
      <c r="I3006" s="8">
        <f>STAMP_Escapement_Data[[#This Row],[DATE]]-DATE(STAMP_Escapement_Data[[#This Row],[YEAR]],8,1)</f>
        <v>24</v>
      </c>
    </row>
    <row r="3007" spans="1:9" ht="18.75" x14ac:dyDescent="0.25">
      <c r="A3007" s="3">
        <v>45895</v>
      </c>
      <c r="B3007" s="4" t="str">
        <f t="shared" si="2"/>
        <v>0826</v>
      </c>
      <c r="C3007" s="5">
        <f t="shared" si="3"/>
        <v>2025</v>
      </c>
      <c r="D3007" s="6">
        <v>52</v>
      </c>
      <c r="E3007" s="6">
        <v>30</v>
      </c>
      <c r="F3007" s="6">
        <v>297</v>
      </c>
      <c r="G3007" s="6">
        <v>100</v>
      </c>
      <c r="H3007">
        <f>SUMIFS($F$2:F3007,$C$2:C3007,C3007)</f>
        <v>3874</v>
      </c>
      <c r="I3007" s="8">
        <f>STAMP_Escapement_Data[[#This Row],[DATE]]-DATE(STAMP_Escapement_Data[[#This Row],[YEAR]],8,1)</f>
        <v>25</v>
      </c>
    </row>
    <row r="3008" spans="1:9" ht="18.75" x14ac:dyDescent="0.25">
      <c r="A3008" s="3">
        <v>45896</v>
      </c>
      <c r="B3008" s="4" t="str">
        <f t="shared" si="2"/>
        <v>0827</v>
      </c>
      <c r="C3008" s="5">
        <f t="shared" si="3"/>
        <v>2025</v>
      </c>
      <c r="D3008" s="6">
        <v>45</v>
      </c>
      <c r="E3008" s="6">
        <v>21</v>
      </c>
      <c r="F3008" s="6">
        <v>265</v>
      </c>
      <c r="G3008" s="6">
        <v>89</v>
      </c>
      <c r="H3008">
        <f>SUMIFS($F$2:F3008,$C$2:C3008,C3008)</f>
        <v>4139</v>
      </c>
      <c r="I3008" s="8">
        <f>STAMP_Escapement_Data[[#This Row],[DATE]]-DATE(STAMP_Escapement_Data[[#This Row],[YEAR]],8,1)</f>
        <v>26</v>
      </c>
    </row>
    <row r="3009" spans="1:9" ht="18.75" x14ac:dyDescent="0.25">
      <c r="A3009" s="3">
        <v>45897</v>
      </c>
      <c r="B3009" s="4" t="str">
        <f t="shared" si="2"/>
        <v>0828</v>
      </c>
      <c r="C3009" s="5">
        <f t="shared" si="3"/>
        <v>2025</v>
      </c>
      <c r="D3009" s="6">
        <v>31</v>
      </c>
      <c r="E3009" s="6">
        <v>23</v>
      </c>
      <c r="F3009" s="6">
        <v>140</v>
      </c>
      <c r="G3009" s="6">
        <v>121</v>
      </c>
      <c r="H3009">
        <f>SUMIFS($F$2:F3009,$C$2:C3009,C3009)</f>
        <v>4279</v>
      </c>
      <c r="I3009" s="8">
        <f>STAMP_Escapement_Data[[#This Row],[DATE]]-DATE(STAMP_Escapement_Data[[#This Row],[YEAR]],8,1)</f>
        <v>27</v>
      </c>
    </row>
    <row r="3010" spans="1:9" ht="18.75" x14ac:dyDescent="0.25">
      <c r="A3010" s="3">
        <v>45898</v>
      </c>
      <c r="B3010" s="4" t="str">
        <f t="shared" si="2"/>
        <v>0829</v>
      </c>
      <c r="C3010" s="5">
        <f t="shared" si="3"/>
        <v>2025</v>
      </c>
      <c r="D3010" s="6">
        <v>36</v>
      </c>
      <c r="E3010" s="6">
        <v>25</v>
      </c>
      <c r="F3010" s="6">
        <v>107</v>
      </c>
      <c r="G3010" s="6">
        <v>130</v>
      </c>
      <c r="H3010">
        <f>SUMIFS($F$2:F3010,$C$2:C3010,C3010)</f>
        <v>4386</v>
      </c>
      <c r="I3010" s="8">
        <f>STAMP_Escapement_Data[[#This Row],[DATE]]-DATE(STAMP_Escapement_Data[[#This Row],[YEAR]],8,1)</f>
        <v>28</v>
      </c>
    </row>
    <row r="3011" spans="1:9" ht="18.75" x14ac:dyDescent="0.25">
      <c r="A3011" s="3">
        <v>45899</v>
      </c>
      <c r="B3011" s="4" t="str">
        <f t="shared" si="2"/>
        <v>0830</v>
      </c>
      <c r="C3011" s="5">
        <f t="shared" si="3"/>
        <v>2025</v>
      </c>
      <c r="D3011" s="6">
        <v>100</v>
      </c>
      <c r="E3011" s="6">
        <v>57</v>
      </c>
      <c r="F3011" s="6">
        <v>153</v>
      </c>
      <c r="G3011" s="6">
        <v>190</v>
      </c>
      <c r="H3011">
        <f>SUMIFS($F$2:F3011,$C$2:C3011,C3011)</f>
        <v>4539</v>
      </c>
      <c r="I3011" s="8">
        <f>STAMP_Escapement_Data[[#This Row],[DATE]]-DATE(STAMP_Escapement_Data[[#This Row],[YEAR]],8,1)</f>
        <v>29</v>
      </c>
    </row>
    <row r="3012" spans="1:9" ht="18.75" x14ac:dyDescent="0.25">
      <c r="A3012" s="3">
        <v>45900</v>
      </c>
      <c r="B3012" s="4" t="str">
        <f t="shared" si="2"/>
        <v>0831</v>
      </c>
      <c r="C3012" s="5">
        <f t="shared" si="3"/>
        <v>2025</v>
      </c>
      <c r="D3012" s="6">
        <v>84</v>
      </c>
      <c r="E3012" s="6">
        <v>47</v>
      </c>
      <c r="F3012" s="6">
        <v>177</v>
      </c>
      <c r="G3012" s="6">
        <v>150</v>
      </c>
      <c r="H3012">
        <f>SUMIFS($F$2:F3012,$C$2:C3012,C3012)</f>
        <v>4716</v>
      </c>
      <c r="I3012" s="8">
        <f>STAMP_Escapement_Data[[#This Row],[DATE]]-DATE(STAMP_Escapement_Data[[#This Row],[YEAR]],8,1)</f>
        <v>30</v>
      </c>
    </row>
    <row r="3013" spans="1:9" ht="18.75" x14ac:dyDescent="0.25">
      <c r="A3013" s="3">
        <v>45901</v>
      </c>
      <c r="B3013" s="4" t="str">
        <f t="shared" si="2"/>
        <v>0901</v>
      </c>
      <c r="C3013" s="5">
        <f t="shared" si="3"/>
        <v>2025</v>
      </c>
      <c r="D3013" s="6">
        <v>176</v>
      </c>
      <c r="E3013" s="6">
        <v>89</v>
      </c>
      <c r="F3013" s="6">
        <v>295</v>
      </c>
      <c r="G3013" s="6">
        <v>232</v>
      </c>
      <c r="H3013">
        <f>SUMIFS($F$2:F3013,$C$2:C3013,C3013)</f>
        <v>5011</v>
      </c>
      <c r="I3013" s="8">
        <f>STAMP_Escapement_Data[[#This Row],[DATE]]-DATE(STAMP_Escapement_Data[[#This Row],[YEAR]],8,1)</f>
        <v>31</v>
      </c>
    </row>
    <row r="3014" spans="1:9" ht="18.75" x14ac:dyDescent="0.25">
      <c r="A3014" s="3">
        <v>45902</v>
      </c>
      <c r="B3014" s="4" t="str">
        <f t="shared" si="2"/>
        <v>0902</v>
      </c>
      <c r="C3014" s="5">
        <f t="shared" si="3"/>
        <v>2025</v>
      </c>
      <c r="D3014" s="6">
        <v>243</v>
      </c>
      <c r="E3014" s="6">
        <v>95</v>
      </c>
      <c r="F3014" s="6">
        <v>510</v>
      </c>
      <c r="G3014" s="6">
        <v>304</v>
      </c>
      <c r="H3014">
        <f>SUMIFS($F$2:F3014,$C$2:C3014,C3014)</f>
        <v>5521</v>
      </c>
      <c r="I3014" s="8">
        <f>STAMP_Escapement_Data[[#This Row],[DATE]]-DATE(STAMP_Escapement_Data[[#This Row],[YEAR]],8,1)</f>
        <v>32</v>
      </c>
    </row>
    <row r="3015" spans="1:9" ht="18.75" x14ac:dyDescent="0.25">
      <c r="A3015" s="3">
        <v>45903</v>
      </c>
      <c r="B3015" s="4" t="str">
        <f t="shared" si="2"/>
        <v>0903</v>
      </c>
      <c r="C3015" s="5">
        <f t="shared" si="3"/>
        <v>2025</v>
      </c>
      <c r="D3015" s="6">
        <v>227</v>
      </c>
      <c r="E3015" s="6">
        <v>88</v>
      </c>
      <c r="F3015" s="6">
        <v>418</v>
      </c>
      <c r="G3015" s="6">
        <v>278</v>
      </c>
      <c r="H3015">
        <f>SUMIFS($F$2:F3015,$C$2:C3015,C3015)</f>
        <v>5939</v>
      </c>
      <c r="I3015" s="8">
        <f>STAMP_Escapement_Data[[#This Row],[DATE]]-DATE(STAMP_Escapement_Data[[#This Row],[YEAR]],8,1)</f>
        <v>33</v>
      </c>
    </row>
    <row r="3016" spans="1:9" ht="18.75" x14ac:dyDescent="0.25">
      <c r="A3016" s="3">
        <v>45904</v>
      </c>
      <c r="B3016" s="4" t="str">
        <f t="shared" si="2"/>
        <v>0904</v>
      </c>
      <c r="C3016" s="5">
        <f t="shared" si="3"/>
        <v>2025</v>
      </c>
      <c r="D3016" s="6">
        <v>226</v>
      </c>
      <c r="E3016" s="6">
        <v>115</v>
      </c>
      <c r="F3016" s="6">
        <v>1205</v>
      </c>
      <c r="G3016" s="6">
        <v>426</v>
      </c>
      <c r="H3016">
        <f>SUMIFS($F$2:F3016,$C$2:C3016,C3016)</f>
        <v>7144</v>
      </c>
      <c r="I3016" s="8">
        <f>STAMP_Escapement_Data[[#This Row],[DATE]]-DATE(STAMP_Escapement_Data[[#This Row],[YEAR]],8,1)</f>
        <v>34</v>
      </c>
    </row>
    <row r="3017" spans="1:9" ht="18.75" x14ac:dyDescent="0.25">
      <c r="A3017" s="3">
        <v>45905</v>
      </c>
      <c r="B3017" s="4" t="str">
        <f t="shared" si="2"/>
        <v>0905</v>
      </c>
      <c r="C3017" s="5">
        <f t="shared" si="3"/>
        <v>2025</v>
      </c>
      <c r="D3017" s="6">
        <v>199</v>
      </c>
      <c r="E3017" s="6">
        <v>104</v>
      </c>
      <c r="F3017" s="6">
        <v>810</v>
      </c>
      <c r="G3017" s="6">
        <v>280</v>
      </c>
      <c r="H3017">
        <f>SUMIFS($F$2:F3017,$C$2:C3017,C3017)</f>
        <v>7954</v>
      </c>
      <c r="I3017" s="8">
        <f>STAMP_Escapement_Data[[#This Row],[DATE]]-DATE(STAMP_Escapement_Data[[#This Row],[YEAR]],8,1)</f>
        <v>35</v>
      </c>
    </row>
    <row r="3018" spans="1:9" ht="18.75" x14ac:dyDescent="0.25">
      <c r="A3018" s="3">
        <v>45906</v>
      </c>
      <c r="B3018" s="4" t="str">
        <f t="shared" si="2"/>
        <v>0906</v>
      </c>
      <c r="C3018" s="5">
        <f t="shared" si="3"/>
        <v>2025</v>
      </c>
      <c r="D3018" s="6">
        <v>157</v>
      </c>
      <c r="E3018" s="6">
        <v>89</v>
      </c>
      <c r="F3018" s="6">
        <v>915</v>
      </c>
      <c r="G3018" s="6">
        <v>222</v>
      </c>
      <c r="H3018">
        <f>SUMIFS($F$2:F3018,$C$2:C3018,C3018)</f>
        <v>8869</v>
      </c>
      <c r="I3018" s="8">
        <f>STAMP_Escapement_Data[[#This Row],[DATE]]-DATE(STAMP_Escapement_Data[[#This Row],[YEAR]],8,1)</f>
        <v>36</v>
      </c>
    </row>
    <row r="3019" spans="1:9" ht="18.75" x14ac:dyDescent="0.25">
      <c r="A3019" s="3">
        <v>45907</v>
      </c>
      <c r="B3019" s="4" t="str">
        <f t="shared" si="2"/>
        <v>0907</v>
      </c>
      <c r="C3019" s="5">
        <f t="shared" si="3"/>
        <v>2025</v>
      </c>
      <c r="D3019" s="6">
        <v>477</v>
      </c>
      <c r="E3019" s="6">
        <v>129</v>
      </c>
      <c r="F3019" s="6">
        <v>1218</v>
      </c>
      <c r="G3019" s="6">
        <v>315</v>
      </c>
      <c r="H3019">
        <f>SUMIFS($F$2:F3019,$C$2:C3019,C3019)</f>
        <v>10087</v>
      </c>
      <c r="I3019" s="8">
        <f>STAMP_Escapement_Data[[#This Row],[DATE]]-DATE(STAMP_Escapement_Data[[#This Row],[YEAR]],8,1)</f>
        <v>37</v>
      </c>
    </row>
    <row r="3020" spans="1:9" ht="18.75" x14ac:dyDescent="0.25">
      <c r="A3020" s="3">
        <v>45908</v>
      </c>
      <c r="B3020" s="4" t="str">
        <f t="shared" si="2"/>
        <v>0908</v>
      </c>
      <c r="C3020" s="5">
        <f t="shared" si="3"/>
        <v>2025</v>
      </c>
      <c r="D3020" s="6">
        <v>832</v>
      </c>
      <c r="E3020" s="6">
        <v>75</v>
      </c>
      <c r="F3020" s="6">
        <v>1108</v>
      </c>
      <c r="G3020" s="6">
        <v>279</v>
      </c>
      <c r="H3020">
        <f>SUMIFS($F$2:F3020,$C$2:C3020,C3020)</f>
        <v>11195</v>
      </c>
      <c r="I3020" s="8">
        <f>STAMP_Escapement_Data[[#This Row],[DATE]]-DATE(STAMP_Escapement_Data[[#This Row],[YEAR]],8,1)</f>
        <v>38</v>
      </c>
    </row>
    <row r="3021" spans="1:9" ht="18.75" x14ac:dyDescent="0.25">
      <c r="A3021" s="3">
        <v>45909</v>
      </c>
      <c r="B3021" s="4" t="str">
        <f t="shared" si="2"/>
        <v>0909</v>
      </c>
      <c r="C3021" s="5">
        <f t="shared" si="3"/>
        <v>2025</v>
      </c>
      <c r="D3021" s="6">
        <v>897</v>
      </c>
      <c r="E3021" s="6">
        <v>57</v>
      </c>
      <c r="F3021" s="6">
        <v>1113</v>
      </c>
      <c r="G3021" s="6">
        <v>201</v>
      </c>
      <c r="H3021">
        <f>SUMIFS($F$2:F3021,$C$2:C3021,C3021)</f>
        <v>12308</v>
      </c>
      <c r="I3021" s="8">
        <f>STAMP_Escapement_Data[[#This Row],[DATE]]-DATE(STAMP_Escapement_Data[[#This Row],[YEAR]],8,1)</f>
        <v>39</v>
      </c>
    </row>
    <row r="3022" spans="1:9" ht="18.75" x14ac:dyDescent="0.25">
      <c r="A3022" s="3">
        <v>45910</v>
      </c>
      <c r="B3022" s="4" t="str">
        <f t="shared" si="2"/>
        <v>0910</v>
      </c>
      <c r="C3022" s="5">
        <f t="shared" si="3"/>
        <v>2025</v>
      </c>
      <c r="D3022" s="6">
        <v>1152</v>
      </c>
      <c r="E3022" s="6">
        <v>170</v>
      </c>
      <c r="F3022" s="6">
        <v>722</v>
      </c>
      <c r="G3022" s="6">
        <v>275</v>
      </c>
      <c r="H3022">
        <f>SUMIFS($F$2:F3022,$C$2:C3022,C3022)</f>
        <v>13030</v>
      </c>
      <c r="I3022" s="8">
        <f>STAMP_Escapement_Data[[#This Row],[DATE]]-DATE(STAMP_Escapement_Data[[#This Row],[YEAR]],8,1)</f>
        <v>40</v>
      </c>
    </row>
    <row r="3023" spans="1:9" ht="18.75" x14ac:dyDescent="0.25">
      <c r="A3023" s="3">
        <v>45911</v>
      </c>
      <c r="B3023" s="4" t="str">
        <f t="shared" si="2"/>
        <v>0911</v>
      </c>
      <c r="C3023" s="5">
        <f t="shared" si="3"/>
        <v>2025</v>
      </c>
      <c r="D3023" s="6">
        <v>972</v>
      </c>
      <c r="E3023" s="6">
        <v>172</v>
      </c>
      <c r="F3023" s="6">
        <v>754</v>
      </c>
      <c r="G3023" s="6">
        <v>371</v>
      </c>
      <c r="H3023">
        <f>SUMIFS($F$2:F3023,$C$2:C3023,C3023)</f>
        <v>13784</v>
      </c>
      <c r="I3023" s="8">
        <f>STAMP_Escapement_Data[[#This Row],[DATE]]-DATE(STAMP_Escapement_Data[[#This Row],[YEAR]],8,1)</f>
        <v>41</v>
      </c>
    </row>
    <row r="3024" spans="1:9" ht="18.75" x14ac:dyDescent="0.25">
      <c r="A3024" s="3">
        <v>45912</v>
      </c>
      <c r="B3024" s="4" t="str">
        <f t="shared" si="2"/>
        <v>0912</v>
      </c>
      <c r="C3024" s="5">
        <f t="shared" si="3"/>
        <v>2025</v>
      </c>
      <c r="D3024" s="6">
        <v>833</v>
      </c>
      <c r="E3024" s="6">
        <v>166</v>
      </c>
      <c r="F3024" s="6">
        <v>684</v>
      </c>
      <c r="G3024" s="6">
        <v>331</v>
      </c>
      <c r="H3024">
        <f>SUMIFS($F$2:F3024,$C$2:C3024,C3024)</f>
        <v>14468</v>
      </c>
      <c r="I3024" s="8">
        <f>STAMP_Escapement_Data[[#This Row],[DATE]]-DATE(STAMP_Escapement_Data[[#This Row],[YEAR]],8,1)</f>
        <v>42</v>
      </c>
    </row>
    <row r="3025" spans="1:9" ht="18.75" x14ac:dyDescent="0.25">
      <c r="A3025" s="3">
        <v>45913</v>
      </c>
      <c r="B3025" s="4" t="str">
        <f t="shared" si="2"/>
        <v>0913</v>
      </c>
      <c r="C3025" s="5">
        <f t="shared" si="3"/>
        <v>2025</v>
      </c>
      <c r="D3025" s="6">
        <v>879</v>
      </c>
      <c r="E3025" s="6">
        <v>173</v>
      </c>
      <c r="F3025" s="6">
        <v>575</v>
      </c>
      <c r="G3025" s="6">
        <v>263</v>
      </c>
      <c r="H3025">
        <f>SUMIFS($F$2:F3025,$C$2:C3025,C3025)</f>
        <v>15043</v>
      </c>
      <c r="I3025" s="8">
        <f>STAMP_Escapement_Data[[#This Row],[DATE]]-DATE(STAMP_Escapement_Data[[#This Row],[YEAR]],8,1)</f>
        <v>43</v>
      </c>
    </row>
    <row r="3026" spans="1:9" ht="18.75" x14ac:dyDescent="0.25">
      <c r="A3026" s="3">
        <v>45914</v>
      </c>
      <c r="B3026" s="4" t="str">
        <f t="shared" si="2"/>
        <v>0914</v>
      </c>
      <c r="C3026" s="5">
        <f t="shared" si="3"/>
        <v>2025</v>
      </c>
      <c r="D3026" s="6">
        <v>694</v>
      </c>
      <c r="E3026" s="6">
        <v>139</v>
      </c>
      <c r="F3026" s="6">
        <v>741</v>
      </c>
      <c r="G3026" s="6">
        <v>398</v>
      </c>
      <c r="H3026">
        <f>SUMIFS($F$2:F3026,$C$2:C3026,C3026)</f>
        <v>15784</v>
      </c>
      <c r="I3026" s="8">
        <f>STAMP_Escapement_Data[[#This Row],[DATE]]-DATE(STAMP_Escapement_Data[[#This Row],[YEAR]],8,1)</f>
        <v>44</v>
      </c>
    </row>
    <row r="3027" spans="1:9" ht="18.75" x14ac:dyDescent="0.25">
      <c r="A3027" s="3">
        <v>45915</v>
      </c>
      <c r="B3027" s="4" t="str">
        <f t="shared" si="2"/>
        <v>0915</v>
      </c>
      <c r="C3027" s="5">
        <f t="shared" si="3"/>
        <v>2025</v>
      </c>
      <c r="D3027" s="6">
        <v>541</v>
      </c>
      <c r="E3027" s="6">
        <v>156</v>
      </c>
      <c r="F3027" s="6">
        <v>606</v>
      </c>
      <c r="G3027" s="6">
        <v>380</v>
      </c>
      <c r="H3027">
        <f>SUMIFS($F$2:F3027,$C$2:C3027,C3027)</f>
        <v>16390</v>
      </c>
      <c r="I3027" s="8">
        <f>STAMP_Escapement_Data[[#This Row],[DATE]]-DATE(STAMP_Escapement_Data[[#This Row],[YEAR]],8,1)</f>
        <v>45</v>
      </c>
    </row>
    <row r="3028" spans="1:9" ht="18.75" x14ac:dyDescent="0.25">
      <c r="A3028" s="3">
        <v>45916</v>
      </c>
      <c r="B3028" s="4" t="str">
        <f t="shared" si="2"/>
        <v>0916</v>
      </c>
      <c r="C3028" s="5">
        <f t="shared" si="3"/>
        <v>2025</v>
      </c>
      <c r="D3028" s="6">
        <v>757</v>
      </c>
      <c r="E3028" s="6">
        <v>246</v>
      </c>
      <c r="F3028" s="6">
        <v>634</v>
      </c>
      <c r="G3028" s="6">
        <v>427</v>
      </c>
      <c r="H3028">
        <f>SUMIFS($F$2:F3028,$C$2:C3028,C3028)</f>
        <v>17024</v>
      </c>
      <c r="I3028" s="8">
        <f>STAMP_Escapement_Data[[#This Row],[DATE]]-DATE(STAMP_Escapement_Data[[#This Row],[YEAR]],8,1)</f>
        <v>46</v>
      </c>
    </row>
    <row r="3029" spans="1:9" ht="18.75" x14ac:dyDescent="0.25">
      <c r="A3029" s="3">
        <v>45917</v>
      </c>
      <c r="B3029" s="4" t="str">
        <f t="shared" si="2"/>
        <v>0917</v>
      </c>
      <c r="C3029" s="5">
        <f t="shared" si="3"/>
        <v>2025</v>
      </c>
      <c r="D3029" s="6">
        <v>1247</v>
      </c>
      <c r="E3029" s="6">
        <v>261</v>
      </c>
      <c r="F3029" s="6">
        <v>745</v>
      </c>
      <c r="G3029" s="6">
        <v>418</v>
      </c>
      <c r="H3029">
        <f>SUMIFS($F$2:F3029,$C$2:C3029,C3029)</f>
        <v>17769</v>
      </c>
      <c r="I3029" s="8">
        <f>STAMP_Escapement_Data[[#This Row],[DATE]]-DATE(STAMP_Escapement_Data[[#This Row],[YEAR]],8,1)</f>
        <v>47</v>
      </c>
    </row>
    <row r="3030" spans="1:9" ht="18.75" x14ac:dyDescent="0.25">
      <c r="A3030" s="3">
        <v>45918</v>
      </c>
      <c r="B3030" s="4" t="str">
        <f t="shared" si="2"/>
        <v>0918</v>
      </c>
      <c r="C3030" s="5">
        <f t="shared" si="3"/>
        <v>2025</v>
      </c>
      <c r="D3030" s="6">
        <v>967</v>
      </c>
      <c r="E3030" s="6">
        <v>214</v>
      </c>
      <c r="F3030" s="6">
        <v>824</v>
      </c>
      <c r="G3030" s="6">
        <v>394</v>
      </c>
      <c r="H3030">
        <f>SUMIFS($F$2:F3030,$C$2:C3030,C3030)</f>
        <v>18593</v>
      </c>
      <c r="I3030" s="8">
        <f>STAMP_Escapement_Data[[#This Row],[DATE]]-DATE(STAMP_Escapement_Data[[#This Row],[YEAR]],8,1)</f>
        <v>48</v>
      </c>
    </row>
    <row r="3031" spans="1:9" ht="18.75" x14ac:dyDescent="0.25">
      <c r="A3031" s="3">
        <v>45919</v>
      </c>
      <c r="B3031" s="4" t="str">
        <f t="shared" si="2"/>
        <v>0919</v>
      </c>
      <c r="C3031" s="5">
        <f t="shared" si="3"/>
        <v>2025</v>
      </c>
      <c r="D3031" s="6">
        <v>767</v>
      </c>
      <c r="E3031" s="6">
        <v>221</v>
      </c>
      <c r="F3031" s="6">
        <v>488</v>
      </c>
      <c r="G3031" s="6">
        <v>170</v>
      </c>
      <c r="H3031">
        <f>SUMIFS($F$2:F3031,$C$2:C3031,C3031)</f>
        <v>19081</v>
      </c>
      <c r="I3031" s="8">
        <f>STAMP_Escapement_Data[[#This Row],[DATE]]-DATE(STAMP_Escapement_Data[[#This Row],[YEAR]],8,1)</f>
        <v>49</v>
      </c>
    </row>
    <row r="3032" spans="1:9" ht="18.75" x14ac:dyDescent="0.25">
      <c r="A3032" s="3">
        <v>45920</v>
      </c>
      <c r="B3032" s="4" t="str">
        <f t="shared" si="2"/>
        <v>0920</v>
      </c>
      <c r="C3032" s="5">
        <f t="shared" si="3"/>
        <v>2025</v>
      </c>
      <c r="D3032" s="6">
        <v>1125</v>
      </c>
      <c r="E3032" s="6">
        <v>204</v>
      </c>
      <c r="F3032" s="6">
        <v>504</v>
      </c>
      <c r="G3032" s="6">
        <v>96</v>
      </c>
      <c r="H3032">
        <f>SUMIFS($F$2:F3032,$C$2:C3032,C3032)</f>
        <v>19585</v>
      </c>
      <c r="I3032" s="8">
        <f>STAMP_Escapement_Data[[#This Row],[DATE]]-DATE(STAMP_Escapement_Data[[#This Row],[YEAR]],8,1)</f>
        <v>50</v>
      </c>
    </row>
    <row r="3033" spans="1:9" ht="18.75" x14ac:dyDescent="0.25">
      <c r="A3033" s="3">
        <v>45921</v>
      </c>
      <c r="B3033" s="4" t="str">
        <f t="shared" si="2"/>
        <v>0921</v>
      </c>
      <c r="C3033" s="5">
        <f t="shared" si="3"/>
        <v>2025</v>
      </c>
      <c r="D3033" s="6">
        <v>1111</v>
      </c>
      <c r="E3033" s="6">
        <v>334</v>
      </c>
      <c r="F3033" s="6">
        <v>764</v>
      </c>
      <c r="G3033" s="6">
        <v>288</v>
      </c>
      <c r="H3033">
        <f>SUMIFS($F$2:F3033,$C$2:C3033,C3033)</f>
        <v>20349</v>
      </c>
      <c r="I3033" s="8">
        <f>STAMP_Escapement_Data[[#This Row],[DATE]]-DATE(STAMP_Escapement_Data[[#This Row],[YEAR]],8,1)</f>
        <v>51</v>
      </c>
    </row>
    <row r="3034" spans="1:9" ht="18.75" x14ac:dyDescent="0.25">
      <c r="A3034" s="3">
        <v>45922</v>
      </c>
      <c r="B3034" s="4" t="str">
        <f t="shared" si="2"/>
        <v>0922</v>
      </c>
      <c r="C3034" s="5">
        <f t="shared" si="3"/>
        <v>2025</v>
      </c>
      <c r="D3034" s="6">
        <v>474</v>
      </c>
      <c r="E3034" s="6">
        <v>186</v>
      </c>
      <c r="F3034" s="6">
        <v>842</v>
      </c>
      <c r="G3034" s="6">
        <v>260</v>
      </c>
      <c r="H3034">
        <f>SUMIFS($F$2:F3034,$C$2:C3034,C3034)</f>
        <v>21191</v>
      </c>
      <c r="I3034" s="8">
        <f>STAMP_Escapement_Data[[#This Row],[DATE]]-DATE(STAMP_Escapement_Data[[#This Row],[YEAR]],8,1)</f>
        <v>52</v>
      </c>
    </row>
    <row r="3035" spans="1:9" ht="18.75" x14ac:dyDescent="0.25">
      <c r="A3035" s="3">
        <v>45923</v>
      </c>
      <c r="B3035" s="4" t="str">
        <f t="shared" si="2"/>
        <v>0923</v>
      </c>
      <c r="C3035" s="5">
        <f t="shared" si="3"/>
        <v>2025</v>
      </c>
      <c r="D3035" s="6">
        <v>237</v>
      </c>
      <c r="E3035" s="6">
        <v>106</v>
      </c>
      <c r="F3035" s="6">
        <v>565</v>
      </c>
      <c r="G3035" s="6">
        <v>170</v>
      </c>
      <c r="H3035">
        <f>SUMIFS($F$2:F3035,$C$2:C3035,C3035)</f>
        <v>21756</v>
      </c>
      <c r="I3035" s="8">
        <f>STAMP_Escapement_Data[[#This Row],[DATE]]-DATE(STAMP_Escapement_Data[[#This Row],[YEAR]],8,1)</f>
        <v>53</v>
      </c>
    </row>
    <row r="3036" spans="1:9" ht="18.75" x14ac:dyDescent="0.25">
      <c r="A3036" s="3">
        <v>45924</v>
      </c>
      <c r="B3036" s="4" t="str">
        <f t="shared" si="2"/>
        <v>0924</v>
      </c>
      <c r="C3036" s="5">
        <f t="shared" si="3"/>
        <v>2025</v>
      </c>
      <c r="D3036" s="6">
        <v>228</v>
      </c>
      <c r="E3036" s="6">
        <v>91</v>
      </c>
      <c r="F3036" s="6">
        <v>667</v>
      </c>
      <c r="G3036" s="6">
        <v>188</v>
      </c>
      <c r="H3036">
        <f>SUMIFS($F$2:F3036,$C$2:C3036,C3036)</f>
        <v>22423</v>
      </c>
      <c r="I3036" s="8">
        <f>STAMP_Escapement_Data[[#This Row],[DATE]]-DATE(STAMP_Escapement_Data[[#This Row],[YEAR]],8,1)</f>
        <v>54</v>
      </c>
    </row>
    <row r="3037" spans="1:9" ht="18.75" x14ac:dyDescent="0.25">
      <c r="A3037" s="3">
        <v>45925</v>
      </c>
      <c r="B3037" s="4" t="str">
        <f t="shared" si="2"/>
        <v>0925</v>
      </c>
      <c r="C3037" s="5">
        <f t="shared" si="3"/>
        <v>2025</v>
      </c>
      <c r="D3037" s="6">
        <v>278</v>
      </c>
      <c r="E3037" s="6">
        <v>132</v>
      </c>
      <c r="F3037" s="6">
        <v>979</v>
      </c>
      <c r="G3037" s="6">
        <v>234</v>
      </c>
      <c r="H3037">
        <f>SUMIFS($F$2:F3037,$C$2:C3037,C3037)</f>
        <v>23402</v>
      </c>
      <c r="I3037" s="8">
        <f>STAMP_Escapement_Data[[#This Row],[DATE]]-DATE(STAMP_Escapement_Data[[#This Row],[YEAR]],8,1)</f>
        <v>55</v>
      </c>
    </row>
    <row r="3038" spans="1:9" ht="18.75" x14ac:dyDescent="0.25">
      <c r="A3038" s="3">
        <v>45926</v>
      </c>
      <c r="B3038" s="4" t="str">
        <f t="shared" si="2"/>
        <v>0926</v>
      </c>
      <c r="C3038" s="5">
        <f t="shared" si="3"/>
        <v>2025</v>
      </c>
      <c r="D3038" s="6">
        <v>257</v>
      </c>
      <c r="E3038" s="6">
        <v>132</v>
      </c>
      <c r="F3038" s="6">
        <v>533</v>
      </c>
      <c r="G3038" s="6">
        <v>112</v>
      </c>
      <c r="H3038">
        <f>SUMIFS($F$2:F3038,$C$2:C3038,C3038)</f>
        <v>23935</v>
      </c>
      <c r="I3038" s="8">
        <f>STAMP_Escapement_Data[[#This Row],[DATE]]-DATE(STAMP_Escapement_Data[[#This Row],[YEAR]],8,1)</f>
        <v>56</v>
      </c>
    </row>
    <row r="3039" spans="1:9" ht="18.75" x14ac:dyDescent="0.25">
      <c r="A3039" s="3">
        <v>45927</v>
      </c>
      <c r="B3039" s="4" t="str">
        <f t="shared" si="2"/>
        <v>0927</v>
      </c>
      <c r="C3039" s="5">
        <f t="shared" si="3"/>
        <v>2025</v>
      </c>
      <c r="D3039" s="6">
        <v>544</v>
      </c>
      <c r="E3039" s="6">
        <v>214</v>
      </c>
      <c r="F3039" s="6">
        <v>836</v>
      </c>
      <c r="G3039" s="6">
        <v>186</v>
      </c>
      <c r="H3039">
        <f>SUMIFS($F$2:F3039,$C$2:C3039,C3039)</f>
        <v>24771</v>
      </c>
      <c r="I3039" s="8">
        <f>STAMP_Escapement_Data[[#This Row],[DATE]]-DATE(STAMP_Escapement_Data[[#This Row],[YEAR]],8,1)</f>
        <v>57</v>
      </c>
    </row>
    <row r="3040" spans="1:9" ht="18.75" x14ac:dyDescent="0.25">
      <c r="A3040" s="3">
        <v>45928</v>
      </c>
      <c r="B3040" s="4" t="str">
        <f t="shared" si="2"/>
        <v>0928</v>
      </c>
      <c r="C3040" s="5">
        <f t="shared" si="3"/>
        <v>2025</v>
      </c>
      <c r="D3040" s="6">
        <v>433</v>
      </c>
      <c r="E3040" s="6">
        <v>166</v>
      </c>
      <c r="F3040" s="6">
        <v>1276</v>
      </c>
      <c r="G3040" s="6">
        <v>192</v>
      </c>
      <c r="H3040">
        <f>SUMIFS($F$2:F3040,$C$2:C3040,C3040)</f>
        <v>26047</v>
      </c>
      <c r="I3040" s="8">
        <f>STAMP_Escapement_Data[[#This Row],[DATE]]-DATE(STAMP_Escapement_Data[[#This Row],[YEAR]],8,1)</f>
        <v>58</v>
      </c>
    </row>
    <row r="3041" spans="1:9" ht="18.75" x14ac:dyDescent="0.25">
      <c r="A3041" s="3">
        <v>45929</v>
      </c>
      <c r="B3041" s="4" t="str">
        <f t="shared" si="2"/>
        <v>0929</v>
      </c>
      <c r="C3041" s="5">
        <f t="shared" si="3"/>
        <v>2025</v>
      </c>
      <c r="D3041" s="6">
        <v>506</v>
      </c>
      <c r="E3041" s="6">
        <v>183</v>
      </c>
      <c r="F3041" s="6">
        <v>1723</v>
      </c>
      <c r="G3041" s="6">
        <v>243</v>
      </c>
      <c r="H3041">
        <f>SUMIFS($F$2:F3041,$C$2:C3041,C3041)</f>
        <v>27770</v>
      </c>
      <c r="I3041" s="8">
        <f>STAMP_Escapement_Data[[#This Row],[DATE]]-DATE(STAMP_Escapement_Data[[#This Row],[YEAR]],8,1)</f>
        <v>59</v>
      </c>
    </row>
    <row r="3042" spans="1:9" ht="18.75" x14ac:dyDescent="0.25">
      <c r="A3042" s="3">
        <v>45930</v>
      </c>
      <c r="B3042" s="4" t="str">
        <f t="shared" si="2"/>
        <v>0930</v>
      </c>
      <c r="C3042" s="5">
        <f t="shared" si="3"/>
        <v>2025</v>
      </c>
      <c r="D3042" s="6">
        <v>334</v>
      </c>
      <c r="E3042" s="6">
        <v>122</v>
      </c>
      <c r="F3042" s="6">
        <v>1551</v>
      </c>
      <c r="G3042" s="6">
        <v>209</v>
      </c>
      <c r="H3042">
        <f>SUMIFS($F$2:F3042,$C$2:C3042,C3042)</f>
        <v>29321</v>
      </c>
      <c r="I3042" s="8">
        <f>STAMP_Escapement_Data[[#This Row],[DATE]]-DATE(STAMP_Escapement_Data[[#This Row],[YEAR]],8,1)</f>
        <v>60</v>
      </c>
    </row>
    <row r="3043" spans="1:9" ht="18.75" x14ac:dyDescent="0.25">
      <c r="A3043" s="3">
        <v>45931</v>
      </c>
      <c r="B3043" s="4" t="str">
        <f t="shared" si="2"/>
        <v>1001</v>
      </c>
      <c r="C3043" s="5">
        <f t="shared" si="3"/>
        <v>2025</v>
      </c>
      <c r="D3043" s="6">
        <v>618</v>
      </c>
      <c r="E3043" s="6">
        <v>143</v>
      </c>
      <c r="F3043" s="6">
        <v>3368</v>
      </c>
      <c r="G3043" s="6">
        <v>415</v>
      </c>
      <c r="H3043">
        <f>SUMIFS($F$2:F3043,$C$2:C3043,C3043)</f>
        <v>32689</v>
      </c>
      <c r="I3043" s="8">
        <f>STAMP_Escapement_Data[[#This Row],[DATE]]-DATE(STAMP_Escapement_Data[[#This Row],[YEAR]],8,1)</f>
        <v>61</v>
      </c>
    </row>
    <row r="3044" spans="1:9" ht="18.75" x14ac:dyDescent="0.25">
      <c r="A3044" s="3">
        <v>45932</v>
      </c>
      <c r="B3044" s="4" t="str">
        <f t="shared" si="2"/>
        <v>1002</v>
      </c>
      <c r="C3044" s="5">
        <f t="shared" si="3"/>
        <v>2025</v>
      </c>
      <c r="D3044" s="6">
        <v>187</v>
      </c>
      <c r="E3044" s="6">
        <v>33</v>
      </c>
      <c r="F3044" s="6">
        <v>1864</v>
      </c>
      <c r="G3044" s="6">
        <v>190</v>
      </c>
      <c r="H3044">
        <f>SUMIFS($F$2:F3044,$C$2:C3044,C3044)</f>
        <v>34553</v>
      </c>
      <c r="I3044" s="8">
        <f>STAMP_Escapement_Data[[#This Row],[DATE]]-DATE(STAMP_Escapement_Data[[#This Row],[YEAR]],8,1)</f>
        <v>62</v>
      </c>
    </row>
    <row r="3045" spans="1:9" ht="18.75" x14ac:dyDescent="0.25">
      <c r="A3045" s="3">
        <v>45933</v>
      </c>
      <c r="B3045" s="4" t="str">
        <f t="shared" si="2"/>
        <v>1003</v>
      </c>
      <c r="C3045" s="5">
        <f t="shared" si="3"/>
        <v>2025</v>
      </c>
      <c r="D3045" s="6">
        <v>159</v>
      </c>
      <c r="E3045" s="6">
        <v>56</v>
      </c>
      <c r="F3045" s="6">
        <v>1599</v>
      </c>
      <c r="G3045" s="6">
        <v>301</v>
      </c>
      <c r="H3045">
        <f>SUMIFS($F$2:F3045,$C$2:C3045,C3045)</f>
        <v>36152</v>
      </c>
      <c r="I3045" s="8">
        <f>STAMP_Escapement_Data[[#This Row],[DATE]]-DATE(STAMP_Escapement_Data[[#This Row],[YEAR]],8,1)</f>
        <v>63</v>
      </c>
    </row>
    <row r="3046" spans="1:9" ht="18.75" x14ac:dyDescent="0.25">
      <c r="A3046" s="3">
        <v>45934</v>
      </c>
      <c r="B3046" s="4" t="str">
        <f t="shared" si="2"/>
        <v>1004</v>
      </c>
      <c r="C3046" s="5">
        <f t="shared" si="3"/>
        <v>2025</v>
      </c>
      <c r="D3046" s="6">
        <v>115</v>
      </c>
      <c r="E3046" s="6">
        <v>43</v>
      </c>
      <c r="F3046" s="6">
        <v>1053</v>
      </c>
      <c r="G3046" s="6">
        <v>355</v>
      </c>
      <c r="H3046">
        <f>SUMIFS($F$2:F3046,$C$2:C3046,C3046)</f>
        <v>37205</v>
      </c>
      <c r="I3046" s="8">
        <f>STAMP_Escapement_Data[[#This Row],[DATE]]-DATE(STAMP_Escapement_Data[[#This Row],[YEAR]],8,1)</f>
        <v>64</v>
      </c>
    </row>
    <row r="3047" spans="1:9" ht="18.75" x14ac:dyDescent="0.25">
      <c r="A3047" s="3">
        <v>45935</v>
      </c>
      <c r="B3047" s="4" t="str">
        <f t="shared" si="2"/>
        <v>1005</v>
      </c>
      <c r="C3047" s="5">
        <f t="shared" si="3"/>
        <v>2025</v>
      </c>
      <c r="D3047" s="6">
        <v>237</v>
      </c>
      <c r="E3047" s="6">
        <v>48</v>
      </c>
      <c r="F3047" s="6">
        <v>1901</v>
      </c>
      <c r="G3047" s="6">
        <v>314</v>
      </c>
      <c r="H3047">
        <f>SUMIFS($F$2:F3047,$C$2:C3047,C3047)</f>
        <v>39106</v>
      </c>
      <c r="I3047" s="8">
        <f>STAMP_Escapement_Data[[#This Row],[DATE]]-DATE(STAMP_Escapement_Data[[#This Row],[YEAR]],8,1)</f>
        <v>65</v>
      </c>
    </row>
    <row r="3048" spans="1:9" ht="18.75" x14ac:dyDescent="0.25">
      <c r="A3048" s="3">
        <v>45936</v>
      </c>
      <c r="B3048" s="4" t="str">
        <f t="shared" si="2"/>
        <v>1006</v>
      </c>
      <c r="C3048" s="5">
        <f t="shared" si="3"/>
        <v>2025</v>
      </c>
      <c r="D3048" s="6">
        <v>142</v>
      </c>
      <c r="E3048" s="6">
        <v>50</v>
      </c>
      <c r="F3048" s="6">
        <v>573</v>
      </c>
      <c r="G3048" s="6">
        <v>84</v>
      </c>
      <c r="H3048">
        <f>SUMIFS($F$2:F3048,$C$2:C3048,C3048)</f>
        <v>39679</v>
      </c>
      <c r="I3048" s="8">
        <f>STAMP_Escapement_Data[[#This Row],[DATE]]-DATE(STAMP_Escapement_Data[[#This Row],[YEAR]],8,1)</f>
        <v>66</v>
      </c>
    </row>
    <row r="3049" spans="1:9" ht="18.75" x14ac:dyDescent="0.25">
      <c r="A3049" s="3">
        <v>45937</v>
      </c>
      <c r="B3049" s="4" t="str">
        <f t="shared" si="2"/>
        <v>1007</v>
      </c>
      <c r="C3049" s="5">
        <f t="shared" si="3"/>
        <v>2025</v>
      </c>
      <c r="D3049" s="6">
        <v>235</v>
      </c>
      <c r="E3049" s="6">
        <v>50</v>
      </c>
      <c r="F3049" s="6">
        <v>700</v>
      </c>
      <c r="G3049" s="6">
        <v>150</v>
      </c>
      <c r="H3049">
        <f>SUMIFS($F$2:F3049,$C$2:C3049,C3049)</f>
        <v>40379</v>
      </c>
      <c r="I3049" s="8">
        <f>STAMP_Escapement_Data[[#This Row],[DATE]]-DATE(STAMP_Escapement_Data[[#This Row],[YEAR]],8,1)</f>
        <v>67</v>
      </c>
    </row>
    <row r="3050" spans="1:9" ht="18.75" x14ac:dyDescent="0.25">
      <c r="A3050" s="3">
        <v>45938</v>
      </c>
      <c r="B3050" s="4" t="str">
        <f t="shared" si="2"/>
        <v>1008</v>
      </c>
      <c r="C3050" s="5">
        <f t="shared" si="3"/>
        <v>2025</v>
      </c>
      <c r="D3050" s="6">
        <v>214</v>
      </c>
      <c r="E3050" s="6">
        <v>45</v>
      </c>
      <c r="F3050" s="6">
        <v>859</v>
      </c>
      <c r="G3050" s="6">
        <v>161</v>
      </c>
      <c r="H3050">
        <f>SUMIFS($F$2:F3050,$C$2:C3050,C3050)</f>
        <v>41238</v>
      </c>
      <c r="I3050" s="8">
        <f>STAMP_Escapement_Data[[#This Row],[DATE]]-DATE(STAMP_Escapement_Data[[#This Row],[YEAR]],8,1)</f>
        <v>68</v>
      </c>
    </row>
    <row r="3051" spans="1:9" ht="18.75" x14ac:dyDescent="0.25">
      <c r="A3051" s="3">
        <v>45939</v>
      </c>
      <c r="B3051" s="4" t="str">
        <f t="shared" si="2"/>
        <v>1009</v>
      </c>
      <c r="C3051" s="5">
        <f t="shared" si="3"/>
        <v>2025</v>
      </c>
      <c r="D3051" s="6">
        <v>105</v>
      </c>
      <c r="E3051" s="6">
        <v>35</v>
      </c>
      <c r="F3051" s="6">
        <v>780</v>
      </c>
      <c r="G3051" s="6">
        <v>156</v>
      </c>
      <c r="H3051">
        <f>SUMIFS($F$2:F3051,$C$2:C3051,C3051)</f>
        <v>42018</v>
      </c>
      <c r="I3051" s="8">
        <f>STAMP_Escapement_Data[[#This Row],[DATE]]-DATE(STAMP_Escapement_Data[[#This Row],[YEAR]],8,1)</f>
        <v>69</v>
      </c>
    </row>
    <row r="3052" spans="1:9" ht="18.75" x14ac:dyDescent="0.25">
      <c r="A3052" s="3">
        <v>45940</v>
      </c>
      <c r="B3052" s="4" t="str">
        <f t="shared" ref="B3052:B3065" si="4">CONCATENATE(TEXT(A3052,"mm"),TEXT(A3052,"dd"))</f>
        <v>1010</v>
      </c>
      <c r="C3052" s="5">
        <f t="shared" ref="C3052:C3065" si="5">YEAR(A3052)</f>
        <v>2025</v>
      </c>
      <c r="D3052" s="6">
        <v>66</v>
      </c>
      <c r="E3052" s="6">
        <v>12</v>
      </c>
      <c r="F3052" s="6">
        <v>523</v>
      </c>
      <c r="G3052" s="6">
        <v>64</v>
      </c>
      <c r="H3052">
        <f>SUMIFS($F$2:F3052,$C$2:C3052,C3052)</f>
        <v>42541</v>
      </c>
      <c r="I3052" s="8">
        <f>STAMP_Escapement_Data[[#This Row],[DATE]]-DATE(STAMP_Escapement_Data[[#This Row],[YEAR]],8,1)</f>
        <v>70</v>
      </c>
    </row>
    <row r="3053" spans="1:9" ht="18.75" x14ac:dyDescent="0.25">
      <c r="A3053" s="3">
        <v>45941</v>
      </c>
      <c r="B3053" s="4" t="str">
        <f t="shared" si="4"/>
        <v>1011</v>
      </c>
      <c r="C3053" s="5">
        <f t="shared" si="5"/>
        <v>2025</v>
      </c>
      <c r="D3053" s="6">
        <v>238</v>
      </c>
      <c r="E3053" s="6">
        <v>57</v>
      </c>
      <c r="F3053" s="6">
        <v>558</v>
      </c>
      <c r="G3053" s="6">
        <v>80</v>
      </c>
      <c r="H3053">
        <f>SUMIFS($F$2:F3053,$C$2:C3053,C3053)</f>
        <v>43099</v>
      </c>
      <c r="I3053" s="8">
        <f>STAMP_Escapement_Data[[#This Row],[DATE]]-DATE(STAMP_Escapement_Data[[#This Row],[YEAR]],8,1)</f>
        <v>71</v>
      </c>
    </row>
    <row r="3054" spans="1:9" ht="18.75" x14ac:dyDescent="0.25">
      <c r="A3054" s="3">
        <v>45942</v>
      </c>
      <c r="B3054" s="4" t="str">
        <f t="shared" si="4"/>
        <v>1012</v>
      </c>
      <c r="C3054" s="5">
        <f t="shared" si="5"/>
        <v>2025</v>
      </c>
      <c r="D3054" s="6">
        <v>160</v>
      </c>
      <c r="E3054" s="6">
        <v>34</v>
      </c>
      <c r="F3054" s="6">
        <v>566</v>
      </c>
      <c r="G3054" s="6">
        <v>108</v>
      </c>
      <c r="H3054">
        <f>SUMIFS($F$2:F3054,$C$2:C3054,C3054)</f>
        <v>43665</v>
      </c>
      <c r="I3054" s="8">
        <f>STAMP_Escapement_Data[[#This Row],[DATE]]-DATE(STAMP_Escapement_Data[[#This Row],[YEAR]],8,1)</f>
        <v>72</v>
      </c>
    </row>
    <row r="3055" spans="1:9" ht="18.75" x14ac:dyDescent="0.25">
      <c r="A3055" s="3">
        <v>45943</v>
      </c>
      <c r="B3055" s="4" t="str">
        <f t="shared" si="4"/>
        <v>1013</v>
      </c>
      <c r="C3055" s="5">
        <f t="shared" si="5"/>
        <v>2025</v>
      </c>
      <c r="D3055" s="6">
        <v>41</v>
      </c>
      <c r="E3055" s="6">
        <v>18</v>
      </c>
      <c r="F3055" s="6">
        <v>291</v>
      </c>
      <c r="G3055" s="6">
        <v>20</v>
      </c>
      <c r="H3055">
        <f>SUMIFS($F$2:F3055,$C$2:C3055,C3055)</f>
        <v>43956</v>
      </c>
      <c r="I3055" s="8">
        <f>STAMP_Escapement_Data[[#This Row],[DATE]]-DATE(STAMP_Escapement_Data[[#This Row],[YEAR]],8,1)</f>
        <v>73</v>
      </c>
    </row>
    <row r="3056" spans="1:9" ht="18.75" x14ac:dyDescent="0.25">
      <c r="A3056" s="3">
        <v>45944</v>
      </c>
      <c r="B3056" s="4" t="str">
        <f t="shared" si="4"/>
        <v>1014</v>
      </c>
      <c r="C3056" s="5">
        <f t="shared" si="5"/>
        <v>2025</v>
      </c>
      <c r="D3056" s="6">
        <v>37</v>
      </c>
      <c r="E3056" s="6">
        <v>21</v>
      </c>
      <c r="F3056" s="6">
        <v>326</v>
      </c>
      <c r="G3056" s="6">
        <v>73</v>
      </c>
      <c r="H3056">
        <f>SUMIFS($F$2:F3056,$C$2:C3056,C3056)</f>
        <v>44282</v>
      </c>
      <c r="I3056" s="8">
        <f>STAMP_Escapement_Data[[#This Row],[DATE]]-DATE(STAMP_Escapement_Data[[#This Row],[YEAR]],8,1)</f>
        <v>74</v>
      </c>
    </row>
    <row r="3057" spans="1:9" ht="18.75" x14ac:dyDescent="0.25">
      <c r="A3057" s="3">
        <v>45945</v>
      </c>
      <c r="B3057" s="4" t="str">
        <f t="shared" si="4"/>
        <v>1015</v>
      </c>
      <c r="C3057" s="5">
        <f t="shared" si="5"/>
        <v>2025</v>
      </c>
      <c r="D3057" s="6">
        <v>36</v>
      </c>
      <c r="E3057" s="6">
        <v>7</v>
      </c>
      <c r="F3057" s="6">
        <v>247</v>
      </c>
      <c r="G3057" s="6">
        <v>45</v>
      </c>
      <c r="H3057">
        <f>SUMIFS($F$2:F3057,$C$2:C3057,C3057)</f>
        <v>44529</v>
      </c>
      <c r="I3057" s="8">
        <f>STAMP_Escapement_Data[[#This Row],[DATE]]-DATE(STAMP_Escapement_Data[[#This Row],[YEAR]],8,1)</f>
        <v>75</v>
      </c>
    </row>
    <row r="3058" spans="1:9" ht="18.75" x14ac:dyDescent="0.25">
      <c r="A3058" s="3">
        <v>45946</v>
      </c>
      <c r="B3058" s="4" t="str">
        <f t="shared" si="4"/>
        <v>1016</v>
      </c>
      <c r="C3058" s="5">
        <f t="shared" si="5"/>
        <v>2025</v>
      </c>
      <c r="D3058" s="6">
        <v>33</v>
      </c>
      <c r="E3058" s="6">
        <v>11</v>
      </c>
      <c r="F3058" s="6">
        <v>325</v>
      </c>
      <c r="G3058" s="6">
        <v>61</v>
      </c>
      <c r="H3058">
        <f>SUMIFS($F$2:F3058,$C$2:C3058,C3058)</f>
        <v>44854</v>
      </c>
      <c r="I3058" s="8">
        <f>STAMP_Escapement_Data[[#This Row],[DATE]]-DATE(STAMP_Escapement_Data[[#This Row],[YEAR]],8,1)</f>
        <v>76</v>
      </c>
    </row>
    <row r="3059" spans="1:9" ht="18.75" x14ac:dyDescent="0.25">
      <c r="A3059" s="3">
        <v>45947</v>
      </c>
      <c r="B3059" s="4" t="str">
        <f t="shared" si="4"/>
        <v>1017</v>
      </c>
      <c r="C3059" s="5">
        <f t="shared" si="5"/>
        <v>2025</v>
      </c>
      <c r="D3059" s="6">
        <v>54</v>
      </c>
      <c r="E3059" s="6">
        <v>13</v>
      </c>
      <c r="F3059" s="6">
        <v>305</v>
      </c>
      <c r="G3059" s="6">
        <v>49</v>
      </c>
      <c r="H3059">
        <f>SUMIFS($F$2:F3059,$C$2:C3059,C3059)</f>
        <v>45159</v>
      </c>
      <c r="I3059" s="8">
        <f>STAMP_Escapement_Data[[#This Row],[DATE]]-DATE(STAMP_Escapement_Data[[#This Row],[YEAR]],8,1)</f>
        <v>77</v>
      </c>
    </row>
    <row r="3060" spans="1:9" ht="18.75" x14ac:dyDescent="0.25">
      <c r="A3060" s="3">
        <v>45948</v>
      </c>
      <c r="B3060" s="4" t="str">
        <f t="shared" si="4"/>
        <v>1018</v>
      </c>
      <c r="C3060" s="5">
        <f t="shared" si="5"/>
        <v>2025</v>
      </c>
      <c r="D3060" s="6">
        <v>16</v>
      </c>
      <c r="E3060" s="6">
        <v>4</v>
      </c>
      <c r="F3060" s="6">
        <v>150</v>
      </c>
      <c r="G3060" s="6">
        <v>25</v>
      </c>
      <c r="H3060">
        <f>SUMIFS($F$2:F3060,$C$2:C3060,C3060)</f>
        <v>45309</v>
      </c>
      <c r="I3060" s="8">
        <f>STAMP_Escapement_Data[[#This Row],[DATE]]-DATE(STAMP_Escapement_Data[[#This Row],[YEAR]],8,1)</f>
        <v>78</v>
      </c>
    </row>
    <row r="3061" spans="1:9" ht="18.75" x14ac:dyDescent="0.25">
      <c r="A3061" s="3">
        <v>45949</v>
      </c>
      <c r="B3061" s="4" t="str">
        <f t="shared" si="4"/>
        <v>1019</v>
      </c>
      <c r="C3061" s="5">
        <f t="shared" si="5"/>
        <v>2025</v>
      </c>
      <c r="D3061" s="6">
        <v>50</v>
      </c>
      <c r="E3061" s="6">
        <v>13</v>
      </c>
      <c r="F3061" s="6">
        <v>122</v>
      </c>
      <c r="G3061" s="6">
        <v>27</v>
      </c>
      <c r="H3061">
        <f>SUMIFS($F$2:F3061,$C$2:C3061,C3061)</f>
        <v>45431</v>
      </c>
      <c r="I3061" s="8">
        <f>STAMP_Escapement_Data[[#This Row],[DATE]]-DATE(STAMP_Escapement_Data[[#This Row],[YEAR]],8,1)</f>
        <v>79</v>
      </c>
    </row>
    <row r="3062" spans="1:9" ht="18.75" x14ac:dyDescent="0.25">
      <c r="A3062" s="3">
        <v>45950</v>
      </c>
      <c r="B3062" s="4" t="str">
        <f t="shared" si="4"/>
        <v>1020</v>
      </c>
      <c r="C3062" s="5">
        <f t="shared" si="5"/>
        <v>2025</v>
      </c>
      <c r="D3062" s="6">
        <v>69</v>
      </c>
      <c r="E3062" s="6">
        <v>10</v>
      </c>
      <c r="F3062" s="6">
        <v>49</v>
      </c>
      <c r="G3062" s="6">
        <v>26</v>
      </c>
      <c r="H3062">
        <f>SUMIFS($F$2:F3062,$C$2:C3062,C3062)</f>
        <v>45480</v>
      </c>
      <c r="I3062" s="8">
        <f>STAMP_Escapement_Data[[#This Row],[DATE]]-DATE(STAMP_Escapement_Data[[#This Row],[YEAR]],8,1)</f>
        <v>80</v>
      </c>
    </row>
    <row r="3063" spans="1:9" ht="18.75" x14ac:dyDescent="0.25">
      <c r="A3063" s="3">
        <v>45951</v>
      </c>
      <c r="B3063" s="4" t="str">
        <f t="shared" si="4"/>
        <v>1021</v>
      </c>
      <c r="C3063" s="5">
        <f t="shared" si="5"/>
        <v>2025</v>
      </c>
      <c r="D3063" s="6">
        <v>46</v>
      </c>
      <c r="E3063" s="6">
        <v>11</v>
      </c>
      <c r="F3063" s="6">
        <v>63</v>
      </c>
      <c r="G3063" s="6">
        <v>30</v>
      </c>
      <c r="H3063">
        <f>SUMIFS($F$2:F3063,$C$2:C3063,C3063)</f>
        <v>45543</v>
      </c>
      <c r="I3063" s="8">
        <f>STAMP_Escapement_Data[[#This Row],[DATE]]-DATE(STAMP_Escapement_Data[[#This Row],[YEAR]],8,1)</f>
        <v>81</v>
      </c>
    </row>
    <row r="3064" spans="1:9" ht="18.75" x14ac:dyDescent="0.25">
      <c r="A3064" s="3">
        <v>45952</v>
      </c>
      <c r="B3064" s="4" t="str">
        <f t="shared" si="4"/>
        <v>1022</v>
      </c>
      <c r="C3064" s="5">
        <f t="shared" si="5"/>
        <v>2025</v>
      </c>
      <c r="D3064" s="6">
        <v>16</v>
      </c>
      <c r="E3064" s="6">
        <v>5</v>
      </c>
      <c r="F3064" s="6">
        <v>71</v>
      </c>
      <c r="G3064" s="6">
        <v>29</v>
      </c>
      <c r="H3064">
        <f>SUMIFS($F$2:F3064,$C$2:C3064,C3064)</f>
        <v>45614</v>
      </c>
      <c r="I3064" s="8">
        <f>STAMP_Escapement_Data[[#This Row],[DATE]]-DATE(STAMP_Escapement_Data[[#This Row],[YEAR]],8,1)</f>
        <v>82</v>
      </c>
    </row>
    <row r="3065" spans="1:9" ht="18.75" x14ac:dyDescent="0.25">
      <c r="A3065" s="3">
        <v>45953</v>
      </c>
      <c r="B3065" s="4" t="str">
        <f t="shared" si="4"/>
        <v>1023</v>
      </c>
      <c r="C3065" s="5">
        <f t="shared" si="5"/>
        <v>2025</v>
      </c>
      <c r="D3065" s="6">
        <v>22</v>
      </c>
      <c r="E3065" s="6">
        <v>4</v>
      </c>
      <c r="F3065" s="6">
        <v>24</v>
      </c>
      <c r="G3065" s="6">
        <v>9</v>
      </c>
      <c r="H3065">
        <f>SUMIFS($F$2:F3065,$C$2:C3065,C3065)</f>
        <v>45638</v>
      </c>
      <c r="I3065" s="8">
        <f>STAMP_Escapement_Data[[#This Row],[DATE]]-DATE(STAMP_Escapement_Data[[#This Row],[YEAR]],8,1)</f>
        <v>83</v>
      </c>
    </row>
    <row r="3066" spans="1:9" ht="18.75" x14ac:dyDescent="0.25">
      <c r="A3066" s="3"/>
      <c r="B3066" s="4"/>
      <c r="C3066" s="5"/>
      <c r="D3066" s="6"/>
      <c r="E3066" s="6"/>
      <c r="F3066" s="6"/>
      <c r="G3066" s="6"/>
      <c r="I3066" s="8">
        <f>STAMP_Escapement_Data[[#This Row],[DATE]]-DATE(STAMP_Escapement_Data[[#This Row],[YEAR]],8,1)</f>
        <v>-214</v>
      </c>
    </row>
  </sheetData>
  <pageMargins left="0.7" right="0.7" top="0.75" bottom="0.75" header="0.3" footer="0.3"/>
  <headerFooter>
    <oddHeader>&amp;R&amp;"Calibri"&amp;12&amp;K000000 Unclassified - Non-Classifié&amp;1#_x000D_</oddHeader>
  </headerFooter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900FC8-B569-442C-B321-EACCE9ABEF71}">
  <dimension ref="A2:D99"/>
  <sheetViews>
    <sheetView topLeftCell="B6" workbookViewId="0">
      <selection activeCell="I42" sqref="I42"/>
    </sheetView>
  </sheetViews>
  <sheetFormatPr defaultRowHeight="15" x14ac:dyDescent="0.25"/>
  <cols>
    <col min="1" max="1" width="22.28515625" bestFit="1" customWidth="1"/>
    <col min="2" max="2" width="16.28515625" bestFit="1" customWidth="1"/>
    <col min="3" max="5" width="6" bestFit="1" customWidth="1"/>
    <col min="6" max="8" width="7" bestFit="1" customWidth="1"/>
    <col min="9" max="15" width="6" bestFit="1" customWidth="1"/>
    <col min="16" max="16" width="5" bestFit="1" customWidth="1"/>
    <col min="17" max="41" width="6" bestFit="1" customWidth="1"/>
    <col min="42" max="42" width="11.28515625" bestFit="1" customWidth="1"/>
  </cols>
  <sheetData>
    <row r="2" spans="1:4" x14ac:dyDescent="0.25">
      <c r="A2" s="2" t="s">
        <v>10</v>
      </c>
      <c r="B2" s="2" t="s">
        <v>8</v>
      </c>
    </row>
    <row r="3" spans="1:4" x14ac:dyDescent="0.25">
      <c r="A3" s="2" t="s">
        <v>7</v>
      </c>
      <c r="B3">
        <v>2023</v>
      </c>
      <c r="C3">
        <v>2024</v>
      </c>
      <c r="D3">
        <v>2025</v>
      </c>
    </row>
    <row r="4" spans="1:4" x14ac:dyDescent="0.25">
      <c r="A4" s="9">
        <v>0</v>
      </c>
      <c r="B4" s="7">
        <v>50</v>
      </c>
      <c r="C4" s="7">
        <v>39</v>
      </c>
      <c r="D4" s="7">
        <v>21</v>
      </c>
    </row>
    <row r="5" spans="1:4" x14ac:dyDescent="0.25">
      <c r="A5" s="9">
        <v>1</v>
      </c>
      <c r="B5" s="7">
        <v>82</v>
      </c>
      <c r="C5" s="7">
        <v>52</v>
      </c>
      <c r="D5" s="7">
        <v>24</v>
      </c>
    </row>
    <row r="6" spans="1:4" x14ac:dyDescent="0.25">
      <c r="A6" s="9">
        <v>2</v>
      </c>
      <c r="B6" s="7">
        <v>95</v>
      </c>
      <c r="C6" s="7">
        <v>62</v>
      </c>
      <c r="D6" s="7">
        <v>28</v>
      </c>
    </row>
    <row r="7" spans="1:4" x14ac:dyDescent="0.25">
      <c r="A7" s="9">
        <v>3</v>
      </c>
      <c r="B7" s="7">
        <v>105</v>
      </c>
      <c r="C7" s="7">
        <v>78</v>
      </c>
      <c r="D7" s="7">
        <v>38</v>
      </c>
    </row>
    <row r="8" spans="1:4" x14ac:dyDescent="0.25">
      <c r="A8" s="9">
        <v>4</v>
      </c>
      <c r="B8" s="7">
        <v>131</v>
      </c>
      <c r="C8" s="7">
        <v>89</v>
      </c>
      <c r="D8" s="7">
        <v>44</v>
      </c>
    </row>
    <row r="9" spans="1:4" x14ac:dyDescent="0.25">
      <c r="A9" s="9">
        <v>5</v>
      </c>
      <c r="B9" s="7">
        <v>170</v>
      </c>
      <c r="C9" s="7">
        <v>97</v>
      </c>
      <c r="D9" s="7">
        <v>59</v>
      </c>
    </row>
    <row r="10" spans="1:4" x14ac:dyDescent="0.25">
      <c r="A10" s="9">
        <v>6</v>
      </c>
      <c r="B10" s="7">
        <v>174</v>
      </c>
      <c r="C10" s="7">
        <v>106</v>
      </c>
      <c r="D10" s="7">
        <v>74</v>
      </c>
    </row>
    <row r="11" spans="1:4" x14ac:dyDescent="0.25">
      <c r="A11" s="9">
        <v>7</v>
      </c>
      <c r="B11" s="7">
        <v>202</v>
      </c>
      <c r="C11" s="7">
        <v>132</v>
      </c>
      <c r="D11" s="7">
        <v>118</v>
      </c>
    </row>
    <row r="12" spans="1:4" x14ac:dyDescent="0.25">
      <c r="A12" s="9">
        <v>8</v>
      </c>
      <c r="B12" s="7">
        <v>216</v>
      </c>
      <c r="C12" s="7">
        <v>165</v>
      </c>
      <c r="D12" s="7">
        <v>147</v>
      </c>
    </row>
    <row r="13" spans="1:4" x14ac:dyDescent="0.25">
      <c r="A13" s="9">
        <v>9</v>
      </c>
      <c r="B13" s="7">
        <v>238</v>
      </c>
      <c r="C13" s="7">
        <v>183</v>
      </c>
      <c r="D13" s="7">
        <v>172</v>
      </c>
    </row>
    <row r="14" spans="1:4" x14ac:dyDescent="0.25">
      <c r="A14" s="9">
        <v>10</v>
      </c>
      <c r="B14" s="7">
        <v>269</v>
      </c>
      <c r="C14" s="7">
        <v>190</v>
      </c>
      <c r="D14" s="7">
        <v>227</v>
      </c>
    </row>
    <row r="15" spans="1:4" x14ac:dyDescent="0.25">
      <c r="A15" s="9">
        <v>11</v>
      </c>
      <c r="B15" s="7">
        <v>349</v>
      </c>
      <c r="C15" s="7">
        <v>220</v>
      </c>
      <c r="D15" s="7">
        <v>256</v>
      </c>
    </row>
    <row r="16" spans="1:4" x14ac:dyDescent="0.25">
      <c r="A16" s="9">
        <v>12</v>
      </c>
      <c r="B16" s="7">
        <v>412</v>
      </c>
      <c r="C16" s="7">
        <v>265</v>
      </c>
      <c r="D16" s="7">
        <v>303</v>
      </c>
    </row>
    <row r="17" spans="1:4" x14ac:dyDescent="0.25">
      <c r="A17" s="9">
        <v>13</v>
      </c>
      <c r="B17" s="7">
        <v>516</v>
      </c>
      <c r="C17" s="7">
        <v>301</v>
      </c>
      <c r="D17" s="7">
        <v>347</v>
      </c>
    </row>
    <row r="18" spans="1:4" x14ac:dyDescent="0.25">
      <c r="A18" s="9">
        <v>14</v>
      </c>
      <c r="B18" s="7">
        <v>577</v>
      </c>
      <c r="C18" s="7">
        <v>423</v>
      </c>
      <c r="D18" s="7">
        <v>415</v>
      </c>
    </row>
    <row r="19" spans="1:4" x14ac:dyDescent="0.25">
      <c r="A19" s="9">
        <v>15</v>
      </c>
      <c r="B19" s="7">
        <v>601</v>
      </c>
      <c r="C19" s="7">
        <v>584</v>
      </c>
      <c r="D19" s="7">
        <v>467</v>
      </c>
    </row>
    <row r="20" spans="1:4" x14ac:dyDescent="0.25">
      <c r="A20" s="9">
        <v>16</v>
      </c>
      <c r="B20" s="7">
        <v>621</v>
      </c>
      <c r="C20" s="7">
        <v>765</v>
      </c>
      <c r="D20" s="7">
        <v>563</v>
      </c>
    </row>
    <row r="21" spans="1:4" x14ac:dyDescent="0.25">
      <c r="A21" s="9">
        <v>17</v>
      </c>
      <c r="B21" s="7">
        <v>636</v>
      </c>
      <c r="C21" s="7">
        <v>960</v>
      </c>
      <c r="D21" s="7">
        <v>748</v>
      </c>
    </row>
    <row r="22" spans="1:4" x14ac:dyDescent="0.25">
      <c r="A22" s="9">
        <v>18</v>
      </c>
      <c r="B22" s="7">
        <v>648</v>
      </c>
      <c r="C22" s="7">
        <v>1244</v>
      </c>
      <c r="D22" s="7">
        <v>888</v>
      </c>
    </row>
    <row r="23" spans="1:4" x14ac:dyDescent="0.25">
      <c r="A23" s="9">
        <v>19</v>
      </c>
      <c r="B23" s="7">
        <v>658</v>
      </c>
      <c r="C23" s="7">
        <v>1458</v>
      </c>
      <c r="D23" s="7">
        <v>1164</v>
      </c>
    </row>
    <row r="24" spans="1:4" x14ac:dyDescent="0.25">
      <c r="A24" s="9">
        <v>20</v>
      </c>
      <c r="B24" s="7">
        <v>686</v>
      </c>
      <c r="C24" s="7">
        <v>2090</v>
      </c>
      <c r="D24" s="7">
        <v>1838</v>
      </c>
    </row>
    <row r="25" spans="1:4" x14ac:dyDescent="0.25">
      <c r="A25" s="9">
        <v>21</v>
      </c>
      <c r="B25" s="7">
        <v>902</v>
      </c>
      <c r="C25" s="7">
        <v>2642</v>
      </c>
      <c r="D25" s="7">
        <v>2275</v>
      </c>
    </row>
    <row r="26" spans="1:4" x14ac:dyDescent="0.25">
      <c r="A26" s="9">
        <v>22</v>
      </c>
      <c r="B26" s="7">
        <v>1552</v>
      </c>
      <c r="C26" s="7">
        <v>3071</v>
      </c>
      <c r="D26" s="7">
        <v>2754</v>
      </c>
    </row>
    <row r="27" spans="1:4" x14ac:dyDescent="0.25">
      <c r="A27" s="9">
        <v>23</v>
      </c>
      <c r="B27" s="7">
        <v>2139</v>
      </c>
      <c r="C27" s="7">
        <v>3378</v>
      </c>
      <c r="D27" s="7">
        <v>3221</v>
      </c>
    </row>
    <row r="28" spans="1:4" x14ac:dyDescent="0.25">
      <c r="A28" s="9">
        <v>24</v>
      </c>
      <c r="B28" s="7">
        <v>2885</v>
      </c>
      <c r="C28" s="7">
        <v>3562</v>
      </c>
      <c r="D28" s="7">
        <v>3577</v>
      </c>
    </row>
    <row r="29" spans="1:4" x14ac:dyDescent="0.25">
      <c r="A29" s="9">
        <v>25</v>
      </c>
      <c r="B29" s="7">
        <v>3558</v>
      </c>
      <c r="C29" s="7">
        <v>3704</v>
      </c>
      <c r="D29" s="7">
        <v>3874</v>
      </c>
    </row>
    <row r="30" spans="1:4" x14ac:dyDescent="0.25">
      <c r="A30" s="9">
        <v>26</v>
      </c>
      <c r="B30" s="7">
        <v>4572</v>
      </c>
      <c r="C30" s="7">
        <v>3894</v>
      </c>
      <c r="D30" s="7">
        <v>4139</v>
      </c>
    </row>
    <row r="31" spans="1:4" x14ac:dyDescent="0.25">
      <c r="A31" s="9">
        <v>27</v>
      </c>
      <c r="B31" s="7">
        <v>5640</v>
      </c>
      <c r="C31" s="7">
        <v>4092</v>
      </c>
      <c r="D31" s="7">
        <v>4279</v>
      </c>
    </row>
    <row r="32" spans="1:4" x14ac:dyDescent="0.25">
      <c r="A32" s="9">
        <v>28</v>
      </c>
      <c r="B32" s="7">
        <v>6513</v>
      </c>
      <c r="C32" s="7">
        <v>4358</v>
      </c>
      <c r="D32" s="7">
        <v>4386</v>
      </c>
    </row>
    <row r="33" spans="1:4" x14ac:dyDescent="0.25">
      <c r="A33" s="9">
        <v>29</v>
      </c>
      <c r="B33" s="7">
        <v>7241</v>
      </c>
      <c r="C33" s="7">
        <v>4727</v>
      </c>
      <c r="D33" s="7">
        <v>4539</v>
      </c>
    </row>
    <row r="34" spans="1:4" x14ac:dyDescent="0.25">
      <c r="A34" s="9">
        <v>30</v>
      </c>
      <c r="B34" s="7">
        <v>8312</v>
      </c>
      <c r="C34" s="7">
        <v>5079</v>
      </c>
      <c r="D34" s="7">
        <v>4716</v>
      </c>
    </row>
    <row r="35" spans="1:4" x14ac:dyDescent="0.25">
      <c r="A35" s="9">
        <v>31</v>
      </c>
      <c r="B35" s="7">
        <v>8942</v>
      </c>
      <c r="C35" s="7">
        <v>5805</v>
      </c>
      <c r="D35" s="7">
        <v>5011</v>
      </c>
    </row>
    <row r="36" spans="1:4" x14ac:dyDescent="0.25">
      <c r="A36" s="9">
        <v>32</v>
      </c>
      <c r="B36" s="7">
        <v>9557</v>
      </c>
      <c r="C36" s="7">
        <v>6665</v>
      </c>
      <c r="D36" s="7">
        <v>5521</v>
      </c>
    </row>
    <row r="37" spans="1:4" x14ac:dyDescent="0.25">
      <c r="A37" s="9">
        <v>33</v>
      </c>
      <c r="B37" s="7">
        <v>10157</v>
      </c>
      <c r="C37" s="7">
        <v>7510</v>
      </c>
      <c r="D37" s="7">
        <v>5939</v>
      </c>
    </row>
    <row r="38" spans="1:4" x14ac:dyDescent="0.25">
      <c r="A38" s="9">
        <v>34</v>
      </c>
      <c r="B38" s="7">
        <v>10743</v>
      </c>
      <c r="C38" s="7">
        <v>8115</v>
      </c>
      <c r="D38" s="7">
        <v>7144</v>
      </c>
    </row>
    <row r="39" spans="1:4" x14ac:dyDescent="0.25">
      <c r="A39" s="9">
        <v>35</v>
      </c>
      <c r="B39" s="7">
        <v>11423</v>
      </c>
      <c r="C39" s="7">
        <v>8811</v>
      </c>
      <c r="D39" s="7">
        <v>7954</v>
      </c>
    </row>
    <row r="40" spans="1:4" x14ac:dyDescent="0.25">
      <c r="A40" s="9">
        <v>36</v>
      </c>
      <c r="B40" s="7">
        <v>12546</v>
      </c>
      <c r="C40" s="7">
        <v>9213</v>
      </c>
      <c r="D40" s="7">
        <v>8869</v>
      </c>
    </row>
    <row r="41" spans="1:4" x14ac:dyDescent="0.25">
      <c r="A41" s="9">
        <v>37</v>
      </c>
      <c r="B41" s="7">
        <v>14121</v>
      </c>
      <c r="C41" s="7">
        <v>9377</v>
      </c>
      <c r="D41" s="7">
        <v>10087</v>
      </c>
    </row>
    <row r="42" spans="1:4" x14ac:dyDescent="0.25">
      <c r="A42" s="9">
        <v>38</v>
      </c>
      <c r="B42" s="7">
        <v>14937</v>
      </c>
      <c r="C42" s="7">
        <v>9749</v>
      </c>
      <c r="D42" s="7">
        <v>11195</v>
      </c>
    </row>
    <row r="43" spans="1:4" x14ac:dyDescent="0.25">
      <c r="A43" s="9">
        <v>39</v>
      </c>
      <c r="B43" s="7">
        <v>15760</v>
      </c>
      <c r="C43" s="7">
        <v>10123</v>
      </c>
      <c r="D43" s="7">
        <v>12308</v>
      </c>
    </row>
    <row r="44" spans="1:4" x14ac:dyDescent="0.25">
      <c r="A44" s="9">
        <v>40</v>
      </c>
      <c r="B44" s="7">
        <v>16850</v>
      </c>
      <c r="C44" s="7">
        <v>10509</v>
      </c>
      <c r="D44" s="7">
        <v>13030</v>
      </c>
    </row>
    <row r="45" spans="1:4" x14ac:dyDescent="0.25">
      <c r="A45" s="9">
        <v>41</v>
      </c>
      <c r="B45" s="7">
        <v>17757</v>
      </c>
      <c r="C45" s="7">
        <v>10860</v>
      </c>
      <c r="D45" s="7">
        <v>13784</v>
      </c>
    </row>
    <row r="46" spans="1:4" x14ac:dyDescent="0.25">
      <c r="A46" s="9">
        <v>42</v>
      </c>
      <c r="B46" s="7">
        <v>18607</v>
      </c>
      <c r="C46" s="7">
        <v>11131</v>
      </c>
      <c r="D46" s="7">
        <v>14468</v>
      </c>
    </row>
    <row r="47" spans="1:4" x14ac:dyDescent="0.25">
      <c r="A47" s="9">
        <v>43</v>
      </c>
      <c r="B47" s="7">
        <v>19539</v>
      </c>
      <c r="C47" s="7">
        <v>11381</v>
      </c>
      <c r="D47" s="7">
        <v>15043</v>
      </c>
    </row>
    <row r="48" spans="1:4" x14ac:dyDescent="0.25">
      <c r="A48" s="9">
        <v>44</v>
      </c>
      <c r="B48" s="7">
        <v>20550</v>
      </c>
      <c r="C48" s="7">
        <v>11745</v>
      </c>
      <c r="D48" s="7">
        <v>15784</v>
      </c>
    </row>
    <row r="49" spans="1:4" x14ac:dyDescent="0.25">
      <c r="A49" s="9">
        <v>45</v>
      </c>
      <c r="B49" s="7">
        <v>21261</v>
      </c>
      <c r="C49" s="7">
        <v>12095</v>
      </c>
      <c r="D49" s="7">
        <v>16390</v>
      </c>
    </row>
    <row r="50" spans="1:4" x14ac:dyDescent="0.25">
      <c r="A50" s="9">
        <v>46</v>
      </c>
      <c r="B50" s="7">
        <v>22128</v>
      </c>
      <c r="C50" s="7">
        <v>12351</v>
      </c>
      <c r="D50" s="7">
        <v>17024</v>
      </c>
    </row>
    <row r="51" spans="1:4" x14ac:dyDescent="0.25">
      <c r="A51" s="9">
        <v>47</v>
      </c>
      <c r="B51" s="7">
        <v>23175</v>
      </c>
      <c r="C51" s="7">
        <v>12624</v>
      </c>
      <c r="D51" s="7">
        <v>17769</v>
      </c>
    </row>
    <row r="52" spans="1:4" x14ac:dyDescent="0.25">
      <c r="A52" s="9">
        <v>48</v>
      </c>
      <c r="B52" s="7">
        <v>24169</v>
      </c>
      <c r="C52" s="7">
        <v>12947</v>
      </c>
      <c r="D52" s="7">
        <v>18593</v>
      </c>
    </row>
    <row r="53" spans="1:4" x14ac:dyDescent="0.25">
      <c r="A53" s="9">
        <v>49</v>
      </c>
      <c r="B53" s="7">
        <v>25128</v>
      </c>
      <c r="C53" s="7">
        <v>13334</v>
      </c>
      <c r="D53" s="7">
        <v>19081</v>
      </c>
    </row>
    <row r="54" spans="1:4" x14ac:dyDescent="0.25">
      <c r="A54" s="9">
        <v>50</v>
      </c>
      <c r="B54" s="7">
        <v>26211</v>
      </c>
      <c r="C54" s="7">
        <v>13601</v>
      </c>
      <c r="D54" s="7">
        <v>19585</v>
      </c>
    </row>
    <row r="55" spans="1:4" x14ac:dyDescent="0.25">
      <c r="A55" s="9">
        <v>51</v>
      </c>
      <c r="B55" s="7">
        <v>27240</v>
      </c>
      <c r="C55" s="7">
        <v>13993</v>
      </c>
      <c r="D55" s="7">
        <v>20349</v>
      </c>
    </row>
    <row r="56" spans="1:4" x14ac:dyDescent="0.25">
      <c r="A56" s="9">
        <v>52</v>
      </c>
      <c r="B56" s="7">
        <v>27904</v>
      </c>
      <c r="C56" s="7">
        <v>14455</v>
      </c>
      <c r="D56" s="7">
        <v>21191</v>
      </c>
    </row>
    <row r="57" spans="1:4" x14ac:dyDescent="0.25">
      <c r="A57" s="9">
        <v>53</v>
      </c>
      <c r="B57" s="7">
        <v>28793</v>
      </c>
      <c r="C57" s="7">
        <v>14711</v>
      </c>
      <c r="D57" s="7">
        <v>21756</v>
      </c>
    </row>
    <row r="58" spans="1:4" x14ac:dyDescent="0.25">
      <c r="A58" s="9">
        <v>54</v>
      </c>
      <c r="B58" s="7">
        <v>29809</v>
      </c>
      <c r="C58" s="7">
        <v>15129</v>
      </c>
      <c r="D58" s="7">
        <v>22423</v>
      </c>
    </row>
    <row r="59" spans="1:4" x14ac:dyDescent="0.25">
      <c r="A59" s="9">
        <v>55</v>
      </c>
      <c r="B59" s="7">
        <v>30846</v>
      </c>
      <c r="C59" s="7">
        <v>15529</v>
      </c>
      <c r="D59" s="7">
        <v>23402</v>
      </c>
    </row>
    <row r="60" spans="1:4" x14ac:dyDescent="0.25">
      <c r="A60" s="9">
        <v>56</v>
      </c>
      <c r="B60" s="7">
        <v>35852</v>
      </c>
      <c r="C60" s="7">
        <v>16315</v>
      </c>
      <c r="D60" s="7">
        <v>23935</v>
      </c>
    </row>
    <row r="61" spans="1:4" x14ac:dyDescent="0.25">
      <c r="A61" s="9">
        <v>57</v>
      </c>
      <c r="B61" s="7">
        <v>49405</v>
      </c>
      <c r="C61" s="7">
        <v>17236</v>
      </c>
      <c r="D61" s="7">
        <v>24771</v>
      </c>
    </row>
    <row r="62" spans="1:4" x14ac:dyDescent="0.25">
      <c r="A62" s="9">
        <v>58</v>
      </c>
      <c r="B62" s="7">
        <v>61009</v>
      </c>
      <c r="C62" s="7">
        <v>18192</v>
      </c>
      <c r="D62" s="7">
        <v>26047</v>
      </c>
    </row>
    <row r="63" spans="1:4" x14ac:dyDescent="0.25">
      <c r="A63" s="9">
        <v>59</v>
      </c>
      <c r="B63" s="7">
        <v>63550</v>
      </c>
      <c r="C63" s="7">
        <v>19237</v>
      </c>
      <c r="D63" s="7">
        <v>27770</v>
      </c>
    </row>
    <row r="64" spans="1:4" x14ac:dyDescent="0.25">
      <c r="A64" s="9">
        <v>60</v>
      </c>
      <c r="B64" s="7">
        <v>65081</v>
      </c>
      <c r="C64" s="7">
        <v>20287</v>
      </c>
      <c r="D64" s="7">
        <v>29321</v>
      </c>
    </row>
    <row r="65" spans="1:4" x14ac:dyDescent="0.25">
      <c r="A65" s="9">
        <v>61</v>
      </c>
      <c r="B65" s="7">
        <v>66677</v>
      </c>
      <c r="C65" s="7">
        <v>21167</v>
      </c>
      <c r="D65" s="7">
        <v>32689</v>
      </c>
    </row>
    <row r="66" spans="1:4" x14ac:dyDescent="0.25">
      <c r="A66" s="9">
        <v>62</v>
      </c>
      <c r="B66" s="7">
        <v>68138</v>
      </c>
      <c r="C66" s="7">
        <v>21862</v>
      </c>
      <c r="D66" s="7">
        <v>34553</v>
      </c>
    </row>
    <row r="67" spans="1:4" x14ac:dyDescent="0.25">
      <c r="A67" s="9">
        <v>63</v>
      </c>
      <c r="B67" s="7">
        <v>69671</v>
      </c>
      <c r="C67" s="7">
        <v>22370</v>
      </c>
      <c r="D67" s="7">
        <v>36152</v>
      </c>
    </row>
    <row r="68" spans="1:4" x14ac:dyDescent="0.25">
      <c r="A68" s="9">
        <v>64</v>
      </c>
      <c r="B68" s="7">
        <v>70983</v>
      </c>
      <c r="C68" s="7">
        <v>23048</v>
      </c>
      <c r="D68" s="7">
        <v>37205</v>
      </c>
    </row>
    <row r="69" spans="1:4" x14ac:dyDescent="0.25">
      <c r="A69" s="9">
        <v>65</v>
      </c>
      <c r="B69" s="7">
        <v>72489</v>
      </c>
      <c r="C69" s="7">
        <v>23881</v>
      </c>
      <c r="D69" s="7">
        <v>39106</v>
      </c>
    </row>
    <row r="70" spans="1:4" x14ac:dyDescent="0.25">
      <c r="A70" s="9">
        <v>66</v>
      </c>
      <c r="B70" s="7">
        <v>73830</v>
      </c>
      <c r="C70" s="7">
        <v>25245</v>
      </c>
      <c r="D70" s="7">
        <v>39679</v>
      </c>
    </row>
    <row r="71" spans="1:4" x14ac:dyDescent="0.25">
      <c r="A71" s="9">
        <v>67</v>
      </c>
      <c r="B71" s="7">
        <v>75282</v>
      </c>
      <c r="C71" s="7">
        <v>27613</v>
      </c>
      <c r="D71" s="7">
        <v>40379</v>
      </c>
    </row>
    <row r="72" spans="1:4" x14ac:dyDescent="0.25">
      <c r="A72" s="9">
        <v>68</v>
      </c>
      <c r="B72" s="7">
        <v>76933</v>
      </c>
      <c r="C72" s="7">
        <v>29934</v>
      </c>
      <c r="D72" s="7">
        <v>41238</v>
      </c>
    </row>
    <row r="73" spans="1:4" x14ac:dyDescent="0.25">
      <c r="A73" s="9">
        <v>69</v>
      </c>
      <c r="B73" s="7">
        <v>81003</v>
      </c>
      <c r="C73" s="7">
        <v>32946</v>
      </c>
      <c r="D73" s="7">
        <v>42018</v>
      </c>
    </row>
    <row r="74" spans="1:4" x14ac:dyDescent="0.25">
      <c r="A74" s="9">
        <v>70</v>
      </c>
      <c r="B74" s="7">
        <v>84536</v>
      </c>
      <c r="C74" s="7">
        <v>35987</v>
      </c>
      <c r="D74" s="7">
        <v>42541</v>
      </c>
    </row>
    <row r="75" spans="1:4" x14ac:dyDescent="0.25">
      <c r="A75" s="9">
        <v>71</v>
      </c>
      <c r="B75" s="7">
        <v>87714</v>
      </c>
      <c r="C75" s="7">
        <v>37140</v>
      </c>
      <c r="D75" s="7">
        <v>43099</v>
      </c>
    </row>
    <row r="76" spans="1:4" x14ac:dyDescent="0.25">
      <c r="A76" s="9">
        <v>72</v>
      </c>
      <c r="B76" s="7">
        <v>90641</v>
      </c>
      <c r="C76" s="7">
        <v>38237</v>
      </c>
      <c r="D76" s="7">
        <v>43665</v>
      </c>
    </row>
    <row r="77" spans="1:4" x14ac:dyDescent="0.25">
      <c r="A77" s="9">
        <v>73</v>
      </c>
      <c r="B77" s="7">
        <v>92248</v>
      </c>
      <c r="C77" s="7">
        <v>39515</v>
      </c>
      <c r="D77" s="7">
        <v>43956</v>
      </c>
    </row>
    <row r="78" spans="1:4" x14ac:dyDescent="0.25">
      <c r="A78" s="9">
        <v>74</v>
      </c>
      <c r="B78" s="7">
        <v>94024</v>
      </c>
      <c r="C78" s="7">
        <v>41829</v>
      </c>
      <c r="D78" s="7">
        <v>44282</v>
      </c>
    </row>
    <row r="79" spans="1:4" x14ac:dyDescent="0.25">
      <c r="A79" s="9">
        <v>75</v>
      </c>
      <c r="B79" s="7">
        <v>95203</v>
      </c>
      <c r="C79" s="7">
        <v>42546</v>
      </c>
      <c r="D79" s="7">
        <v>44529</v>
      </c>
    </row>
    <row r="80" spans="1:4" x14ac:dyDescent="0.25">
      <c r="A80" s="9">
        <v>76</v>
      </c>
      <c r="B80" s="7">
        <v>95719</v>
      </c>
      <c r="C80" s="7">
        <v>43080</v>
      </c>
      <c r="D80" s="7">
        <v>44854</v>
      </c>
    </row>
    <row r="81" spans="1:4" x14ac:dyDescent="0.25">
      <c r="A81" s="9">
        <v>77</v>
      </c>
      <c r="B81" s="7">
        <v>96137</v>
      </c>
      <c r="C81" s="7">
        <v>43400</v>
      </c>
      <c r="D81" s="7">
        <v>45159</v>
      </c>
    </row>
    <row r="82" spans="1:4" x14ac:dyDescent="0.25">
      <c r="A82" s="9">
        <v>78</v>
      </c>
      <c r="B82" s="7">
        <v>96505</v>
      </c>
      <c r="C82" s="7">
        <v>43682</v>
      </c>
      <c r="D82" s="7">
        <v>45309</v>
      </c>
    </row>
    <row r="83" spans="1:4" x14ac:dyDescent="0.25">
      <c r="A83" s="9">
        <v>79</v>
      </c>
      <c r="B83" s="7">
        <v>96823</v>
      </c>
      <c r="C83" s="7">
        <v>43926</v>
      </c>
      <c r="D83" s="7">
        <v>45431</v>
      </c>
    </row>
    <row r="84" spans="1:4" x14ac:dyDescent="0.25">
      <c r="A84" s="9">
        <v>80</v>
      </c>
      <c r="B84" s="7">
        <v>97091</v>
      </c>
      <c r="C84" s="7">
        <v>44132</v>
      </c>
      <c r="D84" s="7">
        <v>45480</v>
      </c>
    </row>
    <row r="85" spans="1:4" x14ac:dyDescent="0.25">
      <c r="A85" s="9">
        <v>81</v>
      </c>
      <c r="B85" s="7">
        <v>97309</v>
      </c>
      <c r="C85" s="7">
        <v>44300</v>
      </c>
      <c r="D85" s="7">
        <v>45543</v>
      </c>
    </row>
    <row r="86" spans="1:4" x14ac:dyDescent="0.25">
      <c r="A86" s="9">
        <v>82</v>
      </c>
      <c r="B86" s="7">
        <v>97477</v>
      </c>
      <c r="C86" s="7">
        <v>44429</v>
      </c>
      <c r="D86" s="7">
        <v>45614</v>
      </c>
    </row>
    <row r="87" spans="1:4" x14ac:dyDescent="0.25">
      <c r="A87" s="9">
        <v>83</v>
      </c>
      <c r="B87" s="7">
        <v>97595</v>
      </c>
      <c r="C87" s="7">
        <v>44520</v>
      </c>
      <c r="D87" s="7">
        <v>45638</v>
      </c>
    </row>
    <row r="88" spans="1:4" x14ac:dyDescent="0.25">
      <c r="A88" s="9">
        <v>84</v>
      </c>
      <c r="B88" s="7">
        <v>97663</v>
      </c>
      <c r="C88" s="7">
        <v>44581</v>
      </c>
      <c r="D88" s="7"/>
    </row>
    <row r="89" spans="1:4" x14ac:dyDescent="0.25">
      <c r="A89" s="9">
        <v>85</v>
      </c>
      <c r="B89" s="7">
        <v>97681</v>
      </c>
      <c r="C89" s="7">
        <v>44634</v>
      </c>
      <c r="D89" s="7"/>
    </row>
    <row r="90" spans="1:4" x14ac:dyDescent="0.25">
      <c r="A90" s="9">
        <v>86</v>
      </c>
      <c r="B90" s="7">
        <v>97699</v>
      </c>
      <c r="C90" s="7">
        <v>44649</v>
      </c>
      <c r="D90" s="7"/>
    </row>
    <row r="91" spans="1:4" x14ac:dyDescent="0.25">
      <c r="A91" s="9">
        <v>87</v>
      </c>
      <c r="B91" s="7">
        <v>97722</v>
      </c>
      <c r="C91" s="7">
        <v>44649</v>
      </c>
      <c r="D91" s="7"/>
    </row>
    <row r="92" spans="1:4" x14ac:dyDescent="0.25">
      <c r="A92" s="9">
        <v>88</v>
      </c>
      <c r="B92" s="7">
        <v>97822</v>
      </c>
      <c r="C92" s="7">
        <v>44651</v>
      </c>
      <c r="D92" s="7"/>
    </row>
    <row r="93" spans="1:4" x14ac:dyDescent="0.25">
      <c r="A93" s="9">
        <v>89</v>
      </c>
      <c r="B93" s="7">
        <v>97932</v>
      </c>
      <c r="C93" s="7">
        <v>44653</v>
      </c>
      <c r="D93" s="7"/>
    </row>
    <row r="94" spans="1:4" x14ac:dyDescent="0.25">
      <c r="A94" s="9">
        <v>90</v>
      </c>
      <c r="B94" s="7">
        <v>97973</v>
      </c>
      <c r="C94" s="7"/>
      <c r="D94" s="7"/>
    </row>
    <row r="95" spans="1:4" x14ac:dyDescent="0.25">
      <c r="A95" s="9">
        <v>91</v>
      </c>
      <c r="B95" s="7">
        <v>98009</v>
      </c>
      <c r="C95" s="7"/>
      <c r="D95" s="7"/>
    </row>
    <row r="96" spans="1:4" x14ac:dyDescent="0.25">
      <c r="A96" s="9">
        <v>92</v>
      </c>
      <c r="B96" s="7">
        <v>98034</v>
      </c>
      <c r="C96" s="7"/>
      <c r="D96" s="7"/>
    </row>
    <row r="97" spans="1:4" x14ac:dyDescent="0.25">
      <c r="A97" s="9">
        <v>93</v>
      </c>
      <c r="B97" s="7">
        <v>98063</v>
      </c>
      <c r="C97" s="7"/>
      <c r="D97" s="7"/>
    </row>
    <row r="98" spans="1:4" x14ac:dyDescent="0.25">
      <c r="A98" s="9">
        <v>94</v>
      </c>
      <c r="B98" s="7">
        <v>98072</v>
      </c>
      <c r="C98" s="7"/>
      <c r="D98" s="7"/>
    </row>
    <row r="99" spans="1:4" x14ac:dyDescent="0.25">
      <c r="A99" s="9">
        <v>95</v>
      </c>
      <c r="B99" s="7">
        <v>98074</v>
      </c>
      <c r="C99" s="7"/>
      <c r="D99" s="7"/>
    </row>
  </sheetData>
  <pageMargins left="0.7" right="0.7" top="0.75" bottom="0.75" header="0.3" footer="0.3"/>
  <headerFooter>
    <oddHeader>&amp;R&amp;"Calibri"&amp;12&amp;K000000 Unclassified - Non-Classifié&amp;1#_x000D_</oddHead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79E987-80FE-4B99-97B7-316C7011A706}">
  <dimension ref="A1"/>
  <sheetViews>
    <sheetView tabSelected="1" workbookViewId="0">
      <selection activeCell="T28" sqref="T28"/>
    </sheetView>
  </sheetViews>
  <sheetFormatPr defaultRowHeight="15" x14ac:dyDescent="0.25"/>
  <sheetData/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9817648D-7F0F-4F74-B375-A4D65DA48113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STAMP Escapement Data</vt:lpstr>
      <vt:lpstr>PIVOT</vt:lpstr>
      <vt:lpstr>Plots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Pourfaraj, Vahab (he, him / il, lui) (DFO/MPO)</dc:creator>
  <cp:lastModifiedBy>Pourfaraj, Vahab (DFO/MPO)</cp:lastModifiedBy>
  <dcterms:created xsi:type="dcterms:W3CDTF">2025-08-26T23:09:36Z</dcterms:created>
  <dcterms:modified xsi:type="dcterms:W3CDTF">2026-09-18T23:14:31Z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4e6cdb53-fd15-486d-84de-c510e3a62203_Enabled">
    <vt:lpwstr>true</vt:lpwstr>
  </property>
  <property fmtid="{D5CDD505-2E9C-101B-9397-08002B2CF9AE}" pid="3" name="MSIP_Label_4e6cdb53-fd15-486d-84de-c510e3a62203_SetDate">
    <vt:lpwstr>2025-08-27T00:35:41Z</vt:lpwstr>
  </property>
  <property fmtid="{D5CDD505-2E9C-101B-9397-08002B2CF9AE}" pid="4" name="MSIP_Label_4e6cdb53-fd15-486d-84de-c510e3a62203_Method">
    <vt:lpwstr>Standard</vt:lpwstr>
  </property>
  <property fmtid="{D5CDD505-2E9C-101B-9397-08002B2CF9AE}" pid="5" name="MSIP_Label_4e6cdb53-fd15-486d-84de-c510e3a62203_Name">
    <vt:lpwstr>UNCLASSIFIED - NON-CLASSIFIÉ</vt:lpwstr>
  </property>
  <property fmtid="{D5CDD505-2E9C-101B-9397-08002B2CF9AE}" pid="6" name="MSIP_Label_4e6cdb53-fd15-486d-84de-c510e3a62203_SiteId">
    <vt:lpwstr>1594fdae-a1d9-4405-915d-011467234338</vt:lpwstr>
  </property>
  <property fmtid="{D5CDD505-2E9C-101B-9397-08002B2CF9AE}" pid="7" name="MSIP_Label_4e6cdb53-fd15-486d-84de-c510e3a62203_ActionId">
    <vt:lpwstr>b136aef6-97d2-46c2-8c82-689e98466400</vt:lpwstr>
  </property>
  <property fmtid="{D5CDD505-2E9C-101B-9397-08002B2CF9AE}" pid="8" name="MSIP_Label_4e6cdb53-fd15-486d-84de-c510e3a62203_ContentBits">
    <vt:lpwstr>1</vt:lpwstr>
  </property>
</Properties>
</file>